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водка" sheetId="1" state="visible" r:id="rId1"/>
    <sheet name="Справочник призов" sheetId="2" state="visible" r:id="rId2"/>
    <sheet name="Промокоды" sheetId="3" state="visible" r:id="rId3"/>
    <sheet name="Лиды Telegram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</numFmts>
  <fonts count="9">
    <font>
      <name val="Carlito"/>
      <sz val="11"/>
    </font>
    <font>
      <name val="Carlito"/>
      <b val="1"/>
      <color rgb="FFFFFFFF"/>
      <sz val="18"/>
    </font>
    <font>
      <name val="Carlito"/>
      <color rgb="FF6B7280"/>
      <sz val="10"/>
    </font>
    <font>
      <name val="Carlito"/>
      <b val="1"/>
      <color rgb="FFFFFFFF"/>
      <sz val="10"/>
    </font>
    <font>
      <name val="Carlito"/>
      <color rgb="FF1F2937"/>
      <sz val="10"/>
    </font>
    <font>
      <name val="Carlito"/>
      <b val="1"/>
      <color rgb="FF1F2937"/>
      <sz val="18"/>
    </font>
    <font>
      <name val="Carlito"/>
      <b val="1"/>
      <color rgb="FF1F2937"/>
      <sz val="10"/>
    </font>
    <font>
      <name val="Carlito"/>
      <b val="1"/>
      <color rgb="FFFFFFFF"/>
      <sz val="11"/>
    </font>
    <font>
      <name val="Carlito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5F3FF"/>
      </patternFill>
    </fill>
    <fill>
      <patternFill patternType="solid">
        <fgColor rgb="FF7C3AED"/>
      </patternFill>
    </fill>
    <fill>
      <patternFill patternType="solid">
        <fgColor rgb="FFFFFFFF"/>
      </patternFill>
    </fill>
    <fill>
      <patternFill patternType="solid">
        <fgColor rgb="00ECFDF5"/>
      </patternFill>
    </fill>
  </fills>
  <borders count="17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7C3AED"/>
      </left>
      <top style="thin">
        <color rgb="FF7C3AED"/>
      </top>
      <bottom style="thin">
        <color rgb="FF7C3AED"/>
      </bottom>
    </border>
    <border>
      <right style="thin">
        <color rgb="FF7C3AED"/>
      </right>
      <top style="thin">
        <color rgb="FF7C3AED"/>
      </top>
      <bottom style="thin">
        <color rgb="FF7C3AED"/>
      </bottom>
    </border>
    <border>
      <top style="thin">
        <color rgb="FFE5E7EB"/>
      </top>
      <bottom style="thin">
        <color rgb="FFE5E7EB"/>
      </bottom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</border>
    <border>
      <top style="thin">
        <color rgb="FF7C3AED"/>
      </top>
    </border>
    <border>
      <right style="thin">
        <color rgb="FF7C3AED"/>
      </right>
      <top style="thin">
        <color rgb="FF7C3AED"/>
      </top>
    </border>
    <border>
      <top style="thin">
        <color rgb="FFE5E7EB"/>
      </top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1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49" fontId="4" fillId="0" borderId="7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0" borderId="8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3" fontId="4" fillId="0" borderId="3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0" borderId="8" applyAlignment="1" pivotButton="0" quotePrefix="0" xfId="0">
      <alignment horizontal="center" vertical="center"/>
    </xf>
    <xf numFmtId="165" fontId="4" fillId="0" borderId="2" applyAlignment="1" pivotButton="0" quotePrefix="0" xfId="0">
      <alignment vertical="center"/>
    </xf>
    <xf numFmtId="165" fontId="4" fillId="0" borderId="5" applyAlignment="1" pivotButton="0" quotePrefix="0" xfId="0">
      <alignment vertical="center"/>
    </xf>
    <xf numFmtId="165" fontId="4" fillId="0" borderId="7" applyAlignment="1" pivotButton="0" quotePrefix="0" xfId="0">
      <alignment vertical="center"/>
    </xf>
    <xf numFmtId="49" fontId="4" fillId="0" borderId="3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49" fontId="4" fillId="0" borderId="3" applyAlignment="1" pivotButton="0" quotePrefix="0" xfId="0">
      <alignment vertical="center" wrapText="1"/>
    </xf>
    <xf numFmtId="49" fontId="4" fillId="0" borderId="1" applyAlignment="1" pivotButton="0" quotePrefix="0" xfId="0">
      <alignment vertical="center" wrapText="1"/>
    </xf>
    <xf numFmtId="49" fontId="4" fillId="0" borderId="8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49" fontId="4" fillId="0" borderId="2" applyAlignment="1" pivotButton="0" quotePrefix="0" xfId="0">
      <alignment vertical="center"/>
    </xf>
    <xf numFmtId="49" fontId="4" fillId="0" borderId="5" applyAlignment="1" pivotButton="0" quotePrefix="0" xfId="0">
      <alignment vertical="center"/>
    </xf>
    <xf numFmtId="49" fontId="4" fillId="0" borderId="7" applyAlignment="1" pivotButton="0" quotePrefix="0" xfId="0">
      <alignment vertical="center"/>
    </xf>
    <xf numFmtId="9" fontId="4" fillId="0" borderId="3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  <xf numFmtId="9" fontId="4" fillId="0" borderId="8" applyAlignment="1" pivotButton="0" quotePrefix="0" xfId="0">
      <alignment vertical="center" wrapText="1"/>
    </xf>
    <xf numFmtId="3" fontId="4" fillId="0" borderId="3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3" fontId="4" fillId="0" borderId="8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9" fontId="4" fillId="0" borderId="3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9" fontId="4" fillId="0" borderId="8" applyAlignment="1" pivotButton="0" quotePrefix="0" xfId="0">
      <alignment horizontal="center" vertical="center" wrapText="1"/>
    </xf>
    <xf numFmtId="0" fontId="3" fillId="4" borderId="10" pivotButton="0" quotePrefix="0" xfId="0"/>
    <xf numFmtId="0" fontId="3" fillId="4" borderId="11" pivotButton="0" quotePrefix="0" xfId="0"/>
    <xf numFmtId="0" fontId="3" fillId="4" borderId="10" applyAlignment="1" pivotButton="0" quotePrefix="0" xfId="0">
      <alignment horizontal="center"/>
    </xf>
    <xf numFmtId="0" fontId="3" fillId="4" borderId="11" applyAlignment="1" pivotButton="0" quotePrefix="0" xfId="0">
      <alignment horizontal="center"/>
    </xf>
    <xf numFmtId="0" fontId="3" fillId="4" borderId="10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6" pivotButton="0" quotePrefix="0" xfId="0"/>
    <xf numFmtId="0" fontId="5" fillId="5" borderId="5" pivotButton="0" quotePrefix="0" xfId="0"/>
    <xf numFmtId="3" fontId="5" fillId="5" borderId="6" pivotButton="0" quotePrefix="0" xfId="0"/>
    <xf numFmtId="3" fontId="5" fillId="5" borderId="5" pivotButton="0" quotePrefix="0" xfId="0"/>
    <xf numFmtId="3" fontId="5" fillId="5" borderId="6" applyAlignment="1" pivotButton="0" quotePrefix="0" xfId="0">
      <alignment horizontal="center"/>
    </xf>
    <xf numFmtId="3" fontId="5" fillId="5" borderId="5" applyAlignment="1" pivotButton="0" quotePrefix="0" xfId="0">
      <alignment horizontal="center"/>
    </xf>
    <xf numFmtId="3" fontId="5" fillId="5" borderId="6" applyAlignment="1" pivotButton="0" quotePrefix="0" xfId="0">
      <alignment horizontal="center" vertical="center"/>
    </xf>
    <xf numFmtId="3" fontId="5" fillId="5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3" fontId="6" fillId="3" borderId="1" applyAlignment="1" pivotButton="0" quotePrefix="0" xfId="0">
      <alignment horizontal="center" vertical="center"/>
    </xf>
    <xf numFmtId="0" fontId="7" fillId="2" borderId="0" pivotButton="0" quotePrefix="0" xfId="0"/>
    <xf numFmtId="0" fontId="7" fillId="2" borderId="0" applyAlignment="1" pivotButton="0" quotePrefix="0" xfId="0">
      <alignment vertical="center"/>
    </xf>
    <xf numFmtId="0" fontId="4" fillId="3" borderId="0" pivotButton="0" quotePrefix="0" xfId="0"/>
    <xf numFmtId="0" fontId="4" fillId="3" borderId="6" pivotButton="0" quotePrefix="0" xfId="0"/>
    <xf numFmtId="0" fontId="4" fillId="3" borderId="12" pivotButton="0" quotePrefix="0" xfId="0"/>
    <xf numFmtId="0" fontId="4" fillId="3" borderId="5" pivotButton="0" quotePrefix="0" xfId="0"/>
    <xf numFmtId="0" fontId="4" fillId="3" borderId="6" applyAlignment="1" pivotButton="0" quotePrefix="0" xfId="0">
      <alignment wrapText="1"/>
    </xf>
    <xf numFmtId="0" fontId="4" fillId="3" borderId="12" applyAlignment="1" pivotButton="0" quotePrefix="0" xfId="0">
      <alignment wrapText="1"/>
    </xf>
    <xf numFmtId="0" fontId="4" fillId="3" borderId="5" applyAlignment="1" pivotButton="0" quotePrefix="0" xfId="0">
      <alignment wrapText="1"/>
    </xf>
    <xf numFmtId="0" fontId="4" fillId="3" borderId="6" applyAlignment="1" pivotButton="0" quotePrefix="0" xfId="0">
      <alignment vertical="center" wrapText="1"/>
    </xf>
    <xf numFmtId="0" fontId="4" fillId="3" borderId="12" applyAlignment="1" pivotButton="0" quotePrefix="0" xfId="0">
      <alignment vertical="center" wrapText="1"/>
    </xf>
    <xf numFmtId="0" fontId="4" fillId="3" borderId="5" applyAlignment="1" pivotButton="0" quotePrefix="0" xfId="0">
      <alignment vertical="center" wrapText="1"/>
    </xf>
    <xf numFmtId="0" fontId="4" fillId="5" borderId="0" pivotButton="0" quotePrefix="0" xfId="0"/>
    <xf numFmtId="0" fontId="4" fillId="5" borderId="6" pivotButton="0" quotePrefix="0" xfId="0"/>
    <xf numFmtId="0" fontId="4" fillId="5" borderId="12" pivotButton="0" quotePrefix="0" xfId="0"/>
    <xf numFmtId="0" fontId="4" fillId="5" borderId="5" pivotButton="0" quotePrefix="0" xfId="0"/>
    <xf numFmtId="0" fontId="4" fillId="5" borderId="6" applyAlignment="1" pivotButton="0" quotePrefix="0" xfId="0">
      <alignment wrapText="1"/>
    </xf>
    <xf numFmtId="0" fontId="4" fillId="5" borderId="12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vertical="center" wrapText="1"/>
    </xf>
    <xf numFmtId="0" fontId="4" fillId="5" borderId="12" applyAlignment="1" pivotButton="0" quotePrefix="0" xfId="0">
      <alignment vertical="center" wrapText="1"/>
    </xf>
    <xf numFmtId="0" fontId="4" fillId="5" borderId="5" applyAlignment="1" pivotButton="0" quotePrefix="0" xfId="0">
      <alignment vertical="center" wrapText="1"/>
    </xf>
    <xf numFmtId="0" fontId="3" fillId="4" borderId="13" applyAlignment="1" pivotButton="0" quotePrefix="0" xfId="0">
      <alignment horizontal="center" vertical="center"/>
    </xf>
    <xf numFmtId="0" fontId="0" fillId="0" borderId="11" pivotButton="0" quotePrefix="0" xfId="0"/>
    <xf numFmtId="3" fontId="5" fillId="5" borderId="1" applyAlignment="1" pivotButton="0" quotePrefix="0" xfId="0">
      <alignment horizontal="center" vertical="center"/>
    </xf>
    <xf numFmtId="0" fontId="0" fillId="0" borderId="5" pivotButton="0" quotePrefix="0" xfId="0"/>
    <xf numFmtId="3" fontId="4" fillId="0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0" fillId="0" borderId="12" pivotButton="0" quotePrefix="0" xfId="0"/>
    <xf numFmtId="0" fontId="4" fillId="5" borderId="1" applyAlignment="1" pivotButton="0" quotePrefix="0" xfId="0">
      <alignment vertical="center" wrapText="1"/>
    </xf>
    <xf numFmtId="49" fontId="4" fillId="0" borderId="2" applyAlignment="1" pivotButton="0" quotePrefix="0" xfId="0">
      <alignment vertical="center"/>
    </xf>
    <xf numFmtId="9" fontId="4" fillId="0" borderId="3" applyAlignment="1" pivotButton="0" quotePrefix="0" xfId="0">
      <alignment horizontal="center" vertical="center" wrapText="1"/>
    </xf>
    <xf numFmtId="3" fontId="4" fillId="0" borderId="3" applyAlignment="1" pivotButton="0" quotePrefix="0" xfId="0">
      <alignment horizontal="center" vertical="center"/>
    </xf>
    <xf numFmtId="49" fontId="4" fillId="0" borderId="5" applyAlignment="1" pivotButton="0" quotePrefix="0" xfId="0">
      <alignment vertical="center"/>
    </xf>
    <xf numFmtId="9" fontId="4" fillId="0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vertical="center"/>
    </xf>
    <xf numFmtId="9" fontId="4" fillId="0" borderId="8" applyAlignment="1" pivotButton="0" quotePrefix="0" xfId="0">
      <alignment horizontal="center" vertical="center" wrapText="1"/>
    </xf>
    <xf numFmtId="3" fontId="4" fillId="0" borderId="8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49" fontId="4" fillId="0" borderId="7" applyAlignment="1" pivotButton="0" quotePrefix="0" xfId="0">
      <alignment horizontal="center" vertical="center"/>
    </xf>
    <xf numFmtId="49" fontId="4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5" fontId="4" fillId="0" borderId="2" applyAlignment="1" pivotButton="0" quotePrefix="0" xfId="0">
      <alignment vertical="center"/>
    </xf>
    <xf numFmtId="49" fontId="4" fillId="0" borderId="3" applyAlignment="1" pivotButton="0" quotePrefix="0" xfId="0">
      <alignment vertical="center"/>
    </xf>
    <xf numFmtId="49" fontId="4" fillId="0" borderId="3" applyAlignment="1" pivotButton="0" quotePrefix="0" xfId="0">
      <alignment vertical="center" wrapText="1"/>
    </xf>
    <xf numFmtId="0" fontId="8" fillId="6" borderId="3" applyAlignment="1" pivotButton="0" quotePrefix="0" xfId="0">
      <alignment vertical="center"/>
    </xf>
    <xf numFmtId="165" fontId="4" fillId="0" borderId="5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 wrapText="1"/>
    </xf>
    <xf numFmtId="165" fontId="4" fillId="0" borderId="7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 wrapText="1"/>
    </xf>
    <xf numFmtId="165" fontId="4" fillId="0" borderId="3" applyAlignment="1" pivotButton="0" quotePrefix="0" xfId="0">
      <alignment horizontal="center" vertical="center"/>
    </xf>
  </cellXfs>
  <cellStyles count="1">
    <cellStyle name="Normal" xfId="0"/>
  </cellStyles>
  <dxfs count="10">
    <dxf>
      <font>
        <color rgb="FF166534"/>
      </font>
      <fill>
        <patternFill>
          <bgColor rgb="FFECFDF5"/>
        </patternFill>
      </fill>
    </dxf>
    <dxf>
      <font>
        <color rgb="FF991B1B"/>
      </font>
      <fill>
        <patternFill>
          <bgColor rgb="FFFEF2F2"/>
        </patternFill>
      </fill>
    </dxf>
    <dxf>
      <font>
        <b val="1"/>
        <color rgb="FF991B1B"/>
      </font>
      <fill>
        <patternFill>
          <bgColor rgb="FFFEF2F2"/>
        </patternFill>
      </fill>
    </dxf>
    <dxf>
      <font>
        <color rgb="FF166534"/>
      </font>
      <fill>
        <patternFill>
          <bgColor rgb="FFECFDF5"/>
        </patternFill>
      </fill>
    </dxf>
    <dxf>
      <font>
        <color rgb="FF991B1B"/>
      </font>
      <fill>
        <patternFill>
          <bgColor rgb="FFFEF2F2"/>
        </patternFill>
      </fill>
    </dxf>
    <dxf>
      <font>
        <color rgb="FF1D4ED8"/>
      </font>
      <fill>
        <patternFill>
          <bgColor rgb="FFEFF6FF"/>
        </patternFill>
      </fill>
    </dxf>
    <dxf>
      <font>
        <color rgb="FF92400E"/>
      </font>
      <fill>
        <patternFill>
          <bgColor rgb="FFFFFBEB"/>
        </patternFill>
      </fill>
    </dxf>
    <dxf>
      <font>
        <color rgb="FF6D28D9"/>
      </font>
      <fill>
        <patternFill>
          <bgColor rgb="FFF5F3FF"/>
        </patternFill>
      </fill>
    </dxf>
    <dxf>
      <font>
        <b val="1"/>
        <color rgb="FFBE185D"/>
      </font>
      <fill>
        <patternFill>
          <bgColor rgb="FFFDF2F8"/>
        </patternFill>
      </fill>
    </dxf>
    <dxf>
      <font>
        <b val="1"/>
        <color rgb="FF991B1B"/>
      </font>
      <fill>
        <patternFill>
          <bgColor rgb="FFFEF2F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rizeCatalogTable" displayName="PrizeCatalogTable" ref="A4:K17" headerRowCount="1" totalsRowCount="0" totalsRowShown="0">
  <autoFilter ref="A4:K17"/>
  <tableColumns count="11">
    <tableColumn id="1" name="Код приза"/>
    <tableColumn id="2" name="Категория"/>
    <tableColumn id="3" name="Уровень"/>
    <tableColumn id="4" name="Приз"/>
    <tableColumn id="5" name="Механика"/>
    <tableColumn id="6" name="Скидка"/>
    <tableColumn id="7" name="Условия применения"/>
    <tableColumn id="8" name="Примечание"/>
    <tableColumn id="9" name="План кодов"/>
    <tableColumn id="10" name="Сгенерировано"/>
    <tableColumn id="11" name="Контроль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PromoCodesTable" displayName="PromoCodesTable" ref="A4:L2407" headerRowCount="1" totalsRowCount="0" totalsRowShown="0">
  <autoFilter ref="A4:L2407"/>
  <tableColumns count="12">
    <tableColumn id="1" name="Код приза"/>
    <tableColumn id="2" name="Уровень"/>
    <tableColumn id="3" name="Категория"/>
    <tableColumn id="4" name="Приз"/>
    <tableColumn id="5" name="Условия применения"/>
    <tableColumn id="6" name="Промокод"/>
    <tableColumn id="7" name="Статус"/>
    <tableColumn id="8" name="Дата использования"/>
    <tableColumn id="9" name="Получатель / клиент"/>
    <tableColumn id="10" name="Комментарий"/>
    <tableColumn id="11" name="№ в пуле"/>
    <tableColumn id="12" name="Контроль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14.38000011444092" customWidth="1" min="2" max="2"/>
    <col width="16.8799991607666" customWidth="1" min="3" max="3"/>
    <col width="3.75" customWidth="1" min="4" max="4"/>
    <col width="35" customWidth="1" min="5" max="5"/>
    <col width="14.38000011444092" customWidth="1" min="6" max="6"/>
    <col width="14.38000011444092" customWidth="1" min="7" max="7"/>
    <col width="3.75" customWidth="1" min="8" max="8"/>
  </cols>
  <sheetData>
    <row r="1" ht="34" customHeight="1">
      <c r="A1" s="3" t="inlineStr">
        <is>
          <t>Сводка по промокодам Flexy Way</t>
        </is>
      </c>
    </row>
    <row r="2" ht="30" customHeight="1">
      <c r="A2" s="7" t="inlineStr">
        <is>
          <t>Контроль выпуска кодов по уровням и категориям. Все показатели рассчитываются из справочника и реестра.</t>
        </is>
      </c>
    </row>
    <row r="4" ht="26" customHeight="1">
      <c r="A4" s="126" t="inlineStr">
        <is>
          <t>Всего призов</t>
        </is>
      </c>
      <c r="B4" s="127" t="n"/>
      <c r="C4" s="126" t="inlineStr">
        <is>
          <t>Всего промокодов</t>
        </is>
      </c>
      <c r="D4" s="127" t="n"/>
      <c r="E4" s="126" t="inlineStr">
        <is>
          <t>Дубликатов</t>
        </is>
      </c>
      <c r="F4" s="127" t="n"/>
      <c r="G4" s="126" t="inlineStr">
        <is>
          <t>Ошибок по количеству</t>
        </is>
      </c>
      <c r="H4" s="127" t="n"/>
    </row>
    <row r="5" ht="38" customHeight="1">
      <c r="A5" s="128">
        <f>COUNTA('Справочник призов'!$A$5:$A$17)</f>
        <v/>
      </c>
      <c r="B5" s="129" t="n"/>
      <c r="C5" s="128">
        <f>COUNTA('Промокоды'!$F$5:$F$2407)</f>
        <v/>
      </c>
      <c r="D5" s="129" t="n"/>
      <c r="E5" s="128">
        <f>COUNTIF('Промокоды'!$L$5:$L$2407,"Дубликат")</f>
        <v/>
      </c>
      <c r="F5" s="129" t="n"/>
      <c r="G5" s="128">
        <f>COUNTIF('Справочник призов'!$K$5:$K$17,"Ошибка")</f>
        <v/>
      </c>
      <c r="H5" s="129" t="n"/>
    </row>
    <row r="8" ht="30" customHeight="1">
      <c r="A8" s="13" t="inlineStr">
        <is>
          <t>Уровень</t>
        </is>
      </c>
      <c r="B8" s="13" t="inlineStr">
        <is>
          <t>Количество призов</t>
        </is>
      </c>
      <c r="C8" s="13" t="inlineStr">
        <is>
          <t>Промокодов</t>
        </is>
      </c>
      <c r="E8" s="13" t="inlineStr">
        <is>
          <t>Категория</t>
        </is>
      </c>
      <c r="F8" s="13" t="inlineStr">
        <is>
          <t>Количество призов</t>
        </is>
      </c>
      <c r="G8" s="13" t="inlineStr">
        <is>
          <t>Промокодов</t>
        </is>
      </c>
    </row>
    <row r="9">
      <c r="A9" s="28" t="inlineStr">
        <is>
          <t>1 уровень</t>
        </is>
      </c>
      <c r="B9" s="130">
        <f>COUNTIF('Справочник призов'!$C$5:$C$17,A9)</f>
        <v/>
      </c>
      <c r="C9" s="130">
        <f>COUNTIF('Промокоды'!$B$5:$B$2407,A9)</f>
        <v/>
      </c>
      <c r="E9" s="28" t="inlineStr">
        <is>
          <t>Закрытые условия на абонементы</t>
        </is>
      </c>
      <c r="F9" s="130">
        <f>COUNTIF('Справочник призов'!$B$5:$B$17,E9)</f>
        <v/>
      </c>
      <c r="G9" s="130">
        <f>COUNTIF('Промокоды'!$C$5:$C$2407,E9)</f>
        <v/>
      </c>
    </row>
    <row r="10">
      <c r="A10" s="28" t="inlineStr">
        <is>
          <t>2 уровень</t>
        </is>
      </c>
      <c r="B10" s="130">
        <f>COUNTIF('Справочник призов'!$C$5:$C$17,A10)</f>
        <v/>
      </c>
      <c r="C10" s="130">
        <f>COUNTIF('Промокоды'!$B$5:$B$2407,A10)</f>
        <v/>
      </c>
      <c r="E10" s="28" t="inlineStr">
        <is>
          <t>Призы не на абонементы</t>
        </is>
      </c>
      <c r="F10" s="130">
        <f>COUNTIF('Справочник призов'!$B$5:$B$17,E10)</f>
        <v/>
      </c>
      <c r="G10" s="130">
        <f>COUNTIF('Промокоды'!$C$5:$C$2407,E10)</f>
        <v/>
      </c>
    </row>
    <row r="11">
      <c r="A11" s="28" t="inlineStr">
        <is>
          <t>3 уровень</t>
        </is>
      </c>
      <c r="B11" s="130">
        <f>COUNTIF('Справочник призов'!$C$5:$C$17,A11)</f>
        <v/>
      </c>
      <c r="C11" s="130">
        <f>COUNTIF('Промокоды'!$B$5:$B$2407,A11)</f>
        <v/>
      </c>
      <c r="E11" s="28" t="inlineStr">
        <is>
          <t>Суперприз</t>
        </is>
      </c>
      <c r="F11" s="130">
        <f>COUNTIF('Справочник призов'!$B$5:$B$17,E11)</f>
        <v/>
      </c>
      <c r="G11" s="130">
        <f>COUNTIF('Промокоды'!$C$5:$C$2407,E11)</f>
        <v/>
      </c>
    </row>
    <row r="12">
      <c r="A12" s="28" t="inlineStr">
        <is>
          <t>Суперприз</t>
        </is>
      </c>
      <c r="B12" s="130">
        <f>COUNTIF('Справочник призов'!$C$5:$C$17,A12)</f>
        <v/>
      </c>
      <c r="C12" s="130">
        <f>COUNTIF('Промокоды'!$B$5:$B$2407,A12)</f>
        <v/>
      </c>
      <c r="E12" s="102" t="inlineStr">
        <is>
          <t>Итого</t>
        </is>
      </c>
      <c r="F12" s="131">
        <f>SUM(F9:F11)</f>
        <v/>
      </c>
      <c r="G12" s="131">
        <f>SUM(G9:G11)</f>
        <v/>
      </c>
    </row>
    <row r="13">
      <c r="A13" s="102" t="inlineStr">
        <is>
          <t>Итого</t>
        </is>
      </c>
      <c r="B13" s="131">
        <f>SUM(B9:B12)</f>
        <v/>
      </c>
      <c r="C13" s="131">
        <f>SUM(C9:C12)</f>
        <v/>
      </c>
    </row>
    <row r="15">
      <c r="A15" s="105" t="inlineStr">
        <is>
          <t>Как пользоваться файлом</t>
        </is>
      </c>
    </row>
    <row r="16" ht="30" customHeight="1">
      <c r="A16" s="132" t="inlineStr">
        <is>
          <t>• Основной рабочий лист — «Промокоды». В колонке «Статус» доступен список: Не использован / Использован / Аннулирован.</t>
        </is>
      </c>
      <c r="B16" s="133" t="n"/>
      <c r="C16" s="133" t="n"/>
      <c r="D16" s="133" t="n"/>
      <c r="E16" s="133" t="n"/>
      <c r="F16" s="133" t="n"/>
      <c r="G16" s="133" t="n"/>
      <c r="H16" s="129" t="n"/>
    </row>
    <row r="17" ht="30" customHeight="1">
      <c r="A17" s="134" t="inlineStr">
        <is>
          <t>• В случайной части кодов используются латинские заглавные буквы и цифры без неоднозначных символов 0, O, 1 и I; префикс L1/L2/L3 показывает уровень.</t>
        </is>
      </c>
      <c r="B17" s="133" t="n"/>
      <c r="C17" s="133" t="n"/>
      <c r="D17" s="133" t="n"/>
      <c r="E17" s="133" t="n"/>
      <c r="F17" s="133" t="n"/>
      <c r="G17" s="133" t="n"/>
      <c r="H17" s="129" t="n"/>
    </row>
    <row r="18" ht="30" customHeight="1">
      <c r="A18" s="132" t="inlineStr">
        <is>
          <t>• Для суперприза сформировано 3 кода; каждый код дает один бесплатный абонемент на 8 занятий.</t>
        </is>
      </c>
      <c r="B18" s="133" t="n"/>
      <c r="C18" s="133" t="n"/>
      <c r="D18" s="133" t="n"/>
      <c r="E18" s="133" t="n"/>
      <c r="F18" s="133" t="n"/>
      <c r="G18" s="133" t="n"/>
      <c r="H18" s="129" t="n"/>
    </row>
    <row r="19" ht="30" customHeight="1">
      <c r="A19" s="134" t="inlineStr">
        <is>
          <t>• Для «Парного старта» размер закрытой цены не был указан — его нужно определить до применения промокодов.</t>
        </is>
      </c>
      <c r="B19" s="133" t="n"/>
      <c r="C19" s="133" t="n"/>
      <c r="D19" s="133" t="n"/>
      <c r="E19" s="133" t="n"/>
      <c r="F19" s="133" t="n"/>
      <c r="G19" s="133" t="n"/>
      <c r="H19" s="129" t="n"/>
    </row>
  </sheetData>
  <mergeCells count="15">
    <mergeCell ref="A4:B4"/>
    <mergeCell ref="G4:H4"/>
    <mergeCell ref="E4:F4"/>
    <mergeCell ref="A18:H18"/>
    <mergeCell ref="A15:H15"/>
    <mergeCell ref="A2:H2"/>
    <mergeCell ref="A16:H16"/>
    <mergeCell ref="C5:D5"/>
    <mergeCell ref="A5:B5"/>
    <mergeCell ref="G5:H5"/>
    <mergeCell ref="E5:F5"/>
    <mergeCell ref="C4:D4"/>
    <mergeCell ref="A19:H19"/>
    <mergeCell ref="A1:H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5.63000011444092" customWidth="1" min="1" max="1"/>
    <col width="23.75" customWidth="1" min="2" max="2"/>
    <col width="11.88000011444092" customWidth="1" min="3" max="3"/>
    <col width="36.88000106811523" customWidth="1" min="4" max="4"/>
    <col width="16.8799991607666" customWidth="1" min="5" max="5"/>
    <col width="10" customWidth="1" min="6" max="6"/>
    <col width="41.25" customWidth="1" min="7" max="7"/>
    <col width="31.25" customWidth="1" min="8" max="8"/>
    <col width="11.25" customWidth="1" min="9" max="9"/>
    <col width="13.13000011444092" customWidth="1" min="10" max="10"/>
    <col width="11.25" customWidth="1" min="11" max="11"/>
  </cols>
  <sheetData>
    <row r="1" ht="34" customHeight="1">
      <c r="A1" s="3" t="inlineStr">
        <is>
          <t>Справочник призов</t>
        </is>
      </c>
    </row>
    <row r="2" ht="30" customHeight="1">
      <c r="A2" s="7" t="inlineStr">
        <is>
          <t>Все призы, условия и плановое количество кодов. Колонки «Сгенерировано» и «Контроль» рассчитываются по реестру промокодов.</t>
        </is>
      </c>
    </row>
    <row r="4" ht="30" customHeight="1">
      <c r="A4" s="13" t="inlineStr">
        <is>
          <t>Код приза</t>
        </is>
      </c>
      <c r="B4" s="13" t="inlineStr">
        <is>
          <t>Категория</t>
        </is>
      </c>
      <c r="C4" s="13" t="inlineStr">
        <is>
          <t>Уровень</t>
        </is>
      </c>
      <c r="D4" s="13" t="inlineStr">
        <is>
          <t>Приз</t>
        </is>
      </c>
      <c r="E4" s="13" t="inlineStr">
        <is>
          <t>Механика</t>
        </is>
      </c>
      <c r="F4" s="13" t="inlineStr">
        <is>
          <t>Скидка</t>
        </is>
      </c>
      <c r="G4" s="13" t="inlineStr">
        <is>
          <t>Условия применения</t>
        </is>
      </c>
      <c r="H4" s="13" t="inlineStr">
        <is>
          <t>Примечание</t>
        </is>
      </c>
      <c r="I4" s="13" t="inlineStr">
        <is>
          <t>План кодов</t>
        </is>
      </c>
      <c r="J4" s="13" t="inlineStr">
        <is>
          <t>Сгенерировано</t>
        </is>
      </c>
      <c r="K4" s="13" t="inlineStr">
        <is>
          <t>Контроль</t>
        </is>
      </c>
    </row>
    <row r="5" ht="48" customHeight="1">
      <c r="A5" s="135" t="inlineStr">
        <is>
          <t>SUB-L1-04-10</t>
        </is>
      </c>
      <c r="B5" s="33" t="inlineStr">
        <is>
          <t>Закрытые условия на абонементы</t>
        </is>
      </c>
      <c r="C5" s="78" t="inlineStr">
        <is>
          <t>1 уровень</t>
        </is>
      </c>
      <c r="D5" s="33" t="inlineStr">
        <is>
          <t>Скидка 10% на абонемент 4 занятия</t>
        </is>
      </c>
      <c r="E5" s="33" t="inlineStr">
        <is>
          <t>Скидка</t>
        </is>
      </c>
      <c r="F5" s="136" t="n">
        <v>0.1</v>
      </c>
      <c r="G5" s="33" t="inlineStr">
        <is>
          <t>При покупке абонемента на 4 занятия</t>
        </is>
      </c>
      <c r="H5" s="33" t="str"/>
      <c r="I5" s="137" t="n">
        <v>200</v>
      </c>
      <c r="J5" s="137">
        <f>COUNTIF('Промокоды'!$A$5:$A$2407,A5)</f>
        <v/>
      </c>
      <c r="K5" s="42">
        <f>IF(J5=I5,"OK","Ошибка")</f>
        <v/>
      </c>
    </row>
    <row r="6" ht="48" customHeight="1">
      <c r="A6" s="138" t="inlineStr">
        <is>
          <t>SUB-L1-08-10</t>
        </is>
      </c>
      <c r="B6" s="34" t="inlineStr">
        <is>
          <t>Закрытые условия на абонементы</t>
        </is>
      </c>
      <c r="C6" s="79" t="inlineStr">
        <is>
          <t>1 уровень</t>
        </is>
      </c>
      <c r="D6" s="34" t="inlineStr">
        <is>
          <t>Скидка 10% на абонемент 8 занятий</t>
        </is>
      </c>
      <c r="E6" s="34" t="inlineStr">
        <is>
          <t>Скидка</t>
        </is>
      </c>
      <c r="F6" s="139" t="n">
        <v>0.1</v>
      </c>
      <c r="G6" s="34" t="inlineStr">
        <is>
          <t>При покупке абонемента на 8 занятий</t>
        </is>
      </c>
      <c r="H6" s="34" t="str"/>
      <c r="I6" s="130" t="n">
        <v>200</v>
      </c>
      <c r="J6" s="130">
        <f>COUNTIF('Промокоды'!$A$5:$A$2407,A6)</f>
        <v/>
      </c>
      <c r="K6" s="43">
        <f>IF(J6=I6,"OK","Ошибка")</f>
        <v/>
      </c>
    </row>
    <row r="7" ht="48" customHeight="1">
      <c r="A7" s="138" t="inlineStr">
        <is>
          <t>SUB-L2-08-12-15</t>
        </is>
      </c>
      <c r="B7" s="34" t="inlineStr">
        <is>
          <t>Закрытые условия на абонементы</t>
        </is>
      </c>
      <c r="C7" s="79" t="inlineStr">
        <is>
          <t>2 уровень</t>
        </is>
      </c>
      <c r="D7" s="34" t="inlineStr">
        <is>
          <t>Скидка 15% на абонемент 8 или 12 занятий</t>
        </is>
      </c>
      <c r="E7" s="34" t="inlineStr">
        <is>
          <t>Скидка</t>
        </is>
      </c>
      <c r="F7" s="139" t="n">
        <v>0.15</v>
      </c>
      <c r="G7" s="34" t="inlineStr">
        <is>
          <t>При покупке абонемента на 8 или 12 занятий</t>
        </is>
      </c>
      <c r="H7" s="34" t="str"/>
      <c r="I7" s="130" t="n">
        <v>200</v>
      </c>
      <c r="J7" s="130">
        <f>COUNTIF('Промокоды'!$A$5:$A$2407,A7)</f>
        <v/>
      </c>
      <c r="K7" s="43">
        <f>IF(J7=I7,"OK","Ошибка")</f>
        <v/>
      </c>
    </row>
    <row r="8" ht="48" customHeight="1">
      <c r="A8" s="138" t="inlineStr">
        <is>
          <t>SUB-L2-12-20</t>
        </is>
      </c>
      <c r="B8" s="34" t="inlineStr">
        <is>
          <t>Закрытые условия на абонементы</t>
        </is>
      </c>
      <c r="C8" s="79" t="inlineStr">
        <is>
          <t>2 уровень</t>
        </is>
      </c>
      <c r="D8" s="34" t="inlineStr">
        <is>
          <t>Скидка 20% на абонемент 12 занятий</t>
        </is>
      </c>
      <c r="E8" s="34" t="inlineStr">
        <is>
          <t>Скидка</t>
        </is>
      </c>
      <c r="F8" s="139" t="n">
        <v>0.2</v>
      </c>
      <c r="G8" s="34" t="inlineStr">
        <is>
          <t>При покупке абонемента на 12 занятий</t>
        </is>
      </c>
      <c r="H8" s="34" t="str"/>
      <c r="I8" s="130" t="n">
        <v>200</v>
      </c>
      <c r="J8" s="130">
        <f>COUNTIF('Промокоды'!$A$5:$A$2407,A8)</f>
        <v/>
      </c>
      <c r="K8" s="43">
        <f>IF(J8=I8,"OK","Ошибка")</f>
        <v/>
      </c>
    </row>
    <row r="9" ht="48" customHeight="1">
      <c r="A9" s="138" t="inlineStr">
        <is>
          <t>SUB-L3-12-25</t>
        </is>
      </c>
      <c r="B9" s="34" t="inlineStr">
        <is>
          <t>Закрытые условия на абонементы</t>
        </is>
      </c>
      <c r="C9" s="79" t="inlineStr">
        <is>
          <t>3 уровень</t>
        </is>
      </c>
      <c r="D9" s="34" t="inlineStr">
        <is>
          <t>Скидка 25% на абонемент 12 занятий</t>
        </is>
      </c>
      <c r="E9" s="34" t="inlineStr">
        <is>
          <t>Скидка</t>
        </is>
      </c>
      <c r="F9" s="139" t="n">
        <v>0.25</v>
      </c>
      <c r="G9" s="34" t="inlineStr">
        <is>
          <t>При покупке абонемента на 12 занятий</t>
        </is>
      </c>
      <c r="H9" s="34" t="str"/>
      <c r="I9" s="130" t="n">
        <v>200</v>
      </c>
      <c r="J9" s="130">
        <f>COUNTIF('Промокоды'!$A$5:$A$2407,A9)</f>
        <v/>
      </c>
      <c r="K9" s="43">
        <f>IF(J9=I9,"OK","Ошибка")</f>
        <v/>
      </c>
    </row>
    <row r="10" ht="48" customHeight="1">
      <c r="A10" s="138" t="inlineStr">
        <is>
          <t>SUB-L3-12-30</t>
        </is>
      </c>
      <c r="B10" s="34" t="inlineStr">
        <is>
          <t>Закрытые условия на абонементы</t>
        </is>
      </c>
      <c r="C10" s="79" t="inlineStr">
        <is>
          <t>3 уровень</t>
        </is>
      </c>
      <c r="D10" s="34" t="inlineStr">
        <is>
          <t>Скидка 30% на абонемент 12 занятий</t>
        </is>
      </c>
      <c r="E10" s="34" t="inlineStr">
        <is>
          <t>Скидка</t>
        </is>
      </c>
      <c r="F10" s="139" t="n">
        <v>0.3</v>
      </c>
      <c r="G10" s="34" t="inlineStr">
        <is>
          <t>При покупке абонемента на 12 занятий</t>
        </is>
      </c>
      <c r="H10" s="34" t="str"/>
      <c r="I10" s="130" t="n">
        <v>200</v>
      </c>
      <c r="J10" s="130">
        <f>COUNTIF('Промокоды'!$A$5:$A$2407,A10)</f>
        <v/>
      </c>
      <c r="K10" s="43">
        <f>IF(J10=I10,"OK","Ошибка")</f>
        <v/>
      </c>
    </row>
    <row r="11" ht="48" customHeight="1">
      <c r="A11" s="138" t="inlineStr">
        <is>
          <t>SUB-L3-12-40</t>
        </is>
      </c>
      <c r="B11" s="34" t="inlineStr">
        <is>
          <t>Закрытые условия на абонементы</t>
        </is>
      </c>
      <c r="C11" s="79" t="inlineStr">
        <is>
          <t>3 уровень</t>
        </is>
      </c>
      <c r="D11" s="34" t="inlineStr">
        <is>
          <t>Скидка 40% на абонемент 12 занятий</t>
        </is>
      </c>
      <c r="E11" s="34" t="inlineStr">
        <is>
          <t>Скидка</t>
        </is>
      </c>
      <c r="F11" s="139" t="n">
        <v>0.4</v>
      </c>
      <c r="G11" s="34" t="inlineStr">
        <is>
          <t>При покупке абонемента на 12 занятий</t>
        </is>
      </c>
      <c r="H11" s="34" t="str"/>
      <c r="I11" s="130" t="n">
        <v>200</v>
      </c>
      <c r="J11" s="130">
        <f>COUNTIF('Промокоды'!$A$5:$A$2407,A11)</f>
        <v/>
      </c>
      <c r="K11" s="43">
        <f>IF(J11=I11,"OK","Ошибка")</f>
        <v/>
      </c>
    </row>
    <row r="12" ht="48" customHeight="1">
      <c r="A12" s="138" t="inlineStr">
        <is>
          <t>SUPER-08-FREE</t>
        </is>
      </c>
      <c r="B12" s="34" t="inlineStr">
        <is>
          <t>Суперприз</t>
        </is>
      </c>
      <c r="C12" s="79" t="inlineStr">
        <is>
          <t>Суперприз</t>
        </is>
      </c>
      <c r="D12" s="34" t="inlineStr">
        <is>
          <t>Бесплатный абонемент на 8 занятий</t>
        </is>
      </c>
      <c r="E12" s="34" t="inlineStr">
        <is>
          <t>Бесплатный абонемент</t>
        </is>
      </c>
      <c r="F12" s="139" t="n"/>
      <c r="G12" s="34" t="inlineStr">
        <is>
          <t>Один промокод дает один бесплатный абонемент на 8 занятий</t>
        </is>
      </c>
      <c r="H12" s="34" t="inlineStr">
        <is>
          <t>Всего выпущено 3 промокода</t>
        </is>
      </c>
      <c r="I12" s="130" t="n">
        <v>3</v>
      </c>
      <c r="J12" s="130">
        <f>COUNTIF('Промокоды'!$A$5:$A$2407,A12)</f>
        <v/>
      </c>
      <c r="K12" s="43">
        <f>IF(J12=I12,"OK","Ошибка")</f>
        <v/>
      </c>
    </row>
    <row r="13" ht="48" customHeight="1">
      <c r="A13" s="138" t="inlineStr">
        <is>
          <t>BONUS-L1-TRIAL-3FOR2</t>
        </is>
      </c>
      <c r="B13" s="34" t="inlineStr">
        <is>
          <t>Призы не на абонементы</t>
        </is>
      </c>
      <c r="C13" s="79" t="inlineStr">
        <is>
          <t>1 уровень</t>
        </is>
      </c>
      <c r="D13" s="34" t="inlineStr">
        <is>
          <t>Апгрейд: 3 пробных занятия по цене 2</t>
        </is>
      </c>
      <c r="E13" s="34" t="inlineStr">
        <is>
          <t>Апгрейд</t>
        </is>
      </c>
      <c r="F13" s="139" t="n"/>
      <c r="G13" s="34" t="inlineStr">
        <is>
          <t>Оплата двух пробных занятий дает право посетить три</t>
        </is>
      </c>
      <c r="H13" s="34" t="str"/>
      <c r="I13" s="130" t="n">
        <v>200</v>
      </c>
      <c r="J13" s="130">
        <f>COUNTIF('Промокоды'!$A$5:$A$2407,A13)</f>
        <v/>
      </c>
      <c r="K13" s="43">
        <f>IF(J13=I13,"OK","Ошибка")</f>
        <v/>
      </c>
    </row>
    <row r="14" ht="48" customHeight="1">
      <c r="A14" s="138" t="inlineStr">
        <is>
          <t>BONUS-L1-PLUS7</t>
        </is>
      </c>
      <c r="B14" s="34" t="inlineStr">
        <is>
          <t>Призы не на абонементы</t>
        </is>
      </c>
      <c r="C14" s="79" t="inlineStr">
        <is>
          <t>1 уровень</t>
        </is>
      </c>
      <c r="D14" s="34" t="inlineStr">
        <is>
          <t>+7 дней к сроку действия абонемента</t>
        </is>
      </c>
      <c r="E14" s="34" t="inlineStr">
        <is>
          <t>Продление</t>
        </is>
      </c>
      <c r="F14" s="139" t="n"/>
      <c r="G14" s="34" t="inlineStr">
        <is>
          <t>При покупке абонемента на 8 или 12 занятий</t>
        </is>
      </c>
      <c r="H14" s="34" t="str"/>
      <c r="I14" s="130" t="n">
        <v>200</v>
      </c>
      <c r="J14" s="130">
        <f>COUNTIF('Промокоды'!$A$5:$A$2407,A14)</f>
        <v/>
      </c>
      <c r="K14" s="43">
        <f>IF(J14=I14,"OK","Ошибка")</f>
        <v/>
      </c>
    </row>
    <row r="15" ht="48" customHeight="1">
      <c r="A15" s="138" t="inlineStr">
        <is>
          <t>BONUS-L1-FREEZE</t>
        </is>
      </c>
      <c r="B15" s="34" t="inlineStr">
        <is>
          <t>Призы не на абонементы</t>
        </is>
      </c>
      <c r="C15" s="79" t="inlineStr">
        <is>
          <t>1 уровень</t>
        </is>
      </c>
      <c r="D15" s="34" t="inlineStr">
        <is>
          <t>Дополнительная заморозка абонемента</t>
        </is>
      </c>
      <c r="E15" s="34" t="inlineStr">
        <is>
          <t>Заморозка</t>
        </is>
      </c>
      <c r="F15" s="139" t="n"/>
      <c r="G15" s="34" t="inlineStr">
        <is>
          <t>При покупке абонемента</t>
        </is>
      </c>
      <c r="H15" s="34" t="str"/>
      <c r="I15" s="130" t="n">
        <v>200</v>
      </c>
      <c r="J15" s="130">
        <f>COUNTIF('Промокоды'!$A$5:$A$2407,A15)</f>
        <v/>
      </c>
      <c r="K15" s="43">
        <f>IF(J15=I15,"OK","Ошибка")</f>
        <v/>
      </c>
    </row>
    <row r="16" ht="48" customHeight="1">
      <c r="A16" s="138" t="inlineStr">
        <is>
          <t>BONUS-L1-FRIEND-15</t>
        </is>
      </c>
      <c r="B16" s="34" t="inlineStr">
        <is>
          <t>Призы не на абонементы</t>
        </is>
      </c>
      <c r="C16" s="79" t="inlineStr">
        <is>
          <t>1 уровень</t>
        </is>
      </c>
      <c r="D16" s="34" t="inlineStr">
        <is>
          <t>Скидка 15% на второй абонемент для подруги</t>
        </is>
      </c>
      <c r="E16" s="34" t="inlineStr">
        <is>
          <t>Скидка</t>
        </is>
      </c>
      <c r="F16" s="139" t="n">
        <v>0.15</v>
      </c>
      <c r="G16" s="34" t="inlineStr">
        <is>
          <t>При покупке второго абонемента для подруги</t>
        </is>
      </c>
      <c r="H16" s="34" t="str"/>
      <c r="I16" s="130" t="n">
        <v>200</v>
      </c>
      <c r="J16" s="130">
        <f>COUNTIF('Промокоды'!$A$5:$A$2407,A16)</f>
        <v/>
      </c>
      <c r="K16" s="43">
        <f>IF(J16=I16,"OK","Ошибка")</f>
        <v/>
      </c>
    </row>
    <row r="17" ht="48" customHeight="1">
      <c r="A17" s="140" t="inlineStr">
        <is>
          <t>BONUS-L2-PAIR</t>
        </is>
      </c>
      <c r="B17" s="35" t="inlineStr">
        <is>
          <t>Призы не на абонементы</t>
        </is>
      </c>
      <c r="C17" s="80" t="inlineStr">
        <is>
          <t>2 уровень</t>
        </is>
      </c>
      <c r="D17" s="35" t="inlineStr">
        <is>
          <t>Парный старт: закрытая цена на 2 абонемента</t>
        </is>
      </c>
      <c r="E17" s="35" t="inlineStr">
        <is>
          <t>Закрытая цена</t>
        </is>
      </c>
      <c r="F17" s="141" t="n"/>
      <c r="G17" s="35" t="inlineStr">
        <is>
          <t>Покупка двух абонементов при совместном старте с подругой</t>
        </is>
      </c>
      <c r="H17" s="35" t="inlineStr">
        <is>
          <t>Размер закрытой цены в исходных условиях не указан</t>
        </is>
      </c>
      <c r="I17" s="142" t="n">
        <v>200</v>
      </c>
      <c r="J17" s="142">
        <f>COUNTIF('Промокоды'!$A$5:$A$2407,A17)</f>
        <v/>
      </c>
      <c r="K17" s="44">
        <f>IF(J17=I17,"OK","Ошибка")</f>
        <v/>
      </c>
    </row>
  </sheetData>
  <mergeCells count="2">
    <mergeCell ref="A2:K2"/>
    <mergeCell ref="A1:K1"/>
  </mergeCells>
  <conditionalFormatting sqref="C5:C17">
    <cfRule type="containsText" priority="1" operator="containsText" dxfId="5" text="1 уровень"/>
    <cfRule type="containsText" priority="2" operator="containsText" dxfId="6" text="2 уровень"/>
    <cfRule type="containsText" priority="3" operator="containsText" dxfId="7" text="3 уровень"/>
    <cfRule type="containsText" priority="4" operator="containsText" dxfId="8" text="Суперприз"/>
  </conditionalFormatting>
  <conditionalFormatting sqref="K5:K17">
    <cfRule type="containsText" priority="5" operator="containsText" dxfId="2" text="Ошибка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07"/>
  <sheetViews>
    <sheetView showGridLines="0" workbookViewId="0">
      <selection activeCell="A1" sqref="A1"/>
    </sheetView>
  </sheetViews>
  <sheetFormatPr baseColWidth="8" defaultRowHeight="15"/>
  <cols>
    <col width="12.5" customWidth="1" min="1" max="1"/>
    <col width="11.25" customWidth="1" min="2" max="2"/>
    <col width="23.75" customWidth="1" min="3" max="3"/>
    <col width="37.5" customWidth="1" min="4" max="4"/>
    <col width="41.25" customWidth="1" min="5" max="5"/>
    <col width="19.3799991607666" customWidth="1" min="6" max="6"/>
    <col width="14.38000011444092" customWidth="1" min="7" max="7"/>
    <col width="15.63000011444092" customWidth="1" min="8" max="8"/>
    <col width="21.25" customWidth="1" min="9" max="9"/>
    <col width="26.25" customWidth="1" min="10" max="10"/>
    <col width="10" customWidth="1" min="11" max="11"/>
    <col width="11.25" customWidth="1" min="12" max="12"/>
  </cols>
  <sheetData>
    <row r="1" ht="34" customHeight="1">
      <c r="A1" s="3" t="inlineStr">
        <is>
          <t>Промокоды для призов игры Flexy Way</t>
        </is>
      </c>
    </row>
    <row r="2" ht="30" customHeight="1">
      <c r="A2" s="7" t="inlineStr">
        <is>
          <t>2 403 уникальных кода: по 200 для каждого обычного приза и 3 для суперприза. Обновляйте статус, дату и данные клиента по мере использования.</t>
        </is>
      </c>
    </row>
    <row r="4" ht="30" customHeight="1">
      <c r="A4" s="13" t="inlineStr">
        <is>
          <t>Код приза</t>
        </is>
      </c>
      <c r="B4" s="13" t="inlineStr">
        <is>
          <t>Уровень</t>
        </is>
      </c>
      <c r="C4" s="13" t="inlineStr">
        <is>
          <t>Категория</t>
        </is>
      </c>
      <c r="D4" s="13" t="inlineStr">
        <is>
          <t>Приз</t>
        </is>
      </c>
      <c r="E4" s="13" t="inlineStr">
        <is>
          <t>Условия применения</t>
        </is>
      </c>
      <c r="F4" s="13" t="inlineStr">
        <is>
          <t>Промокод</t>
        </is>
      </c>
      <c r="G4" s="13" t="inlineStr">
        <is>
          <t>Статус</t>
        </is>
      </c>
      <c r="H4" s="13" t="inlineStr">
        <is>
          <t>Дата использования</t>
        </is>
      </c>
      <c r="I4" s="13" t="inlineStr">
        <is>
          <t>Получатель / клиент</t>
        </is>
      </c>
      <c r="J4" s="13" t="inlineStr">
        <is>
          <t>Комментарий</t>
        </is>
      </c>
      <c r="K4" s="13" t="inlineStr">
        <is>
          <t>№ в пуле</t>
        </is>
      </c>
      <c r="L4" s="13" t="inlineStr">
        <is>
          <t>Контроль</t>
        </is>
      </c>
    </row>
    <row r="5" ht="38" customHeight="1">
      <c r="A5" s="143" t="inlineStr">
        <is>
          <t>SUB-L1-04-10</t>
        </is>
      </c>
      <c r="B5" s="37" t="inlineStr">
        <is>
          <t>1 уровень</t>
        </is>
      </c>
      <c r="C5" s="33" t="inlineStr">
        <is>
          <t>Закрытые условия на абонементы</t>
        </is>
      </c>
      <c r="D5" s="33" t="inlineStr">
        <is>
          <t>Скидка 10% на абонемент 4 занятия</t>
        </is>
      </c>
      <c r="E5" s="33" t="inlineStr">
        <is>
          <t>При покупке абонемента на 4 занятия</t>
        </is>
      </c>
      <c r="F5" s="144" t="inlineStr">
        <is>
          <t>FW-L1-8LLQL-ZMXLC</t>
        </is>
      </c>
      <c r="G5" s="37" t="inlineStr">
        <is>
          <t>Использован</t>
        </is>
      </c>
      <c r="H5" s="163" t="n">
        <v>46249.25784722222</v>
      </c>
      <c r="I5" s="33" t="inlineStr">
        <is>
          <t>Роман Михайлов, @RRedactor, +79035782777</t>
        </is>
      </c>
      <c r="J5" s="33" t="inlineStr">
        <is>
          <t>Выдан Telegram-ботом; Роман Михайлов, @RRedactor, +79035782777; сессия: session_461c9dbf1567</t>
        </is>
      </c>
      <c r="K5" s="137" t="n">
        <v>1</v>
      </c>
      <c r="L5" s="42">
        <f>IF(COUNTIF($F$5:$F$2407,F5)=1,"OK","Дубликат")</f>
        <v/>
      </c>
    </row>
    <row r="6" ht="38" customHeight="1">
      <c r="A6" s="146" t="inlineStr">
        <is>
          <t>SUB-L1-04-10</t>
        </is>
      </c>
      <c r="B6" s="39" t="inlineStr">
        <is>
          <t>1 уровень</t>
        </is>
      </c>
      <c r="C6" s="34" t="inlineStr">
        <is>
          <t>Закрытые условия на абонементы</t>
        </is>
      </c>
      <c r="D6" s="34" t="inlineStr">
        <is>
          <t>Скидка 10% на абонемент 4 занятия</t>
        </is>
      </c>
      <c r="E6" s="34" t="inlineStr">
        <is>
          <t>При покупке абонемента на 4 занятия</t>
        </is>
      </c>
      <c r="F6" s="147" t="inlineStr">
        <is>
          <t>FW-L1-TQ8VB-FWRDX</t>
        </is>
      </c>
      <c r="G6" s="39" t="inlineStr">
        <is>
          <t>Использован</t>
        </is>
      </c>
      <c r="H6" s="149" t="n">
        <v>46249.27737268519</v>
      </c>
      <c r="I6" s="34" t="inlineStr">
        <is>
          <t>Роман Михайлов, @RRedactor, +79035782777</t>
        </is>
      </c>
      <c r="J6" s="34" t="inlineStr">
        <is>
          <t>Выдан Telegram-ботом; Роман Михайлов, @RRedactor, +79035782777; сессия: session_9d377af4d448</t>
        </is>
      </c>
      <c r="K6" s="130" t="n">
        <v>2</v>
      </c>
      <c r="L6" s="43">
        <f>IF(COUNTIF($F$5:$F$2407,F6)=1,"OK","Дубликат")</f>
        <v/>
      </c>
    </row>
    <row r="7" ht="38" customHeight="1">
      <c r="A7" s="146" t="inlineStr">
        <is>
          <t>SUB-L1-04-10</t>
        </is>
      </c>
      <c r="B7" s="39" t="inlineStr">
        <is>
          <t>1 уровень</t>
        </is>
      </c>
      <c r="C7" s="34" t="inlineStr">
        <is>
          <t>Закрытые условия на абонементы</t>
        </is>
      </c>
      <c r="D7" s="34" t="inlineStr">
        <is>
          <t>Скидка 10% на абонемент 4 занятия</t>
        </is>
      </c>
      <c r="E7" s="34" t="inlineStr">
        <is>
          <t>При покупке абонемента на 4 занятия</t>
        </is>
      </c>
      <c r="F7" s="147" t="inlineStr">
        <is>
          <t>FW-L1-VCDZQ-G894D</t>
        </is>
      </c>
      <c r="G7" s="39" t="inlineStr">
        <is>
          <t>Не использован</t>
        </is>
      </c>
      <c r="H7" s="148" t="n"/>
      <c r="I7" s="34" t="str"/>
      <c r="J7" s="34" t="str"/>
      <c r="K7" s="130" t="n">
        <v>3</v>
      </c>
      <c r="L7" s="43">
        <f>IF(COUNTIF($F$5:$F$2407,F7)=1,"OK","Дубликат")</f>
        <v/>
      </c>
    </row>
    <row r="8" ht="38" customHeight="1">
      <c r="A8" s="146" t="inlineStr">
        <is>
          <t>SUB-L1-04-10</t>
        </is>
      </c>
      <c r="B8" s="39" t="inlineStr">
        <is>
          <t>1 уровень</t>
        </is>
      </c>
      <c r="C8" s="34" t="inlineStr">
        <is>
          <t>Закрытые условия на абонементы</t>
        </is>
      </c>
      <c r="D8" s="34" t="inlineStr">
        <is>
          <t>Скидка 10% на абонемент 4 занятия</t>
        </is>
      </c>
      <c r="E8" s="34" t="inlineStr">
        <is>
          <t>При покупке абонемента на 4 занятия</t>
        </is>
      </c>
      <c r="F8" s="147" t="inlineStr">
        <is>
          <t>FW-L1-WP3XY-L5QW6</t>
        </is>
      </c>
      <c r="G8" s="39" t="inlineStr">
        <is>
          <t>Не использован</t>
        </is>
      </c>
      <c r="H8" s="148" t="n"/>
      <c r="I8" s="34" t="str"/>
      <c r="J8" s="34" t="str"/>
      <c r="K8" s="130" t="n">
        <v>4</v>
      </c>
      <c r="L8" s="43">
        <f>IF(COUNTIF($F$5:$F$2407,F8)=1,"OK","Дубликат")</f>
        <v/>
      </c>
    </row>
    <row r="9" ht="38" customHeight="1">
      <c r="A9" s="146" t="inlineStr">
        <is>
          <t>SUB-L1-04-10</t>
        </is>
      </c>
      <c r="B9" s="39" t="inlineStr">
        <is>
          <t>1 уровень</t>
        </is>
      </c>
      <c r="C9" s="34" t="inlineStr">
        <is>
          <t>Закрытые условия на абонементы</t>
        </is>
      </c>
      <c r="D9" s="34" t="inlineStr">
        <is>
          <t>Скидка 10% на абонемент 4 занятия</t>
        </is>
      </c>
      <c r="E9" s="34" t="inlineStr">
        <is>
          <t>При покупке абонемента на 4 занятия</t>
        </is>
      </c>
      <c r="F9" s="147" t="inlineStr">
        <is>
          <t>FW-L1-WXCSU-KJ3QC</t>
        </is>
      </c>
      <c r="G9" s="39" t="inlineStr">
        <is>
          <t>Не использован</t>
        </is>
      </c>
      <c r="H9" s="148" t="n"/>
      <c r="I9" s="34" t="str"/>
      <c r="J9" s="34" t="str"/>
      <c r="K9" s="130" t="n">
        <v>5</v>
      </c>
      <c r="L9" s="43">
        <f>IF(COUNTIF($F$5:$F$2407,F9)=1,"OK","Дубликат")</f>
        <v/>
      </c>
    </row>
    <row r="10" ht="38" customHeight="1">
      <c r="A10" s="146" t="inlineStr">
        <is>
          <t>SUB-L1-04-10</t>
        </is>
      </c>
      <c r="B10" s="39" t="inlineStr">
        <is>
          <t>1 уровень</t>
        </is>
      </c>
      <c r="C10" s="34" t="inlineStr">
        <is>
          <t>Закрытые условия на абонементы</t>
        </is>
      </c>
      <c r="D10" s="34" t="inlineStr">
        <is>
          <t>Скидка 10% на абонемент 4 занятия</t>
        </is>
      </c>
      <c r="E10" s="34" t="inlineStr">
        <is>
          <t>При покупке абонемента на 4 занятия</t>
        </is>
      </c>
      <c r="F10" s="147" t="inlineStr">
        <is>
          <t>FW-L1-BU5QF-U9R3H</t>
        </is>
      </c>
      <c r="G10" s="39" t="inlineStr">
        <is>
          <t>Не использован</t>
        </is>
      </c>
      <c r="H10" s="148" t="n"/>
      <c r="I10" s="34" t="str"/>
      <c r="J10" s="34" t="str"/>
      <c r="K10" s="130" t="n">
        <v>6</v>
      </c>
      <c r="L10" s="43">
        <f>IF(COUNTIF($F$5:$F$2407,F10)=1,"OK","Дубликат")</f>
        <v/>
      </c>
    </row>
    <row r="11" ht="38" customHeight="1">
      <c r="A11" s="146" t="inlineStr">
        <is>
          <t>SUB-L1-04-10</t>
        </is>
      </c>
      <c r="B11" s="39" t="inlineStr">
        <is>
          <t>1 уровень</t>
        </is>
      </c>
      <c r="C11" s="34" t="inlineStr">
        <is>
          <t>Закрытые условия на абонементы</t>
        </is>
      </c>
      <c r="D11" s="34" t="inlineStr">
        <is>
          <t>Скидка 10% на абонемент 4 занятия</t>
        </is>
      </c>
      <c r="E11" s="34" t="inlineStr">
        <is>
          <t>При покупке абонемента на 4 занятия</t>
        </is>
      </c>
      <c r="F11" s="147" t="inlineStr">
        <is>
          <t>FW-L1-E2A4H-PEV2W</t>
        </is>
      </c>
      <c r="G11" s="39" t="inlineStr">
        <is>
          <t>Не использован</t>
        </is>
      </c>
      <c r="H11" s="148" t="n"/>
      <c r="I11" s="34" t="str"/>
      <c r="J11" s="34" t="str"/>
      <c r="K11" s="130" t="n">
        <v>7</v>
      </c>
      <c r="L11" s="43">
        <f>IF(COUNTIF($F$5:$F$2407,F11)=1,"OK","Дубликат")</f>
        <v/>
      </c>
    </row>
    <row r="12" ht="38" customHeight="1">
      <c r="A12" s="146" t="inlineStr">
        <is>
          <t>SUB-L1-04-10</t>
        </is>
      </c>
      <c r="B12" s="39" t="inlineStr">
        <is>
          <t>1 уровень</t>
        </is>
      </c>
      <c r="C12" s="34" t="inlineStr">
        <is>
          <t>Закрытые условия на абонементы</t>
        </is>
      </c>
      <c r="D12" s="34" t="inlineStr">
        <is>
          <t>Скидка 10% на абонемент 4 занятия</t>
        </is>
      </c>
      <c r="E12" s="34" t="inlineStr">
        <is>
          <t>При покупке абонемента на 4 занятия</t>
        </is>
      </c>
      <c r="F12" s="147" t="inlineStr">
        <is>
          <t>FW-L1-8E2ZA-VLSUS</t>
        </is>
      </c>
      <c r="G12" s="39" t="inlineStr">
        <is>
          <t>Не использован</t>
        </is>
      </c>
      <c r="H12" s="148" t="n"/>
      <c r="I12" s="34" t="str"/>
      <c r="J12" s="34" t="str"/>
      <c r="K12" s="130" t="n">
        <v>8</v>
      </c>
      <c r="L12" s="43">
        <f>IF(COUNTIF($F$5:$F$2407,F12)=1,"OK","Дубликат")</f>
        <v/>
      </c>
    </row>
    <row r="13" ht="38" customHeight="1">
      <c r="A13" s="146" t="inlineStr">
        <is>
          <t>SUB-L1-04-10</t>
        </is>
      </c>
      <c r="B13" s="39" t="inlineStr">
        <is>
          <t>1 уровень</t>
        </is>
      </c>
      <c r="C13" s="34" t="inlineStr">
        <is>
          <t>Закрытые условия на абонементы</t>
        </is>
      </c>
      <c r="D13" s="34" t="inlineStr">
        <is>
          <t>Скидка 10% на абонемент 4 занятия</t>
        </is>
      </c>
      <c r="E13" s="34" t="inlineStr">
        <is>
          <t>При покупке абонемента на 4 занятия</t>
        </is>
      </c>
      <c r="F13" s="147" t="inlineStr">
        <is>
          <t>FW-L1-JLM8C-M2ANJ</t>
        </is>
      </c>
      <c r="G13" s="39" t="inlineStr">
        <is>
          <t>Не использован</t>
        </is>
      </c>
      <c r="H13" s="148" t="n"/>
      <c r="I13" s="34" t="str"/>
      <c r="J13" s="34" t="str"/>
      <c r="K13" s="130" t="n">
        <v>9</v>
      </c>
      <c r="L13" s="43">
        <f>IF(COUNTIF($F$5:$F$2407,F13)=1,"OK","Дубликат")</f>
        <v/>
      </c>
    </row>
    <row r="14" ht="38" customHeight="1">
      <c r="A14" s="146" t="inlineStr">
        <is>
          <t>SUB-L1-04-10</t>
        </is>
      </c>
      <c r="B14" s="39" t="inlineStr">
        <is>
          <t>1 уровень</t>
        </is>
      </c>
      <c r="C14" s="34" t="inlineStr">
        <is>
          <t>Закрытые условия на абонементы</t>
        </is>
      </c>
      <c r="D14" s="34" t="inlineStr">
        <is>
          <t>Скидка 10% на абонемент 4 занятия</t>
        </is>
      </c>
      <c r="E14" s="34" t="inlineStr">
        <is>
          <t>При покупке абонемента на 4 занятия</t>
        </is>
      </c>
      <c r="F14" s="147" t="inlineStr">
        <is>
          <t>FW-L1-NF47F-4DSZ3</t>
        </is>
      </c>
      <c r="G14" s="39" t="inlineStr">
        <is>
          <t>Не использован</t>
        </is>
      </c>
      <c r="H14" s="148" t="n"/>
      <c r="I14" s="34" t="str"/>
      <c r="J14" s="34" t="str"/>
      <c r="K14" s="130" t="n">
        <v>10</v>
      </c>
      <c r="L14" s="43">
        <f>IF(COUNTIF($F$5:$F$2407,F14)=1,"OK","Дубликат")</f>
        <v/>
      </c>
    </row>
    <row r="15" ht="38" customHeight="1">
      <c r="A15" s="146" t="inlineStr">
        <is>
          <t>SUB-L1-04-10</t>
        </is>
      </c>
      <c r="B15" s="39" t="inlineStr">
        <is>
          <t>1 уровень</t>
        </is>
      </c>
      <c r="C15" s="34" t="inlineStr">
        <is>
          <t>Закрытые условия на абонементы</t>
        </is>
      </c>
      <c r="D15" s="34" t="inlineStr">
        <is>
          <t>Скидка 10% на абонемент 4 занятия</t>
        </is>
      </c>
      <c r="E15" s="34" t="inlineStr">
        <is>
          <t>При покупке абонемента на 4 занятия</t>
        </is>
      </c>
      <c r="F15" s="147" t="inlineStr">
        <is>
          <t>FW-L1-G7REC-2THG4</t>
        </is>
      </c>
      <c r="G15" s="39" t="inlineStr">
        <is>
          <t>Не использован</t>
        </is>
      </c>
      <c r="H15" s="148" t="n"/>
      <c r="I15" s="34" t="str"/>
      <c r="J15" s="34" t="str"/>
      <c r="K15" s="130" t="n">
        <v>11</v>
      </c>
      <c r="L15" s="43">
        <f>IF(COUNTIF($F$5:$F$2407,F15)=1,"OK","Дубликат")</f>
        <v/>
      </c>
    </row>
    <row r="16" ht="38" customHeight="1">
      <c r="A16" s="146" t="inlineStr">
        <is>
          <t>SUB-L1-04-10</t>
        </is>
      </c>
      <c r="B16" s="39" t="inlineStr">
        <is>
          <t>1 уровень</t>
        </is>
      </c>
      <c r="C16" s="34" t="inlineStr">
        <is>
          <t>Закрытые условия на абонементы</t>
        </is>
      </c>
      <c r="D16" s="34" t="inlineStr">
        <is>
          <t>Скидка 10% на абонемент 4 занятия</t>
        </is>
      </c>
      <c r="E16" s="34" t="inlineStr">
        <is>
          <t>При покупке абонемента на 4 занятия</t>
        </is>
      </c>
      <c r="F16" s="147" t="inlineStr">
        <is>
          <t>FW-L1-H2RHX-ATYCV</t>
        </is>
      </c>
      <c r="G16" s="39" t="inlineStr">
        <is>
          <t>Не использован</t>
        </is>
      </c>
      <c r="H16" s="148" t="n"/>
      <c r="I16" s="34" t="str"/>
      <c r="J16" s="34" t="str"/>
      <c r="K16" s="130" t="n">
        <v>12</v>
      </c>
      <c r="L16" s="43">
        <f>IF(COUNTIF($F$5:$F$2407,F16)=1,"OK","Дубликат")</f>
        <v/>
      </c>
    </row>
    <row r="17" ht="38" customHeight="1">
      <c r="A17" s="146" t="inlineStr">
        <is>
          <t>SUB-L1-04-10</t>
        </is>
      </c>
      <c r="B17" s="39" t="inlineStr">
        <is>
          <t>1 уровень</t>
        </is>
      </c>
      <c r="C17" s="34" t="inlineStr">
        <is>
          <t>Закрытые условия на абонементы</t>
        </is>
      </c>
      <c r="D17" s="34" t="inlineStr">
        <is>
          <t>Скидка 10% на абонемент 4 занятия</t>
        </is>
      </c>
      <c r="E17" s="34" t="inlineStr">
        <is>
          <t>При покупке абонемента на 4 занятия</t>
        </is>
      </c>
      <c r="F17" s="147" t="inlineStr">
        <is>
          <t>FW-L1-9SCLA-SD7KU</t>
        </is>
      </c>
      <c r="G17" s="39" t="inlineStr">
        <is>
          <t>Не использован</t>
        </is>
      </c>
      <c r="H17" s="148" t="n"/>
      <c r="I17" s="34" t="str"/>
      <c r="J17" s="34" t="str"/>
      <c r="K17" s="130" t="n">
        <v>13</v>
      </c>
      <c r="L17" s="43">
        <f>IF(COUNTIF($F$5:$F$2407,F17)=1,"OK","Дубликат")</f>
        <v/>
      </c>
    </row>
    <row r="18" ht="38" customHeight="1">
      <c r="A18" s="146" t="inlineStr">
        <is>
          <t>SUB-L1-04-10</t>
        </is>
      </c>
      <c r="B18" s="39" t="inlineStr">
        <is>
          <t>1 уровень</t>
        </is>
      </c>
      <c r="C18" s="34" t="inlineStr">
        <is>
          <t>Закрытые условия на абонементы</t>
        </is>
      </c>
      <c r="D18" s="34" t="inlineStr">
        <is>
          <t>Скидка 10% на абонемент 4 занятия</t>
        </is>
      </c>
      <c r="E18" s="34" t="inlineStr">
        <is>
          <t>При покупке абонемента на 4 занятия</t>
        </is>
      </c>
      <c r="F18" s="147" t="inlineStr">
        <is>
          <t>FW-L1-2UHJ8-PFP84</t>
        </is>
      </c>
      <c r="G18" s="39" t="inlineStr">
        <is>
          <t>Не использован</t>
        </is>
      </c>
      <c r="H18" s="148" t="n"/>
      <c r="I18" s="34" t="str"/>
      <c r="J18" s="34" t="str"/>
      <c r="K18" s="130" t="n">
        <v>14</v>
      </c>
      <c r="L18" s="43">
        <f>IF(COUNTIF($F$5:$F$2407,F18)=1,"OK","Дубликат")</f>
        <v/>
      </c>
    </row>
    <row r="19" ht="38" customHeight="1">
      <c r="A19" s="146" t="inlineStr">
        <is>
          <t>SUB-L1-04-10</t>
        </is>
      </c>
      <c r="B19" s="39" t="inlineStr">
        <is>
          <t>1 уровень</t>
        </is>
      </c>
      <c r="C19" s="34" t="inlineStr">
        <is>
          <t>Закрытые условия на абонементы</t>
        </is>
      </c>
      <c r="D19" s="34" t="inlineStr">
        <is>
          <t>Скидка 10% на абонемент 4 занятия</t>
        </is>
      </c>
      <c r="E19" s="34" t="inlineStr">
        <is>
          <t>При покупке абонемента на 4 занятия</t>
        </is>
      </c>
      <c r="F19" s="147" t="inlineStr">
        <is>
          <t>FW-L1-4F34F-UTSH2</t>
        </is>
      </c>
      <c r="G19" s="39" t="inlineStr">
        <is>
          <t>Не использован</t>
        </is>
      </c>
      <c r="H19" s="148" t="n"/>
      <c r="I19" s="34" t="str"/>
      <c r="J19" s="34" t="str"/>
      <c r="K19" s="130" t="n">
        <v>15</v>
      </c>
      <c r="L19" s="43">
        <f>IF(COUNTIF($F$5:$F$2407,F19)=1,"OK","Дубликат")</f>
        <v/>
      </c>
    </row>
    <row r="20" ht="38" customHeight="1">
      <c r="A20" s="146" t="inlineStr">
        <is>
          <t>SUB-L1-04-10</t>
        </is>
      </c>
      <c r="B20" s="39" t="inlineStr">
        <is>
          <t>1 уровень</t>
        </is>
      </c>
      <c r="C20" s="34" t="inlineStr">
        <is>
          <t>Закрытые условия на абонементы</t>
        </is>
      </c>
      <c r="D20" s="34" t="inlineStr">
        <is>
          <t>Скидка 10% на абонемент 4 занятия</t>
        </is>
      </c>
      <c r="E20" s="34" t="inlineStr">
        <is>
          <t>При покупке абонемента на 4 занятия</t>
        </is>
      </c>
      <c r="F20" s="147" t="inlineStr">
        <is>
          <t>FW-L1-8TNXM-T2ZNX</t>
        </is>
      </c>
      <c r="G20" s="39" t="inlineStr">
        <is>
          <t>Не использован</t>
        </is>
      </c>
      <c r="H20" s="148" t="n"/>
      <c r="I20" s="34" t="str"/>
      <c r="J20" s="34" t="str"/>
      <c r="K20" s="130" t="n">
        <v>16</v>
      </c>
      <c r="L20" s="43">
        <f>IF(COUNTIF($F$5:$F$2407,F20)=1,"OK","Дубликат")</f>
        <v/>
      </c>
    </row>
    <row r="21" ht="38" customHeight="1">
      <c r="A21" s="146" t="inlineStr">
        <is>
          <t>SUB-L1-04-10</t>
        </is>
      </c>
      <c r="B21" s="39" t="inlineStr">
        <is>
          <t>1 уровень</t>
        </is>
      </c>
      <c r="C21" s="34" t="inlineStr">
        <is>
          <t>Закрытые условия на абонементы</t>
        </is>
      </c>
      <c r="D21" s="34" t="inlineStr">
        <is>
          <t>Скидка 10% на абонемент 4 занятия</t>
        </is>
      </c>
      <c r="E21" s="34" t="inlineStr">
        <is>
          <t>При покупке абонемента на 4 занятия</t>
        </is>
      </c>
      <c r="F21" s="147" t="inlineStr">
        <is>
          <t>FW-L1-XZPTG-PXA9J</t>
        </is>
      </c>
      <c r="G21" s="39" t="inlineStr">
        <is>
          <t>Не использован</t>
        </is>
      </c>
      <c r="H21" s="148" t="n"/>
      <c r="I21" s="34" t="str"/>
      <c r="J21" s="34" t="str"/>
      <c r="K21" s="130" t="n">
        <v>17</v>
      </c>
      <c r="L21" s="43">
        <f>IF(COUNTIF($F$5:$F$2407,F21)=1,"OK","Дубликат")</f>
        <v/>
      </c>
    </row>
    <row r="22" ht="38" customHeight="1">
      <c r="A22" s="146" t="inlineStr">
        <is>
          <t>SUB-L1-04-10</t>
        </is>
      </c>
      <c r="B22" s="39" t="inlineStr">
        <is>
          <t>1 уровень</t>
        </is>
      </c>
      <c r="C22" s="34" t="inlineStr">
        <is>
          <t>Закрытые условия на абонементы</t>
        </is>
      </c>
      <c r="D22" s="34" t="inlineStr">
        <is>
          <t>Скидка 10% на абонемент 4 занятия</t>
        </is>
      </c>
      <c r="E22" s="34" t="inlineStr">
        <is>
          <t>При покупке абонемента на 4 занятия</t>
        </is>
      </c>
      <c r="F22" s="147" t="inlineStr">
        <is>
          <t>FW-L1-4N85T-EZQ42</t>
        </is>
      </c>
      <c r="G22" s="39" t="inlineStr">
        <is>
          <t>Не использован</t>
        </is>
      </c>
      <c r="H22" s="148" t="n"/>
      <c r="I22" s="34" t="str"/>
      <c r="J22" s="34" t="str"/>
      <c r="K22" s="130" t="n">
        <v>18</v>
      </c>
      <c r="L22" s="43">
        <f>IF(COUNTIF($F$5:$F$2407,F22)=1,"OK","Дубликат")</f>
        <v/>
      </c>
    </row>
    <row r="23" ht="38" customHeight="1">
      <c r="A23" s="146" t="inlineStr">
        <is>
          <t>SUB-L1-04-10</t>
        </is>
      </c>
      <c r="B23" s="39" t="inlineStr">
        <is>
          <t>1 уровень</t>
        </is>
      </c>
      <c r="C23" s="34" t="inlineStr">
        <is>
          <t>Закрытые условия на абонементы</t>
        </is>
      </c>
      <c r="D23" s="34" t="inlineStr">
        <is>
          <t>Скидка 10% на абонемент 4 занятия</t>
        </is>
      </c>
      <c r="E23" s="34" t="inlineStr">
        <is>
          <t>При покупке абонемента на 4 занятия</t>
        </is>
      </c>
      <c r="F23" s="147" t="inlineStr">
        <is>
          <t>FW-L1-M834P-J7CDP</t>
        </is>
      </c>
      <c r="G23" s="39" t="inlineStr">
        <is>
          <t>Не использован</t>
        </is>
      </c>
      <c r="H23" s="148" t="n"/>
      <c r="I23" s="34" t="str"/>
      <c r="J23" s="34" t="str"/>
      <c r="K23" s="130" t="n">
        <v>19</v>
      </c>
      <c r="L23" s="43">
        <f>IF(COUNTIF($F$5:$F$2407,F23)=1,"OK","Дубликат")</f>
        <v/>
      </c>
    </row>
    <row r="24" ht="38" customHeight="1">
      <c r="A24" s="146" t="inlineStr">
        <is>
          <t>SUB-L1-04-10</t>
        </is>
      </c>
      <c r="B24" s="39" t="inlineStr">
        <is>
          <t>1 уровень</t>
        </is>
      </c>
      <c r="C24" s="34" t="inlineStr">
        <is>
          <t>Закрытые условия на абонементы</t>
        </is>
      </c>
      <c r="D24" s="34" t="inlineStr">
        <is>
          <t>Скидка 10% на абонемент 4 занятия</t>
        </is>
      </c>
      <c r="E24" s="34" t="inlineStr">
        <is>
          <t>При покупке абонемента на 4 занятия</t>
        </is>
      </c>
      <c r="F24" s="147" t="inlineStr">
        <is>
          <t>FW-L1-WF6DL-Z3KC5</t>
        </is>
      </c>
      <c r="G24" s="39" t="inlineStr">
        <is>
          <t>Не использован</t>
        </is>
      </c>
      <c r="H24" s="148" t="n"/>
      <c r="I24" s="34" t="str"/>
      <c r="J24" s="34" t="str"/>
      <c r="K24" s="130" t="n">
        <v>20</v>
      </c>
      <c r="L24" s="43">
        <f>IF(COUNTIF($F$5:$F$2407,F24)=1,"OK","Дубликат")</f>
        <v/>
      </c>
    </row>
    <row r="25" ht="38" customHeight="1">
      <c r="A25" s="146" t="inlineStr">
        <is>
          <t>SUB-L1-04-10</t>
        </is>
      </c>
      <c r="B25" s="39" t="inlineStr">
        <is>
          <t>1 уровень</t>
        </is>
      </c>
      <c r="C25" s="34" t="inlineStr">
        <is>
          <t>Закрытые условия на абонементы</t>
        </is>
      </c>
      <c r="D25" s="34" t="inlineStr">
        <is>
          <t>Скидка 10% на абонемент 4 занятия</t>
        </is>
      </c>
      <c r="E25" s="34" t="inlineStr">
        <is>
          <t>При покупке абонемента на 4 занятия</t>
        </is>
      </c>
      <c r="F25" s="147" t="inlineStr">
        <is>
          <t>FW-L1-GNCDV-TNG4D</t>
        </is>
      </c>
      <c r="G25" s="39" t="inlineStr">
        <is>
          <t>Не использован</t>
        </is>
      </c>
      <c r="H25" s="148" t="n"/>
      <c r="I25" s="34" t="str"/>
      <c r="J25" s="34" t="str"/>
      <c r="K25" s="130" t="n">
        <v>21</v>
      </c>
      <c r="L25" s="43">
        <f>IF(COUNTIF($F$5:$F$2407,F25)=1,"OK","Дубликат")</f>
        <v/>
      </c>
    </row>
    <row r="26" ht="38" customHeight="1">
      <c r="A26" s="146" t="inlineStr">
        <is>
          <t>SUB-L1-04-10</t>
        </is>
      </c>
      <c r="B26" s="39" t="inlineStr">
        <is>
          <t>1 уровень</t>
        </is>
      </c>
      <c r="C26" s="34" t="inlineStr">
        <is>
          <t>Закрытые условия на абонементы</t>
        </is>
      </c>
      <c r="D26" s="34" t="inlineStr">
        <is>
          <t>Скидка 10% на абонемент 4 занятия</t>
        </is>
      </c>
      <c r="E26" s="34" t="inlineStr">
        <is>
          <t>При покупке абонемента на 4 занятия</t>
        </is>
      </c>
      <c r="F26" s="147" t="inlineStr">
        <is>
          <t>FW-L1-8DM2E-9J3KD</t>
        </is>
      </c>
      <c r="G26" s="39" t="inlineStr">
        <is>
          <t>Не использован</t>
        </is>
      </c>
      <c r="H26" s="148" t="n"/>
      <c r="I26" s="34" t="str"/>
      <c r="J26" s="34" t="str"/>
      <c r="K26" s="130" t="n">
        <v>22</v>
      </c>
      <c r="L26" s="43">
        <f>IF(COUNTIF($F$5:$F$2407,F26)=1,"OK","Дубликат")</f>
        <v/>
      </c>
    </row>
    <row r="27" ht="38" customHeight="1">
      <c r="A27" s="146" t="inlineStr">
        <is>
          <t>SUB-L1-04-10</t>
        </is>
      </c>
      <c r="B27" s="39" t="inlineStr">
        <is>
          <t>1 уровень</t>
        </is>
      </c>
      <c r="C27" s="34" t="inlineStr">
        <is>
          <t>Закрытые условия на абонементы</t>
        </is>
      </c>
      <c r="D27" s="34" t="inlineStr">
        <is>
          <t>Скидка 10% на абонемент 4 занятия</t>
        </is>
      </c>
      <c r="E27" s="34" t="inlineStr">
        <is>
          <t>При покупке абонемента на 4 занятия</t>
        </is>
      </c>
      <c r="F27" s="147" t="inlineStr">
        <is>
          <t>FW-L1-R4LT6-64UM9</t>
        </is>
      </c>
      <c r="G27" s="39" t="inlineStr">
        <is>
          <t>Не использован</t>
        </is>
      </c>
      <c r="H27" s="148" t="n"/>
      <c r="I27" s="34" t="str"/>
      <c r="J27" s="34" t="str"/>
      <c r="K27" s="130" t="n">
        <v>23</v>
      </c>
      <c r="L27" s="43">
        <f>IF(COUNTIF($F$5:$F$2407,F27)=1,"OK","Дубликат")</f>
        <v/>
      </c>
    </row>
    <row r="28" ht="38" customHeight="1">
      <c r="A28" s="146" t="inlineStr">
        <is>
          <t>SUB-L1-04-10</t>
        </is>
      </c>
      <c r="B28" s="39" t="inlineStr">
        <is>
          <t>1 уровень</t>
        </is>
      </c>
      <c r="C28" s="34" t="inlineStr">
        <is>
          <t>Закрытые условия на абонементы</t>
        </is>
      </c>
      <c r="D28" s="34" t="inlineStr">
        <is>
          <t>Скидка 10% на абонемент 4 занятия</t>
        </is>
      </c>
      <c r="E28" s="34" t="inlineStr">
        <is>
          <t>При покупке абонемента на 4 занятия</t>
        </is>
      </c>
      <c r="F28" s="147" t="inlineStr">
        <is>
          <t>FW-L1-Z69M3-QMVYA</t>
        </is>
      </c>
      <c r="G28" s="39" t="inlineStr">
        <is>
          <t>Не использован</t>
        </is>
      </c>
      <c r="H28" s="148" t="n"/>
      <c r="I28" s="34" t="str"/>
      <c r="J28" s="34" t="str"/>
      <c r="K28" s="130" t="n">
        <v>24</v>
      </c>
      <c r="L28" s="43">
        <f>IF(COUNTIF($F$5:$F$2407,F28)=1,"OK","Дубликат")</f>
        <v/>
      </c>
    </row>
    <row r="29" ht="38" customHeight="1">
      <c r="A29" s="146" t="inlineStr">
        <is>
          <t>SUB-L1-04-10</t>
        </is>
      </c>
      <c r="B29" s="39" t="inlineStr">
        <is>
          <t>1 уровень</t>
        </is>
      </c>
      <c r="C29" s="34" t="inlineStr">
        <is>
          <t>Закрытые условия на абонементы</t>
        </is>
      </c>
      <c r="D29" s="34" t="inlineStr">
        <is>
          <t>Скидка 10% на абонемент 4 занятия</t>
        </is>
      </c>
      <c r="E29" s="34" t="inlineStr">
        <is>
          <t>При покупке абонемента на 4 занятия</t>
        </is>
      </c>
      <c r="F29" s="147" t="inlineStr">
        <is>
          <t>FW-L1-SAWBM-DBPRX</t>
        </is>
      </c>
      <c r="G29" s="39" t="inlineStr">
        <is>
          <t>Не использован</t>
        </is>
      </c>
      <c r="H29" s="148" t="n"/>
      <c r="I29" s="34" t="str"/>
      <c r="J29" s="34" t="str"/>
      <c r="K29" s="130" t="n">
        <v>25</v>
      </c>
      <c r="L29" s="43">
        <f>IF(COUNTIF($F$5:$F$2407,F29)=1,"OK","Дубликат")</f>
        <v/>
      </c>
    </row>
    <row r="30" ht="38" customHeight="1">
      <c r="A30" s="146" t="inlineStr">
        <is>
          <t>SUB-L1-04-10</t>
        </is>
      </c>
      <c r="B30" s="39" t="inlineStr">
        <is>
          <t>1 уровень</t>
        </is>
      </c>
      <c r="C30" s="34" t="inlineStr">
        <is>
          <t>Закрытые условия на абонементы</t>
        </is>
      </c>
      <c r="D30" s="34" t="inlineStr">
        <is>
          <t>Скидка 10% на абонемент 4 занятия</t>
        </is>
      </c>
      <c r="E30" s="34" t="inlineStr">
        <is>
          <t>При покупке абонемента на 4 занятия</t>
        </is>
      </c>
      <c r="F30" s="147" t="inlineStr">
        <is>
          <t>FW-L1-H7TS2-ZXN9E</t>
        </is>
      </c>
      <c r="G30" s="39" t="inlineStr">
        <is>
          <t>Не использован</t>
        </is>
      </c>
      <c r="H30" s="148" t="n"/>
      <c r="I30" s="34" t="str"/>
      <c r="J30" s="34" t="str"/>
      <c r="K30" s="130" t="n">
        <v>26</v>
      </c>
      <c r="L30" s="43">
        <f>IF(COUNTIF($F$5:$F$2407,F30)=1,"OK","Дубликат")</f>
        <v/>
      </c>
    </row>
    <row r="31" ht="38" customHeight="1">
      <c r="A31" s="146" t="inlineStr">
        <is>
          <t>SUB-L1-04-10</t>
        </is>
      </c>
      <c r="B31" s="39" t="inlineStr">
        <is>
          <t>1 уровень</t>
        </is>
      </c>
      <c r="C31" s="34" t="inlineStr">
        <is>
          <t>Закрытые условия на абонементы</t>
        </is>
      </c>
      <c r="D31" s="34" t="inlineStr">
        <is>
          <t>Скидка 10% на абонемент 4 занятия</t>
        </is>
      </c>
      <c r="E31" s="34" t="inlineStr">
        <is>
          <t>При покупке абонемента на 4 занятия</t>
        </is>
      </c>
      <c r="F31" s="147" t="inlineStr">
        <is>
          <t>FW-L1-ZYMKS-GJFKH</t>
        </is>
      </c>
      <c r="G31" s="39" t="inlineStr">
        <is>
          <t>Не использован</t>
        </is>
      </c>
      <c r="H31" s="148" t="n"/>
      <c r="I31" s="34" t="str"/>
      <c r="J31" s="34" t="str"/>
      <c r="K31" s="130" t="n">
        <v>27</v>
      </c>
      <c r="L31" s="43">
        <f>IF(COUNTIF($F$5:$F$2407,F31)=1,"OK","Дубликат")</f>
        <v/>
      </c>
    </row>
    <row r="32" ht="38" customHeight="1">
      <c r="A32" s="146" t="inlineStr">
        <is>
          <t>SUB-L1-04-10</t>
        </is>
      </c>
      <c r="B32" s="39" t="inlineStr">
        <is>
          <t>1 уровень</t>
        </is>
      </c>
      <c r="C32" s="34" t="inlineStr">
        <is>
          <t>Закрытые условия на абонементы</t>
        </is>
      </c>
      <c r="D32" s="34" t="inlineStr">
        <is>
          <t>Скидка 10% на абонемент 4 занятия</t>
        </is>
      </c>
      <c r="E32" s="34" t="inlineStr">
        <is>
          <t>При покупке абонемента на 4 занятия</t>
        </is>
      </c>
      <c r="F32" s="147" t="inlineStr">
        <is>
          <t>FW-L1-HTJ3Q-EEK9S</t>
        </is>
      </c>
      <c r="G32" s="39" t="inlineStr">
        <is>
          <t>Не использован</t>
        </is>
      </c>
      <c r="H32" s="148" t="n"/>
      <c r="I32" s="34" t="str"/>
      <c r="J32" s="34" t="str"/>
      <c r="K32" s="130" t="n">
        <v>28</v>
      </c>
      <c r="L32" s="43">
        <f>IF(COUNTIF($F$5:$F$2407,F32)=1,"OK","Дубликат")</f>
        <v/>
      </c>
    </row>
    <row r="33" ht="38" customHeight="1">
      <c r="A33" s="146" t="inlineStr">
        <is>
          <t>SUB-L1-04-10</t>
        </is>
      </c>
      <c r="B33" s="39" t="inlineStr">
        <is>
          <t>1 уровень</t>
        </is>
      </c>
      <c r="C33" s="34" t="inlineStr">
        <is>
          <t>Закрытые условия на абонементы</t>
        </is>
      </c>
      <c r="D33" s="34" t="inlineStr">
        <is>
          <t>Скидка 10% на абонемент 4 занятия</t>
        </is>
      </c>
      <c r="E33" s="34" t="inlineStr">
        <is>
          <t>При покупке абонемента на 4 занятия</t>
        </is>
      </c>
      <c r="F33" s="147" t="inlineStr">
        <is>
          <t>FW-L1-PPD4F-97ZNN</t>
        </is>
      </c>
      <c r="G33" s="39" t="inlineStr">
        <is>
          <t>Не использован</t>
        </is>
      </c>
      <c r="H33" s="148" t="n"/>
      <c r="I33" s="34" t="str"/>
      <c r="J33" s="34" t="str"/>
      <c r="K33" s="130" t="n">
        <v>29</v>
      </c>
      <c r="L33" s="43">
        <f>IF(COUNTIF($F$5:$F$2407,F33)=1,"OK","Дубликат")</f>
        <v/>
      </c>
    </row>
    <row r="34" ht="38" customHeight="1">
      <c r="A34" s="146" t="inlineStr">
        <is>
          <t>SUB-L1-04-10</t>
        </is>
      </c>
      <c r="B34" s="39" t="inlineStr">
        <is>
          <t>1 уровень</t>
        </is>
      </c>
      <c r="C34" s="34" t="inlineStr">
        <is>
          <t>Закрытые условия на абонементы</t>
        </is>
      </c>
      <c r="D34" s="34" t="inlineStr">
        <is>
          <t>Скидка 10% на абонемент 4 занятия</t>
        </is>
      </c>
      <c r="E34" s="34" t="inlineStr">
        <is>
          <t>При покупке абонемента на 4 занятия</t>
        </is>
      </c>
      <c r="F34" s="147" t="inlineStr">
        <is>
          <t>FW-L1-L8FKM-L2RMV</t>
        </is>
      </c>
      <c r="G34" s="39" t="inlineStr">
        <is>
          <t>Не использован</t>
        </is>
      </c>
      <c r="H34" s="148" t="n"/>
      <c r="I34" s="34" t="str"/>
      <c r="J34" s="34" t="str"/>
      <c r="K34" s="130" t="n">
        <v>30</v>
      </c>
      <c r="L34" s="43">
        <f>IF(COUNTIF($F$5:$F$2407,F34)=1,"OK","Дубликат")</f>
        <v/>
      </c>
    </row>
    <row r="35" ht="38" customHeight="1">
      <c r="A35" s="146" t="inlineStr">
        <is>
          <t>SUB-L1-04-10</t>
        </is>
      </c>
      <c r="B35" s="39" t="inlineStr">
        <is>
          <t>1 уровень</t>
        </is>
      </c>
      <c r="C35" s="34" t="inlineStr">
        <is>
          <t>Закрытые условия на абонементы</t>
        </is>
      </c>
      <c r="D35" s="34" t="inlineStr">
        <is>
          <t>Скидка 10% на абонемент 4 занятия</t>
        </is>
      </c>
      <c r="E35" s="34" t="inlineStr">
        <is>
          <t>При покупке абонемента на 4 занятия</t>
        </is>
      </c>
      <c r="F35" s="147" t="inlineStr">
        <is>
          <t>FW-L1-4E67D-BDCFF</t>
        </is>
      </c>
      <c r="G35" s="39" t="inlineStr">
        <is>
          <t>Не использован</t>
        </is>
      </c>
      <c r="H35" s="148" t="n"/>
      <c r="I35" s="34" t="str"/>
      <c r="J35" s="34" t="str"/>
      <c r="K35" s="130" t="n">
        <v>31</v>
      </c>
      <c r="L35" s="43">
        <f>IF(COUNTIF($F$5:$F$2407,F35)=1,"OK","Дубликат")</f>
        <v/>
      </c>
    </row>
    <row r="36" ht="38" customHeight="1">
      <c r="A36" s="146" t="inlineStr">
        <is>
          <t>SUB-L1-04-10</t>
        </is>
      </c>
      <c r="B36" s="39" t="inlineStr">
        <is>
          <t>1 уровень</t>
        </is>
      </c>
      <c r="C36" s="34" t="inlineStr">
        <is>
          <t>Закрытые условия на абонементы</t>
        </is>
      </c>
      <c r="D36" s="34" t="inlineStr">
        <is>
          <t>Скидка 10% на абонемент 4 занятия</t>
        </is>
      </c>
      <c r="E36" s="34" t="inlineStr">
        <is>
          <t>При покупке абонемента на 4 занятия</t>
        </is>
      </c>
      <c r="F36" s="147" t="inlineStr">
        <is>
          <t>FW-L1-B2R42-C3F6Y</t>
        </is>
      </c>
      <c r="G36" s="39" t="inlineStr">
        <is>
          <t>Не использован</t>
        </is>
      </c>
      <c r="H36" s="148" t="n"/>
      <c r="I36" s="34" t="str"/>
      <c r="J36" s="34" t="str"/>
      <c r="K36" s="130" t="n">
        <v>32</v>
      </c>
      <c r="L36" s="43">
        <f>IF(COUNTIF($F$5:$F$2407,F36)=1,"OK","Дубликат")</f>
        <v/>
      </c>
    </row>
    <row r="37" ht="38" customHeight="1">
      <c r="A37" s="146" t="inlineStr">
        <is>
          <t>SUB-L1-04-10</t>
        </is>
      </c>
      <c r="B37" s="39" t="inlineStr">
        <is>
          <t>1 уровень</t>
        </is>
      </c>
      <c r="C37" s="34" t="inlineStr">
        <is>
          <t>Закрытые условия на абонементы</t>
        </is>
      </c>
      <c r="D37" s="34" t="inlineStr">
        <is>
          <t>Скидка 10% на абонемент 4 занятия</t>
        </is>
      </c>
      <c r="E37" s="34" t="inlineStr">
        <is>
          <t>При покупке абонемента на 4 занятия</t>
        </is>
      </c>
      <c r="F37" s="147" t="inlineStr">
        <is>
          <t>FW-L1-L52RB-5PJJ5</t>
        </is>
      </c>
      <c r="G37" s="39" t="inlineStr">
        <is>
          <t>Не использован</t>
        </is>
      </c>
      <c r="H37" s="148" t="n"/>
      <c r="I37" s="34" t="str"/>
      <c r="J37" s="34" t="str"/>
      <c r="K37" s="130" t="n">
        <v>33</v>
      </c>
      <c r="L37" s="43">
        <f>IF(COUNTIF($F$5:$F$2407,F37)=1,"OK","Дубликат")</f>
        <v/>
      </c>
    </row>
    <row r="38" ht="38" customHeight="1">
      <c r="A38" s="146" t="inlineStr">
        <is>
          <t>SUB-L1-04-10</t>
        </is>
      </c>
      <c r="B38" s="39" t="inlineStr">
        <is>
          <t>1 уровень</t>
        </is>
      </c>
      <c r="C38" s="34" t="inlineStr">
        <is>
          <t>Закрытые условия на абонементы</t>
        </is>
      </c>
      <c r="D38" s="34" t="inlineStr">
        <is>
          <t>Скидка 10% на абонемент 4 занятия</t>
        </is>
      </c>
      <c r="E38" s="34" t="inlineStr">
        <is>
          <t>При покупке абонемента на 4 занятия</t>
        </is>
      </c>
      <c r="F38" s="147" t="inlineStr">
        <is>
          <t>FW-L1-QHPWF-MQKKE</t>
        </is>
      </c>
      <c r="G38" s="39" t="inlineStr">
        <is>
          <t>Не использован</t>
        </is>
      </c>
      <c r="H38" s="148" t="n"/>
      <c r="I38" s="34" t="str"/>
      <c r="J38" s="34" t="str"/>
      <c r="K38" s="130" t="n">
        <v>34</v>
      </c>
      <c r="L38" s="43">
        <f>IF(COUNTIF($F$5:$F$2407,F38)=1,"OK","Дубликат")</f>
        <v/>
      </c>
    </row>
    <row r="39" ht="38" customHeight="1">
      <c r="A39" s="146" t="inlineStr">
        <is>
          <t>SUB-L1-04-10</t>
        </is>
      </c>
      <c r="B39" s="39" t="inlineStr">
        <is>
          <t>1 уровень</t>
        </is>
      </c>
      <c r="C39" s="34" t="inlineStr">
        <is>
          <t>Закрытые условия на абонементы</t>
        </is>
      </c>
      <c r="D39" s="34" t="inlineStr">
        <is>
          <t>Скидка 10% на абонемент 4 занятия</t>
        </is>
      </c>
      <c r="E39" s="34" t="inlineStr">
        <is>
          <t>При покупке абонемента на 4 занятия</t>
        </is>
      </c>
      <c r="F39" s="147" t="inlineStr">
        <is>
          <t>FW-L1-FM8KC-SG98R</t>
        </is>
      </c>
      <c r="G39" s="39" t="inlineStr">
        <is>
          <t>Не использован</t>
        </is>
      </c>
      <c r="H39" s="148" t="n"/>
      <c r="I39" s="34" t="str"/>
      <c r="J39" s="34" t="str"/>
      <c r="K39" s="130" t="n">
        <v>35</v>
      </c>
      <c r="L39" s="43">
        <f>IF(COUNTIF($F$5:$F$2407,F39)=1,"OK","Дубликат")</f>
        <v/>
      </c>
    </row>
    <row r="40" ht="38" customHeight="1">
      <c r="A40" s="146" t="inlineStr">
        <is>
          <t>SUB-L1-04-10</t>
        </is>
      </c>
      <c r="B40" s="39" t="inlineStr">
        <is>
          <t>1 уровень</t>
        </is>
      </c>
      <c r="C40" s="34" t="inlineStr">
        <is>
          <t>Закрытые условия на абонементы</t>
        </is>
      </c>
      <c r="D40" s="34" t="inlineStr">
        <is>
          <t>Скидка 10% на абонемент 4 занятия</t>
        </is>
      </c>
      <c r="E40" s="34" t="inlineStr">
        <is>
          <t>При покупке абонемента на 4 занятия</t>
        </is>
      </c>
      <c r="F40" s="147" t="inlineStr">
        <is>
          <t>FW-L1-E5ZTG-SJXJU</t>
        </is>
      </c>
      <c r="G40" s="39" t="inlineStr">
        <is>
          <t>Не использован</t>
        </is>
      </c>
      <c r="H40" s="148" t="n"/>
      <c r="I40" s="34" t="str"/>
      <c r="J40" s="34" t="str"/>
      <c r="K40" s="130" t="n">
        <v>36</v>
      </c>
      <c r="L40" s="43">
        <f>IF(COUNTIF($F$5:$F$2407,F40)=1,"OK","Дубликат")</f>
        <v/>
      </c>
    </row>
    <row r="41" ht="38" customHeight="1">
      <c r="A41" s="146" t="inlineStr">
        <is>
          <t>SUB-L1-04-10</t>
        </is>
      </c>
      <c r="B41" s="39" t="inlineStr">
        <is>
          <t>1 уровень</t>
        </is>
      </c>
      <c r="C41" s="34" t="inlineStr">
        <is>
          <t>Закрытые условия на абонементы</t>
        </is>
      </c>
      <c r="D41" s="34" t="inlineStr">
        <is>
          <t>Скидка 10% на абонемент 4 занятия</t>
        </is>
      </c>
      <c r="E41" s="34" t="inlineStr">
        <is>
          <t>При покупке абонемента на 4 занятия</t>
        </is>
      </c>
      <c r="F41" s="147" t="inlineStr">
        <is>
          <t>FW-L1-NRVDR-MDWEG</t>
        </is>
      </c>
      <c r="G41" s="39" t="inlineStr">
        <is>
          <t>Не использован</t>
        </is>
      </c>
      <c r="H41" s="148" t="n"/>
      <c r="I41" s="34" t="str"/>
      <c r="J41" s="34" t="str"/>
      <c r="K41" s="130" t="n">
        <v>37</v>
      </c>
      <c r="L41" s="43">
        <f>IF(COUNTIF($F$5:$F$2407,F41)=1,"OK","Дубликат")</f>
        <v/>
      </c>
    </row>
    <row r="42" ht="38" customHeight="1">
      <c r="A42" s="146" t="inlineStr">
        <is>
          <t>SUB-L1-04-10</t>
        </is>
      </c>
      <c r="B42" s="39" t="inlineStr">
        <is>
          <t>1 уровень</t>
        </is>
      </c>
      <c r="C42" s="34" t="inlineStr">
        <is>
          <t>Закрытые условия на абонементы</t>
        </is>
      </c>
      <c r="D42" s="34" t="inlineStr">
        <is>
          <t>Скидка 10% на абонемент 4 занятия</t>
        </is>
      </c>
      <c r="E42" s="34" t="inlineStr">
        <is>
          <t>При покупке абонемента на 4 занятия</t>
        </is>
      </c>
      <c r="F42" s="147" t="inlineStr">
        <is>
          <t>FW-L1-HQHQR-GSBHD</t>
        </is>
      </c>
      <c r="G42" s="39" t="inlineStr">
        <is>
          <t>Не использован</t>
        </is>
      </c>
      <c r="H42" s="148" t="n"/>
      <c r="I42" s="34" t="str"/>
      <c r="J42" s="34" t="str"/>
      <c r="K42" s="130" t="n">
        <v>38</v>
      </c>
      <c r="L42" s="43">
        <f>IF(COUNTIF($F$5:$F$2407,F42)=1,"OK","Дубликат")</f>
        <v/>
      </c>
    </row>
    <row r="43" ht="38" customHeight="1">
      <c r="A43" s="146" t="inlineStr">
        <is>
          <t>SUB-L1-04-10</t>
        </is>
      </c>
      <c r="B43" s="39" t="inlineStr">
        <is>
          <t>1 уровень</t>
        </is>
      </c>
      <c r="C43" s="34" t="inlineStr">
        <is>
          <t>Закрытые условия на абонементы</t>
        </is>
      </c>
      <c r="D43" s="34" t="inlineStr">
        <is>
          <t>Скидка 10% на абонемент 4 занятия</t>
        </is>
      </c>
      <c r="E43" s="34" t="inlineStr">
        <is>
          <t>При покупке абонемента на 4 занятия</t>
        </is>
      </c>
      <c r="F43" s="147" t="inlineStr">
        <is>
          <t>FW-L1-9FTXG-VZ2WL</t>
        </is>
      </c>
      <c r="G43" s="39" t="inlineStr">
        <is>
          <t>Не использован</t>
        </is>
      </c>
      <c r="H43" s="148" t="n"/>
      <c r="I43" s="34" t="str"/>
      <c r="J43" s="34" t="str"/>
      <c r="K43" s="130" t="n">
        <v>39</v>
      </c>
      <c r="L43" s="43">
        <f>IF(COUNTIF($F$5:$F$2407,F43)=1,"OK","Дубликат")</f>
        <v/>
      </c>
    </row>
    <row r="44" ht="38" customHeight="1">
      <c r="A44" s="146" t="inlineStr">
        <is>
          <t>SUB-L1-04-10</t>
        </is>
      </c>
      <c r="B44" s="39" t="inlineStr">
        <is>
          <t>1 уровень</t>
        </is>
      </c>
      <c r="C44" s="34" t="inlineStr">
        <is>
          <t>Закрытые условия на абонементы</t>
        </is>
      </c>
      <c r="D44" s="34" t="inlineStr">
        <is>
          <t>Скидка 10% на абонемент 4 занятия</t>
        </is>
      </c>
      <c r="E44" s="34" t="inlineStr">
        <is>
          <t>При покупке абонемента на 4 занятия</t>
        </is>
      </c>
      <c r="F44" s="147" t="inlineStr">
        <is>
          <t>FW-L1-HNQNH-EKRBS</t>
        </is>
      </c>
      <c r="G44" s="39" t="inlineStr">
        <is>
          <t>Не использован</t>
        </is>
      </c>
      <c r="H44" s="148" t="n"/>
      <c r="I44" s="34" t="str"/>
      <c r="J44" s="34" t="str"/>
      <c r="K44" s="130" t="n">
        <v>40</v>
      </c>
      <c r="L44" s="43">
        <f>IF(COUNTIF($F$5:$F$2407,F44)=1,"OK","Дубликат")</f>
        <v/>
      </c>
    </row>
    <row r="45" ht="38" customHeight="1">
      <c r="A45" s="146" t="inlineStr">
        <is>
          <t>SUB-L1-04-10</t>
        </is>
      </c>
      <c r="B45" s="39" t="inlineStr">
        <is>
          <t>1 уровень</t>
        </is>
      </c>
      <c r="C45" s="34" t="inlineStr">
        <is>
          <t>Закрытые условия на абонементы</t>
        </is>
      </c>
      <c r="D45" s="34" t="inlineStr">
        <is>
          <t>Скидка 10% на абонемент 4 занятия</t>
        </is>
      </c>
      <c r="E45" s="34" t="inlineStr">
        <is>
          <t>При покупке абонемента на 4 занятия</t>
        </is>
      </c>
      <c r="F45" s="147" t="inlineStr">
        <is>
          <t>FW-L1-V6NJ6-S2ARG</t>
        </is>
      </c>
      <c r="G45" s="39" t="inlineStr">
        <is>
          <t>Не использован</t>
        </is>
      </c>
      <c r="H45" s="148" t="n"/>
      <c r="I45" s="34" t="str"/>
      <c r="J45" s="34" t="str"/>
      <c r="K45" s="130" t="n">
        <v>41</v>
      </c>
      <c r="L45" s="43">
        <f>IF(COUNTIF($F$5:$F$2407,F45)=1,"OK","Дубликат")</f>
        <v/>
      </c>
    </row>
    <row r="46" ht="38" customHeight="1">
      <c r="A46" s="146" t="inlineStr">
        <is>
          <t>SUB-L1-04-10</t>
        </is>
      </c>
      <c r="B46" s="39" t="inlineStr">
        <is>
          <t>1 уровень</t>
        </is>
      </c>
      <c r="C46" s="34" t="inlineStr">
        <is>
          <t>Закрытые условия на абонементы</t>
        </is>
      </c>
      <c r="D46" s="34" t="inlineStr">
        <is>
          <t>Скидка 10% на абонемент 4 занятия</t>
        </is>
      </c>
      <c r="E46" s="34" t="inlineStr">
        <is>
          <t>При покупке абонемента на 4 занятия</t>
        </is>
      </c>
      <c r="F46" s="147" t="inlineStr">
        <is>
          <t>FW-L1-CSYUV-DNMTC</t>
        </is>
      </c>
      <c r="G46" s="39" t="inlineStr">
        <is>
          <t>Не использован</t>
        </is>
      </c>
      <c r="H46" s="148" t="n"/>
      <c r="I46" s="34" t="str"/>
      <c r="J46" s="34" t="str"/>
      <c r="K46" s="130" t="n">
        <v>42</v>
      </c>
      <c r="L46" s="43">
        <f>IF(COUNTIF($F$5:$F$2407,F46)=1,"OK","Дубликат")</f>
        <v/>
      </c>
    </row>
    <row r="47" ht="38" customHeight="1">
      <c r="A47" s="146" t="inlineStr">
        <is>
          <t>SUB-L1-04-10</t>
        </is>
      </c>
      <c r="B47" s="39" t="inlineStr">
        <is>
          <t>1 уровень</t>
        </is>
      </c>
      <c r="C47" s="34" t="inlineStr">
        <is>
          <t>Закрытые условия на абонементы</t>
        </is>
      </c>
      <c r="D47" s="34" t="inlineStr">
        <is>
          <t>Скидка 10% на абонемент 4 занятия</t>
        </is>
      </c>
      <c r="E47" s="34" t="inlineStr">
        <is>
          <t>При покупке абонемента на 4 занятия</t>
        </is>
      </c>
      <c r="F47" s="147" t="inlineStr">
        <is>
          <t>FW-L1-GGZA2-R9Y7R</t>
        </is>
      </c>
      <c r="G47" s="39" t="inlineStr">
        <is>
          <t>Не использован</t>
        </is>
      </c>
      <c r="H47" s="148" t="n"/>
      <c r="I47" s="34" t="str"/>
      <c r="J47" s="34" t="str"/>
      <c r="K47" s="130" t="n">
        <v>43</v>
      </c>
      <c r="L47" s="43">
        <f>IF(COUNTIF($F$5:$F$2407,F47)=1,"OK","Дубликат")</f>
        <v/>
      </c>
    </row>
    <row r="48" ht="38" customHeight="1">
      <c r="A48" s="146" t="inlineStr">
        <is>
          <t>SUB-L1-04-10</t>
        </is>
      </c>
      <c r="B48" s="39" t="inlineStr">
        <is>
          <t>1 уровень</t>
        </is>
      </c>
      <c r="C48" s="34" t="inlineStr">
        <is>
          <t>Закрытые условия на абонементы</t>
        </is>
      </c>
      <c r="D48" s="34" t="inlineStr">
        <is>
          <t>Скидка 10% на абонемент 4 занятия</t>
        </is>
      </c>
      <c r="E48" s="34" t="inlineStr">
        <is>
          <t>При покупке абонемента на 4 занятия</t>
        </is>
      </c>
      <c r="F48" s="147" t="inlineStr">
        <is>
          <t>FW-L1-B6GXR-HKR7S</t>
        </is>
      </c>
      <c r="G48" s="39" t="inlineStr">
        <is>
          <t>Не использован</t>
        </is>
      </c>
      <c r="H48" s="148" t="n"/>
      <c r="I48" s="34" t="str"/>
      <c r="J48" s="34" t="str"/>
      <c r="K48" s="130" t="n">
        <v>44</v>
      </c>
      <c r="L48" s="43">
        <f>IF(COUNTIF($F$5:$F$2407,F48)=1,"OK","Дубликат")</f>
        <v/>
      </c>
    </row>
    <row r="49" ht="38" customHeight="1">
      <c r="A49" s="146" t="inlineStr">
        <is>
          <t>SUB-L1-04-10</t>
        </is>
      </c>
      <c r="B49" s="39" t="inlineStr">
        <is>
          <t>1 уровень</t>
        </is>
      </c>
      <c r="C49" s="34" t="inlineStr">
        <is>
          <t>Закрытые условия на абонементы</t>
        </is>
      </c>
      <c r="D49" s="34" t="inlineStr">
        <is>
          <t>Скидка 10% на абонемент 4 занятия</t>
        </is>
      </c>
      <c r="E49" s="34" t="inlineStr">
        <is>
          <t>При покупке абонемента на 4 занятия</t>
        </is>
      </c>
      <c r="F49" s="147" t="inlineStr">
        <is>
          <t>FW-L1-S3BYN-4B82W</t>
        </is>
      </c>
      <c r="G49" s="39" t="inlineStr">
        <is>
          <t>Не использован</t>
        </is>
      </c>
      <c r="H49" s="148" t="n"/>
      <c r="I49" s="34" t="str"/>
      <c r="J49" s="34" t="str"/>
      <c r="K49" s="130" t="n">
        <v>45</v>
      </c>
      <c r="L49" s="43">
        <f>IF(COUNTIF($F$5:$F$2407,F49)=1,"OK","Дубликат")</f>
        <v/>
      </c>
    </row>
    <row r="50" ht="38" customHeight="1">
      <c r="A50" s="146" t="inlineStr">
        <is>
          <t>SUB-L1-04-10</t>
        </is>
      </c>
      <c r="B50" s="39" t="inlineStr">
        <is>
          <t>1 уровень</t>
        </is>
      </c>
      <c r="C50" s="34" t="inlineStr">
        <is>
          <t>Закрытые условия на абонементы</t>
        </is>
      </c>
      <c r="D50" s="34" t="inlineStr">
        <is>
          <t>Скидка 10% на абонемент 4 занятия</t>
        </is>
      </c>
      <c r="E50" s="34" t="inlineStr">
        <is>
          <t>При покупке абонемента на 4 занятия</t>
        </is>
      </c>
      <c r="F50" s="147" t="inlineStr">
        <is>
          <t>FW-L1-5JVYE-2TF4U</t>
        </is>
      </c>
      <c r="G50" s="39" t="inlineStr">
        <is>
          <t>Не использован</t>
        </is>
      </c>
      <c r="H50" s="148" t="n"/>
      <c r="I50" s="34" t="str"/>
      <c r="J50" s="34" t="str"/>
      <c r="K50" s="130" t="n">
        <v>46</v>
      </c>
      <c r="L50" s="43">
        <f>IF(COUNTIF($F$5:$F$2407,F50)=1,"OK","Дубликат")</f>
        <v/>
      </c>
    </row>
    <row r="51" ht="38" customHeight="1">
      <c r="A51" s="146" t="inlineStr">
        <is>
          <t>SUB-L1-04-10</t>
        </is>
      </c>
      <c r="B51" s="39" t="inlineStr">
        <is>
          <t>1 уровень</t>
        </is>
      </c>
      <c r="C51" s="34" t="inlineStr">
        <is>
          <t>Закрытые условия на абонементы</t>
        </is>
      </c>
      <c r="D51" s="34" t="inlineStr">
        <is>
          <t>Скидка 10% на абонемент 4 занятия</t>
        </is>
      </c>
      <c r="E51" s="34" t="inlineStr">
        <is>
          <t>При покупке абонемента на 4 занятия</t>
        </is>
      </c>
      <c r="F51" s="147" t="inlineStr">
        <is>
          <t>FW-L1-7RYRE-GX68A</t>
        </is>
      </c>
      <c r="G51" s="39" t="inlineStr">
        <is>
          <t>Не использован</t>
        </is>
      </c>
      <c r="H51" s="148" t="n"/>
      <c r="I51" s="34" t="str"/>
      <c r="J51" s="34" t="str"/>
      <c r="K51" s="130" t="n">
        <v>47</v>
      </c>
      <c r="L51" s="43">
        <f>IF(COUNTIF($F$5:$F$2407,F51)=1,"OK","Дубликат")</f>
        <v/>
      </c>
    </row>
    <row r="52" ht="38" customHeight="1">
      <c r="A52" s="146" t="inlineStr">
        <is>
          <t>SUB-L1-04-10</t>
        </is>
      </c>
      <c r="B52" s="39" t="inlineStr">
        <is>
          <t>1 уровень</t>
        </is>
      </c>
      <c r="C52" s="34" t="inlineStr">
        <is>
          <t>Закрытые условия на абонементы</t>
        </is>
      </c>
      <c r="D52" s="34" t="inlineStr">
        <is>
          <t>Скидка 10% на абонемент 4 занятия</t>
        </is>
      </c>
      <c r="E52" s="34" t="inlineStr">
        <is>
          <t>При покупке абонемента на 4 занятия</t>
        </is>
      </c>
      <c r="F52" s="147" t="inlineStr">
        <is>
          <t>FW-L1-JDS7X-X2ZJP</t>
        </is>
      </c>
      <c r="G52" s="39" t="inlineStr">
        <is>
          <t>Не использован</t>
        </is>
      </c>
      <c r="H52" s="148" t="n"/>
      <c r="I52" s="34" t="str"/>
      <c r="J52" s="34" t="str"/>
      <c r="K52" s="130" t="n">
        <v>48</v>
      </c>
      <c r="L52" s="43">
        <f>IF(COUNTIF($F$5:$F$2407,F52)=1,"OK","Дубликат")</f>
        <v/>
      </c>
    </row>
    <row r="53" ht="38" customHeight="1">
      <c r="A53" s="146" t="inlineStr">
        <is>
          <t>SUB-L1-04-10</t>
        </is>
      </c>
      <c r="B53" s="39" t="inlineStr">
        <is>
          <t>1 уровень</t>
        </is>
      </c>
      <c r="C53" s="34" t="inlineStr">
        <is>
          <t>Закрытые условия на абонементы</t>
        </is>
      </c>
      <c r="D53" s="34" t="inlineStr">
        <is>
          <t>Скидка 10% на абонемент 4 занятия</t>
        </is>
      </c>
      <c r="E53" s="34" t="inlineStr">
        <is>
          <t>При покупке абонемента на 4 занятия</t>
        </is>
      </c>
      <c r="F53" s="147" t="inlineStr">
        <is>
          <t>FW-L1-25GSV-B45A4</t>
        </is>
      </c>
      <c r="G53" s="39" t="inlineStr">
        <is>
          <t>Не использован</t>
        </is>
      </c>
      <c r="H53" s="148" t="n"/>
      <c r="I53" s="34" t="str"/>
      <c r="J53" s="34" t="str"/>
      <c r="K53" s="130" t="n">
        <v>49</v>
      </c>
      <c r="L53" s="43">
        <f>IF(COUNTIF($F$5:$F$2407,F53)=1,"OK","Дубликат")</f>
        <v/>
      </c>
    </row>
    <row r="54" ht="38" customHeight="1">
      <c r="A54" s="146" t="inlineStr">
        <is>
          <t>SUB-L1-04-10</t>
        </is>
      </c>
      <c r="B54" s="39" t="inlineStr">
        <is>
          <t>1 уровень</t>
        </is>
      </c>
      <c r="C54" s="34" t="inlineStr">
        <is>
          <t>Закрытые условия на абонементы</t>
        </is>
      </c>
      <c r="D54" s="34" t="inlineStr">
        <is>
          <t>Скидка 10% на абонемент 4 занятия</t>
        </is>
      </c>
      <c r="E54" s="34" t="inlineStr">
        <is>
          <t>При покупке абонемента на 4 занятия</t>
        </is>
      </c>
      <c r="F54" s="147" t="inlineStr">
        <is>
          <t>FW-L1-3CER8-YVGDF</t>
        </is>
      </c>
      <c r="G54" s="39" t="inlineStr">
        <is>
          <t>Не использован</t>
        </is>
      </c>
      <c r="H54" s="148" t="n"/>
      <c r="I54" s="34" t="str"/>
      <c r="J54" s="34" t="str"/>
      <c r="K54" s="130" t="n">
        <v>50</v>
      </c>
      <c r="L54" s="43">
        <f>IF(COUNTIF($F$5:$F$2407,F54)=1,"OK","Дубликат")</f>
        <v/>
      </c>
    </row>
    <row r="55" ht="38" customHeight="1">
      <c r="A55" s="146" t="inlineStr">
        <is>
          <t>SUB-L1-04-10</t>
        </is>
      </c>
      <c r="B55" s="39" t="inlineStr">
        <is>
          <t>1 уровень</t>
        </is>
      </c>
      <c r="C55" s="34" t="inlineStr">
        <is>
          <t>Закрытые условия на абонементы</t>
        </is>
      </c>
      <c r="D55" s="34" t="inlineStr">
        <is>
          <t>Скидка 10% на абонемент 4 занятия</t>
        </is>
      </c>
      <c r="E55" s="34" t="inlineStr">
        <is>
          <t>При покупке абонемента на 4 занятия</t>
        </is>
      </c>
      <c r="F55" s="147" t="inlineStr">
        <is>
          <t>FW-L1-UASZM-RHASK</t>
        </is>
      </c>
      <c r="G55" s="39" t="inlineStr">
        <is>
          <t>Не использован</t>
        </is>
      </c>
      <c r="H55" s="148" t="n"/>
      <c r="I55" s="34" t="str"/>
      <c r="J55" s="34" t="str"/>
      <c r="K55" s="130" t="n">
        <v>51</v>
      </c>
      <c r="L55" s="43">
        <f>IF(COUNTIF($F$5:$F$2407,F55)=1,"OK","Дубликат")</f>
        <v/>
      </c>
    </row>
    <row r="56" ht="38" customHeight="1">
      <c r="A56" s="146" t="inlineStr">
        <is>
          <t>SUB-L1-04-10</t>
        </is>
      </c>
      <c r="B56" s="39" t="inlineStr">
        <is>
          <t>1 уровень</t>
        </is>
      </c>
      <c r="C56" s="34" t="inlineStr">
        <is>
          <t>Закрытые условия на абонементы</t>
        </is>
      </c>
      <c r="D56" s="34" t="inlineStr">
        <is>
          <t>Скидка 10% на абонемент 4 занятия</t>
        </is>
      </c>
      <c r="E56" s="34" t="inlineStr">
        <is>
          <t>При покупке абонемента на 4 занятия</t>
        </is>
      </c>
      <c r="F56" s="147" t="inlineStr">
        <is>
          <t>FW-L1-7RG2F-AAWBD</t>
        </is>
      </c>
      <c r="G56" s="39" t="inlineStr">
        <is>
          <t>Не использован</t>
        </is>
      </c>
      <c r="H56" s="148" t="n"/>
      <c r="I56" s="34" t="str"/>
      <c r="J56" s="34" t="str"/>
      <c r="K56" s="130" t="n">
        <v>52</v>
      </c>
      <c r="L56" s="43">
        <f>IF(COUNTIF($F$5:$F$2407,F56)=1,"OK","Дубликат")</f>
        <v/>
      </c>
    </row>
    <row r="57" ht="38" customHeight="1">
      <c r="A57" s="146" t="inlineStr">
        <is>
          <t>SUB-L1-04-10</t>
        </is>
      </c>
      <c r="B57" s="39" t="inlineStr">
        <is>
          <t>1 уровень</t>
        </is>
      </c>
      <c r="C57" s="34" t="inlineStr">
        <is>
          <t>Закрытые условия на абонементы</t>
        </is>
      </c>
      <c r="D57" s="34" t="inlineStr">
        <is>
          <t>Скидка 10% на абонемент 4 занятия</t>
        </is>
      </c>
      <c r="E57" s="34" t="inlineStr">
        <is>
          <t>При покупке абонемента на 4 занятия</t>
        </is>
      </c>
      <c r="F57" s="147" t="inlineStr">
        <is>
          <t>FW-L1-CDJ8G-JAUL5</t>
        </is>
      </c>
      <c r="G57" s="39" t="inlineStr">
        <is>
          <t>Не использован</t>
        </is>
      </c>
      <c r="H57" s="148" t="n"/>
      <c r="I57" s="34" t="str"/>
      <c r="J57" s="34" t="str"/>
      <c r="K57" s="130" t="n">
        <v>53</v>
      </c>
      <c r="L57" s="43">
        <f>IF(COUNTIF($F$5:$F$2407,F57)=1,"OK","Дубликат")</f>
        <v/>
      </c>
    </row>
    <row r="58" ht="38" customHeight="1">
      <c r="A58" s="146" t="inlineStr">
        <is>
          <t>SUB-L1-04-10</t>
        </is>
      </c>
      <c r="B58" s="39" t="inlineStr">
        <is>
          <t>1 уровень</t>
        </is>
      </c>
      <c r="C58" s="34" t="inlineStr">
        <is>
          <t>Закрытые условия на абонементы</t>
        </is>
      </c>
      <c r="D58" s="34" t="inlineStr">
        <is>
          <t>Скидка 10% на абонемент 4 занятия</t>
        </is>
      </c>
      <c r="E58" s="34" t="inlineStr">
        <is>
          <t>При покупке абонемента на 4 занятия</t>
        </is>
      </c>
      <c r="F58" s="147" t="inlineStr">
        <is>
          <t>FW-L1-VFKR4-VZ3CY</t>
        </is>
      </c>
      <c r="G58" s="39" t="inlineStr">
        <is>
          <t>Не использован</t>
        </is>
      </c>
      <c r="H58" s="148" t="n"/>
      <c r="I58" s="34" t="str"/>
      <c r="J58" s="34" t="str"/>
      <c r="K58" s="130" t="n">
        <v>54</v>
      </c>
      <c r="L58" s="43">
        <f>IF(COUNTIF($F$5:$F$2407,F58)=1,"OK","Дубликат")</f>
        <v/>
      </c>
    </row>
    <row r="59" ht="38" customHeight="1">
      <c r="A59" s="146" t="inlineStr">
        <is>
          <t>SUB-L1-04-10</t>
        </is>
      </c>
      <c r="B59" s="39" t="inlineStr">
        <is>
          <t>1 уровень</t>
        </is>
      </c>
      <c r="C59" s="34" t="inlineStr">
        <is>
          <t>Закрытые условия на абонементы</t>
        </is>
      </c>
      <c r="D59" s="34" t="inlineStr">
        <is>
          <t>Скидка 10% на абонемент 4 занятия</t>
        </is>
      </c>
      <c r="E59" s="34" t="inlineStr">
        <is>
          <t>При покупке абонемента на 4 занятия</t>
        </is>
      </c>
      <c r="F59" s="147" t="inlineStr">
        <is>
          <t>FW-L1-U4AZQ-WYQ3N</t>
        </is>
      </c>
      <c r="G59" s="39" t="inlineStr">
        <is>
          <t>Не использован</t>
        </is>
      </c>
      <c r="H59" s="148" t="n"/>
      <c r="I59" s="34" t="str"/>
      <c r="J59" s="34" t="str"/>
      <c r="K59" s="130" t="n">
        <v>55</v>
      </c>
      <c r="L59" s="43">
        <f>IF(COUNTIF($F$5:$F$2407,F59)=1,"OK","Дубликат")</f>
        <v/>
      </c>
    </row>
    <row r="60" ht="38" customHeight="1">
      <c r="A60" s="146" t="inlineStr">
        <is>
          <t>SUB-L1-04-10</t>
        </is>
      </c>
      <c r="B60" s="39" t="inlineStr">
        <is>
          <t>1 уровень</t>
        </is>
      </c>
      <c r="C60" s="34" t="inlineStr">
        <is>
          <t>Закрытые условия на абонементы</t>
        </is>
      </c>
      <c r="D60" s="34" t="inlineStr">
        <is>
          <t>Скидка 10% на абонемент 4 занятия</t>
        </is>
      </c>
      <c r="E60" s="34" t="inlineStr">
        <is>
          <t>При покупке абонемента на 4 занятия</t>
        </is>
      </c>
      <c r="F60" s="147" t="inlineStr">
        <is>
          <t>FW-L1-E266J-A44DF</t>
        </is>
      </c>
      <c r="G60" s="39" t="inlineStr">
        <is>
          <t>Не использован</t>
        </is>
      </c>
      <c r="H60" s="148" t="n"/>
      <c r="I60" s="34" t="str"/>
      <c r="J60" s="34" t="str"/>
      <c r="K60" s="130" t="n">
        <v>56</v>
      </c>
      <c r="L60" s="43">
        <f>IF(COUNTIF($F$5:$F$2407,F60)=1,"OK","Дубликат")</f>
        <v/>
      </c>
    </row>
    <row r="61" ht="38" customHeight="1">
      <c r="A61" s="146" t="inlineStr">
        <is>
          <t>SUB-L1-04-10</t>
        </is>
      </c>
      <c r="B61" s="39" t="inlineStr">
        <is>
          <t>1 уровень</t>
        </is>
      </c>
      <c r="C61" s="34" t="inlineStr">
        <is>
          <t>Закрытые условия на абонементы</t>
        </is>
      </c>
      <c r="D61" s="34" t="inlineStr">
        <is>
          <t>Скидка 10% на абонемент 4 занятия</t>
        </is>
      </c>
      <c r="E61" s="34" t="inlineStr">
        <is>
          <t>При покупке абонемента на 4 занятия</t>
        </is>
      </c>
      <c r="F61" s="147" t="inlineStr">
        <is>
          <t>FW-L1-7T93F-K4TYB</t>
        </is>
      </c>
      <c r="G61" s="39" t="inlineStr">
        <is>
          <t>Не использован</t>
        </is>
      </c>
      <c r="H61" s="148" t="n"/>
      <c r="I61" s="34" t="str"/>
      <c r="J61" s="34" t="str"/>
      <c r="K61" s="130" t="n">
        <v>57</v>
      </c>
      <c r="L61" s="43">
        <f>IF(COUNTIF($F$5:$F$2407,F61)=1,"OK","Дубликат")</f>
        <v/>
      </c>
    </row>
    <row r="62" ht="38" customHeight="1">
      <c r="A62" s="146" t="inlineStr">
        <is>
          <t>SUB-L1-04-10</t>
        </is>
      </c>
      <c r="B62" s="39" t="inlineStr">
        <is>
          <t>1 уровень</t>
        </is>
      </c>
      <c r="C62" s="34" t="inlineStr">
        <is>
          <t>Закрытые условия на абонементы</t>
        </is>
      </c>
      <c r="D62" s="34" t="inlineStr">
        <is>
          <t>Скидка 10% на абонемент 4 занятия</t>
        </is>
      </c>
      <c r="E62" s="34" t="inlineStr">
        <is>
          <t>При покупке абонемента на 4 занятия</t>
        </is>
      </c>
      <c r="F62" s="147" t="inlineStr">
        <is>
          <t>FW-L1-HMTS8-VMPE4</t>
        </is>
      </c>
      <c r="G62" s="39" t="inlineStr">
        <is>
          <t>Не использован</t>
        </is>
      </c>
      <c r="H62" s="148" t="n"/>
      <c r="I62" s="34" t="str"/>
      <c r="J62" s="34" t="str"/>
      <c r="K62" s="130" t="n">
        <v>58</v>
      </c>
      <c r="L62" s="43">
        <f>IF(COUNTIF($F$5:$F$2407,F62)=1,"OK","Дубликат")</f>
        <v/>
      </c>
    </row>
    <row r="63" ht="38" customHeight="1">
      <c r="A63" s="146" t="inlineStr">
        <is>
          <t>SUB-L1-04-10</t>
        </is>
      </c>
      <c r="B63" s="39" t="inlineStr">
        <is>
          <t>1 уровень</t>
        </is>
      </c>
      <c r="C63" s="34" t="inlineStr">
        <is>
          <t>Закрытые условия на абонементы</t>
        </is>
      </c>
      <c r="D63" s="34" t="inlineStr">
        <is>
          <t>Скидка 10% на абонемент 4 занятия</t>
        </is>
      </c>
      <c r="E63" s="34" t="inlineStr">
        <is>
          <t>При покупке абонемента на 4 занятия</t>
        </is>
      </c>
      <c r="F63" s="147" t="inlineStr">
        <is>
          <t>FW-L1-VAVK8-G2L2W</t>
        </is>
      </c>
      <c r="G63" s="39" t="inlineStr">
        <is>
          <t>Не использован</t>
        </is>
      </c>
      <c r="H63" s="148" t="n"/>
      <c r="I63" s="34" t="str"/>
      <c r="J63" s="34" t="str"/>
      <c r="K63" s="130" t="n">
        <v>59</v>
      </c>
      <c r="L63" s="43">
        <f>IF(COUNTIF($F$5:$F$2407,F63)=1,"OK","Дубликат")</f>
        <v/>
      </c>
    </row>
    <row r="64" ht="38" customHeight="1">
      <c r="A64" s="146" t="inlineStr">
        <is>
          <t>SUB-L1-04-10</t>
        </is>
      </c>
      <c r="B64" s="39" t="inlineStr">
        <is>
          <t>1 уровень</t>
        </is>
      </c>
      <c r="C64" s="34" t="inlineStr">
        <is>
          <t>Закрытые условия на абонементы</t>
        </is>
      </c>
      <c r="D64" s="34" t="inlineStr">
        <is>
          <t>Скидка 10% на абонемент 4 занятия</t>
        </is>
      </c>
      <c r="E64" s="34" t="inlineStr">
        <is>
          <t>При покупке абонемента на 4 занятия</t>
        </is>
      </c>
      <c r="F64" s="147" t="inlineStr">
        <is>
          <t>FW-L1-8D8WR-DJF6A</t>
        </is>
      </c>
      <c r="G64" s="39" t="inlineStr">
        <is>
          <t>Не использован</t>
        </is>
      </c>
      <c r="H64" s="148" t="n"/>
      <c r="I64" s="34" t="str"/>
      <c r="J64" s="34" t="str"/>
      <c r="K64" s="130" t="n">
        <v>60</v>
      </c>
      <c r="L64" s="43">
        <f>IF(COUNTIF($F$5:$F$2407,F64)=1,"OK","Дубликат")</f>
        <v/>
      </c>
    </row>
    <row r="65" ht="38" customHeight="1">
      <c r="A65" s="146" t="inlineStr">
        <is>
          <t>SUB-L1-04-10</t>
        </is>
      </c>
      <c r="B65" s="39" t="inlineStr">
        <is>
          <t>1 уровень</t>
        </is>
      </c>
      <c r="C65" s="34" t="inlineStr">
        <is>
          <t>Закрытые условия на абонементы</t>
        </is>
      </c>
      <c r="D65" s="34" t="inlineStr">
        <is>
          <t>Скидка 10% на абонемент 4 занятия</t>
        </is>
      </c>
      <c r="E65" s="34" t="inlineStr">
        <is>
          <t>При покупке абонемента на 4 занятия</t>
        </is>
      </c>
      <c r="F65" s="147" t="inlineStr">
        <is>
          <t>FW-L1-LBBZG-QXB83</t>
        </is>
      </c>
      <c r="G65" s="39" t="inlineStr">
        <is>
          <t>Не использован</t>
        </is>
      </c>
      <c r="H65" s="148" t="n"/>
      <c r="I65" s="34" t="str"/>
      <c r="J65" s="34" t="str"/>
      <c r="K65" s="130" t="n">
        <v>61</v>
      </c>
      <c r="L65" s="43">
        <f>IF(COUNTIF($F$5:$F$2407,F65)=1,"OK","Дубликат")</f>
        <v/>
      </c>
    </row>
    <row r="66" ht="38" customHeight="1">
      <c r="A66" s="146" t="inlineStr">
        <is>
          <t>SUB-L1-04-10</t>
        </is>
      </c>
      <c r="B66" s="39" t="inlineStr">
        <is>
          <t>1 уровень</t>
        </is>
      </c>
      <c r="C66" s="34" t="inlineStr">
        <is>
          <t>Закрытые условия на абонементы</t>
        </is>
      </c>
      <c r="D66" s="34" t="inlineStr">
        <is>
          <t>Скидка 10% на абонемент 4 занятия</t>
        </is>
      </c>
      <c r="E66" s="34" t="inlineStr">
        <is>
          <t>При покупке абонемента на 4 занятия</t>
        </is>
      </c>
      <c r="F66" s="147" t="inlineStr">
        <is>
          <t>FW-L1-5NNBA-9UGNX</t>
        </is>
      </c>
      <c r="G66" s="39" t="inlineStr">
        <is>
          <t>Не использован</t>
        </is>
      </c>
      <c r="H66" s="148" t="n"/>
      <c r="I66" s="34" t="str"/>
      <c r="J66" s="34" t="str"/>
      <c r="K66" s="130" t="n">
        <v>62</v>
      </c>
      <c r="L66" s="43">
        <f>IF(COUNTIF($F$5:$F$2407,F66)=1,"OK","Дубликат")</f>
        <v/>
      </c>
    </row>
    <row r="67" ht="38" customHeight="1">
      <c r="A67" s="146" t="inlineStr">
        <is>
          <t>SUB-L1-04-10</t>
        </is>
      </c>
      <c r="B67" s="39" t="inlineStr">
        <is>
          <t>1 уровень</t>
        </is>
      </c>
      <c r="C67" s="34" t="inlineStr">
        <is>
          <t>Закрытые условия на абонементы</t>
        </is>
      </c>
      <c r="D67" s="34" t="inlineStr">
        <is>
          <t>Скидка 10% на абонемент 4 занятия</t>
        </is>
      </c>
      <c r="E67" s="34" t="inlineStr">
        <is>
          <t>При покупке абонемента на 4 занятия</t>
        </is>
      </c>
      <c r="F67" s="147" t="inlineStr">
        <is>
          <t>FW-L1-36AEJ-5VR8B</t>
        </is>
      </c>
      <c r="G67" s="39" t="inlineStr">
        <is>
          <t>Не использован</t>
        </is>
      </c>
      <c r="H67" s="148" t="n"/>
      <c r="I67" s="34" t="str"/>
      <c r="J67" s="34" t="str"/>
      <c r="K67" s="130" t="n">
        <v>63</v>
      </c>
      <c r="L67" s="43">
        <f>IF(COUNTIF($F$5:$F$2407,F67)=1,"OK","Дубликат")</f>
        <v/>
      </c>
    </row>
    <row r="68" ht="38" customHeight="1">
      <c r="A68" s="146" t="inlineStr">
        <is>
          <t>SUB-L1-04-10</t>
        </is>
      </c>
      <c r="B68" s="39" t="inlineStr">
        <is>
          <t>1 уровень</t>
        </is>
      </c>
      <c r="C68" s="34" t="inlineStr">
        <is>
          <t>Закрытые условия на абонементы</t>
        </is>
      </c>
      <c r="D68" s="34" t="inlineStr">
        <is>
          <t>Скидка 10% на абонемент 4 занятия</t>
        </is>
      </c>
      <c r="E68" s="34" t="inlineStr">
        <is>
          <t>При покупке абонемента на 4 занятия</t>
        </is>
      </c>
      <c r="F68" s="147" t="inlineStr">
        <is>
          <t>FW-L1-72FT6-9A6TN</t>
        </is>
      </c>
      <c r="G68" s="39" t="inlineStr">
        <is>
          <t>Не использован</t>
        </is>
      </c>
      <c r="H68" s="148" t="n"/>
      <c r="I68" s="34" t="str"/>
      <c r="J68" s="34" t="str"/>
      <c r="K68" s="130" t="n">
        <v>64</v>
      </c>
      <c r="L68" s="43">
        <f>IF(COUNTIF($F$5:$F$2407,F68)=1,"OK","Дубликат")</f>
        <v/>
      </c>
    </row>
    <row r="69" ht="38" customHeight="1">
      <c r="A69" s="146" t="inlineStr">
        <is>
          <t>SUB-L1-04-10</t>
        </is>
      </c>
      <c r="B69" s="39" t="inlineStr">
        <is>
          <t>1 уровень</t>
        </is>
      </c>
      <c r="C69" s="34" t="inlineStr">
        <is>
          <t>Закрытые условия на абонементы</t>
        </is>
      </c>
      <c r="D69" s="34" t="inlineStr">
        <is>
          <t>Скидка 10% на абонемент 4 занятия</t>
        </is>
      </c>
      <c r="E69" s="34" t="inlineStr">
        <is>
          <t>При покупке абонемента на 4 занятия</t>
        </is>
      </c>
      <c r="F69" s="147" t="inlineStr">
        <is>
          <t>FW-L1-ARS5S-7SZYZ</t>
        </is>
      </c>
      <c r="G69" s="39" t="inlineStr">
        <is>
          <t>Не использован</t>
        </is>
      </c>
      <c r="H69" s="148" t="n"/>
      <c r="I69" s="34" t="str"/>
      <c r="J69" s="34" t="str"/>
      <c r="K69" s="130" t="n">
        <v>65</v>
      </c>
      <c r="L69" s="43">
        <f>IF(COUNTIF($F$5:$F$2407,F69)=1,"OK","Дубликат")</f>
        <v/>
      </c>
    </row>
    <row r="70" ht="38" customHeight="1">
      <c r="A70" s="146" t="inlineStr">
        <is>
          <t>SUB-L1-04-10</t>
        </is>
      </c>
      <c r="B70" s="39" t="inlineStr">
        <is>
          <t>1 уровень</t>
        </is>
      </c>
      <c r="C70" s="34" t="inlineStr">
        <is>
          <t>Закрытые условия на абонементы</t>
        </is>
      </c>
      <c r="D70" s="34" t="inlineStr">
        <is>
          <t>Скидка 10% на абонемент 4 занятия</t>
        </is>
      </c>
      <c r="E70" s="34" t="inlineStr">
        <is>
          <t>При покупке абонемента на 4 занятия</t>
        </is>
      </c>
      <c r="F70" s="147" t="inlineStr">
        <is>
          <t>FW-L1-JDC95-JLVXU</t>
        </is>
      </c>
      <c r="G70" s="39" t="inlineStr">
        <is>
          <t>Не использован</t>
        </is>
      </c>
      <c r="H70" s="148" t="n"/>
      <c r="I70" s="34" t="str"/>
      <c r="J70" s="34" t="str"/>
      <c r="K70" s="130" t="n">
        <v>66</v>
      </c>
      <c r="L70" s="43">
        <f>IF(COUNTIF($F$5:$F$2407,F70)=1,"OK","Дубликат")</f>
        <v/>
      </c>
    </row>
    <row r="71" ht="38" customHeight="1">
      <c r="A71" s="146" t="inlineStr">
        <is>
          <t>SUB-L1-04-10</t>
        </is>
      </c>
      <c r="B71" s="39" t="inlineStr">
        <is>
          <t>1 уровень</t>
        </is>
      </c>
      <c r="C71" s="34" t="inlineStr">
        <is>
          <t>Закрытые условия на абонементы</t>
        </is>
      </c>
      <c r="D71" s="34" t="inlineStr">
        <is>
          <t>Скидка 10% на абонемент 4 занятия</t>
        </is>
      </c>
      <c r="E71" s="34" t="inlineStr">
        <is>
          <t>При покупке абонемента на 4 занятия</t>
        </is>
      </c>
      <c r="F71" s="147" t="inlineStr">
        <is>
          <t>FW-L1-UCZB2-5BA7N</t>
        </is>
      </c>
      <c r="G71" s="39" t="inlineStr">
        <is>
          <t>Не использован</t>
        </is>
      </c>
      <c r="H71" s="148" t="n"/>
      <c r="I71" s="34" t="str"/>
      <c r="J71" s="34" t="str"/>
      <c r="K71" s="130" t="n">
        <v>67</v>
      </c>
      <c r="L71" s="43">
        <f>IF(COUNTIF($F$5:$F$2407,F71)=1,"OK","Дубликат")</f>
        <v/>
      </c>
    </row>
    <row r="72" ht="38" customHeight="1">
      <c r="A72" s="146" t="inlineStr">
        <is>
          <t>SUB-L1-04-10</t>
        </is>
      </c>
      <c r="B72" s="39" t="inlineStr">
        <is>
          <t>1 уровень</t>
        </is>
      </c>
      <c r="C72" s="34" t="inlineStr">
        <is>
          <t>Закрытые условия на абонементы</t>
        </is>
      </c>
      <c r="D72" s="34" t="inlineStr">
        <is>
          <t>Скидка 10% на абонемент 4 занятия</t>
        </is>
      </c>
      <c r="E72" s="34" t="inlineStr">
        <is>
          <t>При покупке абонемента на 4 занятия</t>
        </is>
      </c>
      <c r="F72" s="147" t="inlineStr">
        <is>
          <t>FW-L1-BYCVM-W4MHY</t>
        </is>
      </c>
      <c r="G72" s="39" t="inlineStr">
        <is>
          <t>Не использован</t>
        </is>
      </c>
      <c r="H72" s="148" t="n"/>
      <c r="I72" s="34" t="str"/>
      <c r="J72" s="34" t="str"/>
      <c r="K72" s="130" t="n">
        <v>68</v>
      </c>
      <c r="L72" s="43">
        <f>IF(COUNTIF($F$5:$F$2407,F72)=1,"OK","Дубликат")</f>
        <v/>
      </c>
    </row>
    <row r="73" ht="38" customHeight="1">
      <c r="A73" s="146" t="inlineStr">
        <is>
          <t>SUB-L1-04-10</t>
        </is>
      </c>
      <c r="B73" s="39" t="inlineStr">
        <is>
          <t>1 уровень</t>
        </is>
      </c>
      <c r="C73" s="34" t="inlineStr">
        <is>
          <t>Закрытые условия на абонементы</t>
        </is>
      </c>
      <c r="D73" s="34" t="inlineStr">
        <is>
          <t>Скидка 10% на абонемент 4 занятия</t>
        </is>
      </c>
      <c r="E73" s="34" t="inlineStr">
        <is>
          <t>При покупке абонемента на 4 занятия</t>
        </is>
      </c>
      <c r="F73" s="147" t="inlineStr">
        <is>
          <t>FW-L1-BZLZF-XDYZN</t>
        </is>
      </c>
      <c r="G73" s="39" t="inlineStr">
        <is>
          <t>Не использован</t>
        </is>
      </c>
      <c r="H73" s="148" t="n"/>
      <c r="I73" s="34" t="str"/>
      <c r="J73" s="34" t="str"/>
      <c r="K73" s="130" t="n">
        <v>69</v>
      </c>
      <c r="L73" s="43">
        <f>IF(COUNTIF($F$5:$F$2407,F73)=1,"OK","Дубликат")</f>
        <v/>
      </c>
    </row>
    <row r="74" ht="38" customHeight="1">
      <c r="A74" s="146" t="inlineStr">
        <is>
          <t>SUB-L1-04-10</t>
        </is>
      </c>
      <c r="B74" s="39" t="inlineStr">
        <is>
          <t>1 уровень</t>
        </is>
      </c>
      <c r="C74" s="34" t="inlineStr">
        <is>
          <t>Закрытые условия на абонементы</t>
        </is>
      </c>
      <c r="D74" s="34" t="inlineStr">
        <is>
          <t>Скидка 10% на абонемент 4 занятия</t>
        </is>
      </c>
      <c r="E74" s="34" t="inlineStr">
        <is>
          <t>При покупке абонемента на 4 занятия</t>
        </is>
      </c>
      <c r="F74" s="147" t="inlineStr">
        <is>
          <t>FW-L1-DUMAA-FYMME</t>
        </is>
      </c>
      <c r="G74" s="39" t="inlineStr">
        <is>
          <t>Не использован</t>
        </is>
      </c>
      <c r="H74" s="148" t="n"/>
      <c r="I74" s="34" t="str"/>
      <c r="J74" s="34" t="str"/>
      <c r="K74" s="130" t="n">
        <v>70</v>
      </c>
      <c r="L74" s="43">
        <f>IF(COUNTIF($F$5:$F$2407,F74)=1,"OK","Дубликат")</f>
        <v/>
      </c>
    </row>
    <row r="75" ht="38" customHeight="1">
      <c r="A75" s="146" t="inlineStr">
        <is>
          <t>SUB-L1-04-10</t>
        </is>
      </c>
      <c r="B75" s="39" t="inlineStr">
        <is>
          <t>1 уровень</t>
        </is>
      </c>
      <c r="C75" s="34" t="inlineStr">
        <is>
          <t>Закрытые условия на абонементы</t>
        </is>
      </c>
      <c r="D75" s="34" t="inlineStr">
        <is>
          <t>Скидка 10% на абонемент 4 занятия</t>
        </is>
      </c>
      <c r="E75" s="34" t="inlineStr">
        <is>
          <t>При покупке абонемента на 4 занятия</t>
        </is>
      </c>
      <c r="F75" s="147" t="inlineStr">
        <is>
          <t>FW-L1-XN3Q7-S2GP9</t>
        </is>
      </c>
      <c r="G75" s="39" t="inlineStr">
        <is>
          <t>Не использован</t>
        </is>
      </c>
      <c r="H75" s="148" t="n"/>
      <c r="I75" s="34" t="str"/>
      <c r="J75" s="34" t="str"/>
      <c r="K75" s="130" t="n">
        <v>71</v>
      </c>
      <c r="L75" s="43">
        <f>IF(COUNTIF($F$5:$F$2407,F75)=1,"OK","Дубликат")</f>
        <v/>
      </c>
    </row>
    <row r="76" ht="38" customHeight="1">
      <c r="A76" s="146" t="inlineStr">
        <is>
          <t>SUB-L1-04-10</t>
        </is>
      </c>
      <c r="B76" s="39" t="inlineStr">
        <is>
          <t>1 уровень</t>
        </is>
      </c>
      <c r="C76" s="34" t="inlineStr">
        <is>
          <t>Закрытые условия на абонементы</t>
        </is>
      </c>
      <c r="D76" s="34" t="inlineStr">
        <is>
          <t>Скидка 10% на абонемент 4 занятия</t>
        </is>
      </c>
      <c r="E76" s="34" t="inlineStr">
        <is>
          <t>При покупке абонемента на 4 занятия</t>
        </is>
      </c>
      <c r="F76" s="147" t="inlineStr">
        <is>
          <t>FW-L1-PGJM3-7ZPJC</t>
        </is>
      </c>
      <c r="G76" s="39" t="inlineStr">
        <is>
          <t>Не использован</t>
        </is>
      </c>
      <c r="H76" s="148" t="n"/>
      <c r="I76" s="34" t="str"/>
      <c r="J76" s="34" t="str"/>
      <c r="K76" s="130" t="n">
        <v>72</v>
      </c>
      <c r="L76" s="43">
        <f>IF(COUNTIF($F$5:$F$2407,F76)=1,"OK","Дубликат")</f>
        <v/>
      </c>
    </row>
    <row r="77" ht="38" customHeight="1">
      <c r="A77" s="146" t="inlineStr">
        <is>
          <t>SUB-L1-04-10</t>
        </is>
      </c>
      <c r="B77" s="39" t="inlineStr">
        <is>
          <t>1 уровень</t>
        </is>
      </c>
      <c r="C77" s="34" t="inlineStr">
        <is>
          <t>Закрытые условия на абонементы</t>
        </is>
      </c>
      <c r="D77" s="34" t="inlineStr">
        <is>
          <t>Скидка 10% на абонемент 4 занятия</t>
        </is>
      </c>
      <c r="E77" s="34" t="inlineStr">
        <is>
          <t>При покупке абонемента на 4 занятия</t>
        </is>
      </c>
      <c r="F77" s="147" t="inlineStr">
        <is>
          <t>FW-L1-YTAJT-RTZ8Q</t>
        </is>
      </c>
      <c r="G77" s="39" t="inlineStr">
        <is>
          <t>Не использован</t>
        </is>
      </c>
      <c r="H77" s="148" t="n"/>
      <c r="I77" s="34" t="str"/>
      <c r="J77" s="34" t="str"/>
      <c r="K77" s="130" t="n">
        <v>73</v>
      </c>
      <c r="L77" s="43">
        <f>IF(COUNTIF($F$5:$F$2407,F77)=1,"OK","Дубликат")</f>
        <v/>
      </c>
    </row>
    <row r="78" ht="38" customHeight="1">
      <c r="A78" s="146" t="inlineStr">
        <is>
          <t>SUB-L1-04-10</t>
        </is>
      </c>
      <c r="B78" s="39" t="inlineStr">
        <is>
          <t>1 уровень</t>
        </is>
      </c>
      <c r="C78" s="34" t="inlineStr">
        <is>
          <t>Закрытые условия на абонементы</t>
        </is>
      </c>
      <c r="D78" s="34" t="inlineStr">
        <is>
          <t>Скидка 10% на абонемент 4 занятия</t>
        </is>
      </c>
      <c r="E78" s="34" t="inlineStr">
        <is>
          <t>При покупке абонемента на 4 занятия</t>
        </is>
      </c>
      <c r="F78" s="147" t="inlineStr">
        <is>
          <t>FW-L1-57MN4-L9FHT</t>
        </is>
      </c>
      <c r="G78" s="39" t="inlineStr">
        <is>
          <t>Не использован</t>
        </is>
      </c>
      <c r="H78" s="148" t="n"/>
      <c r="I78" s="34" t="str"/>
      <c r="J78" s="34" t="str"/>
      <c r="K78" s="130" t="n">
        <v>74</v>
      </c>
      <c r="L78" s="43">
        <f>IF(COUNTIF($F$5:$F$2407,F78)=1,"OK","Дубликат")</f>
        <v/>
      </c>
    </row>
    <row r="79" ht="38" customHeight="1">
      <c r="A79" s="146" t="inlineStr">
        <is>
          <t>SUB-L1-04-10</t>
        </is>
      </c>
      <c r="B79" s="39" t="inlineStr">
        <is>
          <t>1 уровень</t>
        </is>
      </c>
      <c r="C79" s="34" t="inlineStr">
        <is>
          <t>Закрытые условия на абонементы</t>
        </is>
      </c>
      <c r="D79" s="34" t="inlineStr">
        <is>
          <t>Скидка 10% на абонемент 4 занятия</t>
        </is>
      </c>
      <c r="E79" s="34" t="inlineStr">
        <is>
          <t>При покупке абонемента на 4 занятия</t>
        </is>
      </c>
      <c r="F79" s="147" t="inlineStr">
        <is>
          <t>FW-L1-Z587R-SGM4M</t>
        </is>
      </c>
      <c r="G79" s="39" t="inlineStr">
        <is>
          <t>Не использован</t>
        </is>
      </c>
      <c r="H79" s="148" t="n"/>
      <c r="I79" s="34" t="str"/>
      <c r="J79" s="34" t="str"/>
      <c r="K79" s="130" t="n">
        <v>75</v>
      </c>
      <c r="L79" s="43">
        <f>IF(COUNTIF($F$5:$F$2407,F79)=1,"OK","Дубликат")</f>
        <v/>
      </c>
    </row>
    <row r="80" ht="38" customHeight="1">
      <c r="A80" s="146" t="inlineStr">
        <is>
          <t>SUB-L1-04-10</t>
        </is>
      </c>
      <c r="B80" s="39" t="inlineStr">
        <is>
          <t>1 уровень</t>
        </is>
      </c>
      <c r="C80" s="34" t="inlineStr">
        <is>
          <t>Закрытые условия на абонементы</t>
        </is>
      </c>
      <c r="D80" s="34" t="inlineStr">
        <is>
          <t>Скидка 10% на абонемент 4 занятия</t>
        </is>
      </c>
      <c r="E80" s="34" t="inlineStr">
        <is>
          <t>При покупке абонемента на 4 занятия</t>
        </is>
      </c>
      <c r="F80" s="147" t="inlineStr">
        <is>
          <t>FW-L1-Y7VB4-NYFVP</t>
        </is>
      </c>
      <c r="G80" s="39" t="inlineStr">
        <is>
          <t>Не использован</t>
        </is>
      </c>
      <c r="H80" s="148" t="n"/>
      <c r="I80" s="34" t="str"/>
      <c r="J80" s="34" t="str"/>
      <c r="K80" s="130" t="n">
        <v>76</v>
      </c>
      <c r="L80" s="43">
        <f>IF(COUNTIF($F$5:$F$2407,F80)=1,"OK","Дубликат")</f>
        <v/>
      </c>
    </row>
    <row r="81" ht="38" customHeight="1">
      <c r="A81" s="146" t="inlineStr">
        <is>
          <t>SUB-L1-04-10</t>
        </is>
      </c>
      <c r="B81" s="39" t="inlineStr">
        <is>
          <t>1 уровень</t>
        </is>
      </c>
      <c r="C81" s="34" t="inlineStr">
        <is>
          <t>Закрытые условия на абонементы</t>
        </is>
      </c>
      <c r="D81" s="34" t="inlineStr">
        <is>
          <t>Скидка 10% на абонемент 4 занятия</t>
        </is>
      </c>
      <c r="E81" s="34" t="inlineStr">
        <is>
          <t>При покупке абонемента на 4 занятия</t>
        </is>
      </c>
      <c r="F81" s="147" t="inlineStr">
        <is>
          <t>FW-L1-H8QZB-ZYQ49</t>
        </is>
      </c>
      <c r="G81" s="39" t="inlineStr">
        <is>
          <t>Не использован</t>
        </is>
      </c>
      <c r="H81" s="148" t="n"/>
      <c r="I81" s="34" t="str"/>
      <c r="J81" s="34" t="str"/>
      <c r="K81" s="130" t="n">
        <v>77</v>
      </c>
      <c r="L81" s="43">
        <f>IF(COUNTIF($F$5:$F$2407,F81)=1,"OK","Дубликат")</f>
        <v/>
      </c>
    </row>
    <row r="82" ht="38" customHeight="1">
      <c r="A82" s="146" t="inlineStr">
        <is>
          <t>SUB-L1-04-10</t>
        </is>
      </c>
      <c r="B82" s="39" t="inlineStr">
        <is>
          <t>1 уровень</t>
        </is>
      </c>
      <c r="C82" s="34" t="inlineStr">
        <is>
          <t>Закрытые условия на абонементы</t>
        </is>
      </c>
      <c r="D82" s="34" t="inlineStr">
        <is>
          <t>Скидка 10% на абонемент 4 занятия</t>
        </is>
      </c>
      <c r="E82" s="34" t="inlineStr">
        <is>
          <t>При покупке абонемента на 4 занятия</t>
        </is>
      </c>
      <c r="F82" s="147" t="inlineStr">
        <is>
          <t>FW-L1-5DGHS-Y6U6T</t>
        </is>
      </c>
      <c r="G82" s="39" t="inlineStr">
        <is>
          <t>Не использован</t>
        </is>
      </c>
      <c r="H82" s="148" t="n"/>
      <c r="I82" s="34" t="str"/>
      <c r="J82" s="34" t="str"/>
      <c r="K82" s="130" t="n">
        <v>78</v>
      </c>
      <c r="L82" s="43">
        <f>IF(COUNTIF($F$5:$F$2407,F82)=1,"OK","Дубликат")</f>
        <v/>
      </c>
    </row>
    <row r="83" ht="38" customHeight="1">
      <c r="A83" s="146" t="inlineStr">
        <is>
          <t>SUB-L1-04-10</t>
        </is>
      </c>
      <c r="B83" s="39" t="inlineStr">
        <is>
          <t>1 уровень</t>
        </is>
      </c>
      <c r="C83" s="34" t="inlineStr">
        <is>
          <t>Закрытые условия на абонементы</t>
        </is>
      </c>
      <c r="D83" s="34" t="inlineStr">
        <is>
          <t>Скидка 10% на абонемент 4 занятия</t>
        </is>
      </c>
      <c r="E83" s="34" t="inlineStr">
        <is>
          <t>При покупке абонемента на 4 занятия</t>
        </is>
      </c>
      <c r="F83" s="147" t="inlineStr">
        <is>
          <t>FW-L1-W4GB4-6LQTD</t>
        </is>
      </c>
      <c r="G83" s="39" t="inlineStr">
        <is>
          <t>Не использован</t>
        </is>
      </c>
      <c r="H83" s="148" t="n"/>
      <c r="I83" s="34" t="str"/>
      <c r="J83" s="34" t="str"/>
      <c r="K83" s="130" t="n">
        <v>79</v>
      </c>
      <c r="L83" s="43">
        <f>IF(COUNTIF($F$5:$F$2407,F83)=1,"OK","Дубликат")</f>
        <v/>
      </c>
    </row>
    <row r="84" ht="38" customHeight="1">
      <c r="A84" s="146" t="inlineStr">
        <is>
          <t>SUB-L1-04-10</t>
        </is>
      </c>
      <c r="B84" s="39" t="inlineStr">
        <is>
          <t>1 уровень</t>
        </is>
      </c>
      <c r="C84" s="34" t="inlineStr">
        <is>
          <t>Закрытые условия на абонементы</t>
        </is>
      </c>
      <c r="D84" s="34" t="inlineStr">
        <is>
          <t>Скидка 10% на абонемент 4 занятия</t>
        </is>
      </c>
      <c r="E84" s="34" t="inlineStr">
        <is>
          <t>При покупке абонемента на 4 занятия</t>
        </is>
      </c>
      <c r="F84" s="147" t="inlineStr">
        <is>
          <t>FW-L1-QAVPU-X8FSV</t>
        </is>
      </c>
      <c r="G84" s="39" t="inlineStr">
        <is>
          <t>Не использован</t>
        </is>
      </c>
      <c r="H84" s="148" t="n"/>
      <c r="I84" s="34" t="str"/>
      <c r="J84" s="34" t="str"/>
      <c r="K84" s="130" t="n">
        <v>80</v>
      </c>
      <c r="L84" s="43">
        <f>IF(COUNTIF($F$5:$F$2407,F84)=1,"OK","Дубликат")</f>
        <v/>
      </c>
    </row>
    <row r="85" ht="38" customHeight="1">
      <c r="A85" s="146" t="inlineStr">
        <is>
          <t>SUB-L1-04-10</t>
        </is>
      </c>
      <c r="B85" s="39" t="inlineStr">
        <is>
          <t>1 уровень</t>
        </is>
      </c>
      <c r="C85" s="34" t="inlineStr">
        <is>
          <t>Закрытые условия на абонементы</t>
        </is>
      </c>
      <c r="D85" s="34" t="inlineStr">
        <is>
          <t>Скидка 10% на абонемент 4 занятия</t>
        </is>
      </c>
      <c r="E85" s="34" t="inlineStr">
        <is>
          <t>При покупке абонемента на 4 занятия</t>
        </is>
      </c>
      <c r="F85" s="147" t="inlineStr">
        <is>
          <t>FW-L1-BXN3Q-4K37R</t>
        </is>
      </c>
      <c r="G85" s="39" t="inlineStr">
        <is>
          <t>Не использован</t>
        </is>
      </c>
      <c r="H85" s="148" t="n"/>
      <c r="I85" s="34" t="str"/>
      <c r="J85" s="34" t="str"/>
      <c r="K85" s="130" t="n">
        <v>81</v>
      </c>
      <c r="L85" s="43">
        <f>IF(COUNTIF($F$5:$F$2407,F85)=1,"OK","Дубликат")</f>
        <v/>
      </c>
    </row>
    <row r="86" ht="38" customHeight="1">
      <c r="A86" s="146" t="inlineStr">
        <is>
          <t>SUB-L1-04-10</t>
        </is>
      </c>
      <c r="B86" s="39" t="inlineStr">
        <is>
          <t>1 уровень</t>
        </is>
      </c>
      <c r="C86" s="34" t="inlineStr">
        <is>
          <t>Закрытые условия на абонементы</t>
        </is>
      </c>
      <c r="D86" s="34" t="inlineStr">
        <is>
          <t>Скидка 10% на абонемент 4 занятия</t>
        </is>
      </c>
      <c r="E86" s="34" t="inlineStr">
        <is>
          <t>При покупке абонемента на 4 занятия</t>
        </is>
      </c>
      <c r="F86" s="147" t="inlineStr">
        <is>
          <t>FW-L1-9543Z-QX3YV</t>
        </is>
      </c>
      <c r="G86" s="39" t="inlineStr">
        <is>
          <t>Не использован</t>
        </is>
      </c>
      <c r="H86" s="148" t="n"/>
      <c r="I86" s="34" t="str"/>
      <c r="J86" s="34" t="str"/>
      <c r="K86" s="130" t="n">
        <v>82</v>
      </c>
      <c r="L86" s="43">
        <f>IF(COUNTIF($F$5:$F$2407,F86)=1,"OK","Дубликат")</f>
        <v/>
      </c>
    </row>
    <row r="87" ht="38" customHeight="1">
      <c r="A87" s="146" t="inlineStr">
        <is>
          <t>SUB-L1-04-10</t>
        </is>
      </c>
      <c r="B87" s="39" t="inlineStr">
        <is>
          <t>1 уровень</t>
        </is>
      </c>
      <c r="C87" s="34" t="inlineStr">
        <is>
          <t>Закрытые условия на абонементы</t>
        </is>
      </c>
      <c r="D87" s="34" t="inlineStr">
        <is>
          <t>Скидка 10% на абонемент 4 занятия</t>
        </is>
      </c>
      <c r="E87" s="34" t="inlineStr">
        <is>
          <t>При покупке абонемента на 4 занятия</t>
        </is>
      </c>
      <c r="F87" s="147" t="inlineStr">
        <is>
          <t>FW-L1-H7JUJ-DGR6E</t>
        </is>
      </c>
      <c r="G87" s="39" t="inlineStr">
        <is>
          <t>Не использован</t>
        </is>
      </c>
      <c r="H87" s="148" t="n"/>
      <c r="I87" s="34" t="str"/>
      <c r="J87" s="34" t="str"/>
      <c r="K87" s="130" t="n">
        <v>83</v>
      </c>
      <c r="L87" s="43">
        <f>IF(COUNTIF($F$5:$F$2407,F87)=1,"OK","Дубликат")</f>
        <v/>
      </c>
    </row>
    <row r="88" ht="38" customHeight="1">
      <c r="A88" s="146" t="inlineStr">
        <is>
          <t>SUB-L1-04-10</t>
        </is>
      </c>
      <c r="B88" s="39" t="inlineStr">
        <is>
          <t>1 уровень</t>
        </is>
      </c>
      <c r="C88" s="34" t="inlineStr">
        <is>
          <t>Закрытые условия на абонементы</t>
        </is>
      </c>
      <c r="D88" s="34" t="inlineStr">
        <is>
          <t>Скидка 10% на абонемент 4 занятия</t>
        </is>
      </c>
      <c r="E88" s="34" t="inlineStr">
        <is>
          <t>При покупке абонемента на 4 занятия</t>
        </is>
      </c>
      <c r="F88" s="147" t="inlineStr">
        <is>
          <t>FW-L1-G9K7D-F9LMX</t>
        </is>
      </c>
      <c r="G88" s="39" t="inlineStr">
        <is>
          <t>Не использован</t>
        </is>
      </c>
      <c r="H88" s="148" t="n"/>
      <c r="I88" s="34" t="str"/>
      <c r="J88" s="34" t="str"/>
      <c r="K88" s="130" t="n">
        <v>84</v>
      </c>
      <c r="L88" s="43">
        <f>IF(COUNTIF($F$5:$F$2407,F88)=1,"OK","Дубликат")</f>
        <v/>
      </c>
    </row>
    <row r="89" ht="38" customHeight="1">
      <c r="A89" s="146" t="inlineStr">
        <is>
          <t>SUB-L1-04-10</t>
        </is>
      </c>
      <c r="B89" s="39" t="inlineStr">
        <is>
          <t>1 уровень</t>
        </is>
      </c>
      <c r="C89" s="34" t="inlineStr">
        <is>
          <t>Закрытые условия на абонементы</t>
        </is>
      </c>
      <c r="D89" s="34" t="inlineStr">
        <is>
          <t>Скидка 10% на абонемент 4 занятия</t>
        </is>
      </c>
      <c r="E89" s="34" t="inlineStr">
        <is>
          <t>При покупке абонемента на 4 занятия</t>
        </is>
      </c>
      <c r="F89" s="147" t="inlineStr">
        <is>
          <t>FW-L1-8LMUG-G5NDW</t>
        </is>
      </c>
      <c r="G89" s="39" t="inlineStr">
        <is>
          <t>Не использован</t>
        </is>
      </c>
      <c r="H89" s="148" t="n"/>
      <c r="I89" s="34" t="str"/>
      <c r="J89" s="34" t="str"/>
      <c r="K89" s="130" t="n">
        <v>85</v>
      </c>
      <c r="L89" s="43">
        <f>IF(COUNTIF($F$5:$F$2407,F89)=1,"OK","Дубликат")</f>
        <v/>
      </c>
    </row>
    <row r="90" ht="38" customHeight="1">
      <c r="A90" s="146" t="inlineStr">
        <is>
          <t>SUB-L1-04-10</t>
        </is>
      </c>
      <c r="B90" s="39" t="inlineStr">
        <is>
          <t>1 уровень</t>
        </is>
      </c>
      <c r="C90" s="34" t="inlineStr">
        <is>
          <t>Закрытые условия на абонементы</t>
        </is>
      </c>
      <c r="D90" s="34" t="inlineStr">
        <is>
          <t>Скидка 10% на абонемент 4 занятия</t>
        </is>
      </c>
      <c r="E90" s="34" t="inlineStr">
        <is>
          <t>При покупке абонемента на 4 занятия</t>
        </is>
      </c>
      <c r="F90" s="147" t="inlineStr">
        <is>
          <t>FW-L1-9VRWA-URZV8</t>
        </is>
      </c>
      <c r="G90" s="39" t="inlineStr">
        <is>
          <t>Не использован</t>
        </is>
      </c>
      <c r="H90" s="148" t="n"/>
      <c r="I90" s="34" t="str"/>
      <c r="J90" s="34" t="str"/>
      <c r="K90" s="130" t="n">
        <v>86</v>
      </c>
      <c r="L90" s="43">
        <f>IF(COUNTIF($F$5:$F$2407,F90)=1,"OK","Дубликат")</f>
        <v/>
      </c>
    </row>
    <row r="91" ht="38" customHeight="1">
      <c r="A91" s="146" t="inlineStr">
        <is>
          <t>SUB-L1-04-10</t>
        </is>
      </c>
      <c r="B91" s="39" t="inlineStr">
        <is>
          <t>1 уровень</t>
        </is>
      </c>
      <c r="C91" s="34" t="inlineStr">
        <is>
          <t>Закрытые условия на абонементы</t>
        </is>
      </c>
      <c r="D91" s="34" t="inlineStr">
        <is>
          <t>Скидка 10% на абонемент 4 занятия</t>
        </is>
      </c>
      <c r="E91" s="34" t="inlineStr">
        <is>
          <t>При покупке абонемента на 4 занятия</t>
        </is>
      </c>
      <c r="F91" s="147" t="inlineStr">
        <is>
          <t>FW-L1-2UH45-RMXS6</t>
        </is>
      </c>
      <c r="G91" s="39" t="inlineStr">
        <is>
          <t>Не использован</t>
        </is>
      </c>
      <c r="H91" s="148" t="n"/>
      <c r="I91" s="34" t="str"/>
      <c r="J91" s="34" t="str"/>
      <c r="K91" s="130" t="n">
        <v>87</v>
      </c>
      <c r="L91" s="43">
        <f>IF(COUNTIF($F$5:$F$2407,F91)=1,"OK","Дубликат")</f>
        <v/>
      </c>
    </row>
    <row r="92" ht="38" customHeight="1">
      <c r="A92" s="146" t="inlineStr">
        <is>
          <t>SUB-L1-04-10</t>
        </is>
      </c>
      <c r="B92" s="39" t="inlineStr">
        <is>
          <t>1 уровень</t>
        </is>
      </c>
      <c r="C92" s="34" t="inlineStr">
        <is>
          <t>Закрытые условия на абонементы</t>
        </is>
      </c>
      <c r="D92" s="34" t="inlineStr">
        <is>
          <t>Скидка 10% на абонемент 4 занятия</t>
        </is>
      </c>
      <c r="E92" s="34" t="inlineStr">
        <is>
          <t>При покупке абонемента на 4 занятия</t>
        </is>
      </c>
      <c r="F92" s="147" t="inlineStr">
        <is>
          <t>FW-L1-EVFFF-XJJGX</t>
        </is>
      </c>
      <c r="G92" s="39" t="inlineStr">
        <is>
          <t>Не использован</t>
        </is>
      </c>
      <c r="H92" s="148" t="n"/>
      <c r="I92" s="34" t="str"/>
      <c r="J92" s="34" t="str"/>
      <c r="K92" s="130" t="n">
        <v>88</v>
      </c>
      <c r="L92" s="43">
        <f>IF(COUNTIF($F$5:$F$2407,F92)=1,"OK","Дубликат")</f>
        <v/>
      </c>
    </row>
    <row r="93" ht="38" customHeight="1">
      <c r="A93" s="146" t="inlineStr">
        <is>
          <t>SUB-L1-04-10</t>
        </is>
      </c>
      <c r="B93" s="39" t="inlineStr">
        <is>
          <t>1 уровень</t>
        </is>
      </c>
      <c r="C93" s="34" t="inlineStr">
        <is>
          <t>Закрытые условия на абонементы</t>
        </is>
      </c>
      <c r="D93" s="34" t="inlineStr">
        <is>
          <t>Скидка 10% на абонемент 4 занятия</t>
        </is>
      </c>
      <c r="E93" s="34" t="inlineStr">
        <is>
          <t>При покупке абонемента на 4 занятия</t>
        </is>
      </c>
      <c r="F93" s="147" t="inlineStr">
        <is>
          <t>FW-L1-Z7R2P-ZVC3Y</t>
        </is>
      </c>
      <c r="G93" s="39" t="inlineStr">
        <is>
          <t>Не использован</t>
        </is>
      </c>
      <c r="H93" s="148" t="n"/>
      <c r="I93" s="34" t="str"/>
      <c r="J93" s="34" t="str"/>
      <c r="K93" s="130" t="n">
        <v>89</v>
      </c>
      <c r="L93" s="43">
        <f>IF(COUNTIF($F$5:$F$2407,F93)=1,"OK","Дубликат")</f>
        <v/>
      </c>
    </row>
    <row r="94" ht="38" customHeight="1">
      <c r="A94" s="146" t="inlineStr">
        <is>
          <t>SUB-L1-04-10</t>
        </is>
      </c>
      <c r="B94" s="39" t="inlineStr">
        <is>
          <t>1 уровень</t>
        </is>
      </c>
      <c r="C94" s="34" t="inlineStr">
        <is>
          <t>Закрытые условия на абонементы</t>
        </is>
      </c>
      <c r="D94" s="34" t="inlineStr">
        <is>
          <t>Скидка 10% на абонемент 4 занятия</t>
        </is>
      </c>
      <c r="E94" s="34" t="inlineStr">
        <is>
          <t>При покупке абонемента на 4 занятия</t>
        </is>
      </c>
      <c r="F94" s="147" t="inlineStr">
        <is>
          <t>FW-L1-K63HF-P3PJV</t>
        </is>
      </c>
      <c r="G94" s="39" t="inlineStr">
        <is>
          <t>Не использован</t>
        </is>
      </c>
      <c r="H94" s="148" t="n"/>
      <c r="I94" s="34" t="str"/>
      <c r="J94" s="34" t="str"/>
      <c r="K94" s="130" t="n">
        <v>90</v>
      </c>
      <c r="L94" s="43">
        <f>IF(COUNTIF($F$5:$F$2407,F94)=1,"OK","Дубликат")</f>
        <v/>
      </c>
    </row>
    <row r="95" ht="38" customHeight="1">
      <c r="A95" s="146" t="inlineStr">
        <is>
          <t>SUB-L1-04-10</t>
        </is>
      </c>
      <c r="B95" s="39" t="inlineStr">
        <is>
          <t>1 уровень</t>
        </is>
      </c>
      <c r="C95" s="34" t="inlineStr">
        <is>
          <t>Закрытые условия на абонементы</t>
        </is>
      </c>
      <c r="D95" s="34" t="inlineStr">
        <is>
          <t>Скидка 10% на абонемент 4 занятия</t>
        </is>
      </c>
      <c r="E95" s="34" t="inlineStr">
        <is>
          <t>При покупке абонемента на 4 занятия</t>
        </is>
      </c>
      <c r="F95" s="147" t="inlineStr">
        <is>
          <t>FW-L1-4RTKM-C2LFS</t>
        </is>
      </c>
      <c r="G95" s="39" t="inlineStr">
        <is>
          <t>Не использован</t>
        </is>
      </c>
      <c r="H95" s="148" t="n"/>
      <c r="I95" s="34" t="str"/>
      <c r="J95" s="34" t="str"/>
      <c r="K95" s="130" t="n">
        <v>91</v>
      </c>
      <c r="L95" s="43">
        <f>IF(COUNTIF($F$5:$F$2407,F95)=1,"OK","Дубликат")</f>
        <v/>
      </c>
    </row>
    <row r="96" ht="38" customHeight="1">
      <c r="A96" s="146" t="inlineStr">
        <is>
          <t>SUB-L1-04-10</t>
        </is>
      </c>
      <c r="B96" s="39" t="inlineStr">
        <is>
          <t>1 уровень</t>
        </is>
      </c>
      <c r="C96" s="34" t="inlineStr">
        <is>
          <t>Закрытые условия на абонементы</t>
        </is>
      </c>
      <c r="D96" s="34" t="inlineStr">
        <is>
          <t>Скидка 10% на абонемент 4 занятия</t>
        </is>
      </c>
      <c r="E96" s="34" t="inlineStr">
        <is>
          <t>При покупке абонемента на 4 занятия</t>
        </is>
      </c>
      <c r="F96" s="147" t="inlineStr">
        <is>
          <t>FW-L1-4TPB9-GTH95</t>
        </is>
      </c>
      <c r="G96" s="39" t="inlineStr">
        <is>
          <t>Не использован</t>
        </is>
      </c>
      <c r="H96" s="148" t="n"/>
      <c r="I96" s="34" t="str"/>
      <c r="J96" s="34" t="str"/>
      <c r="K96" s="130" t="n">
        <v>92</v>
      </c>
      <c r="L96" s="43">
        <f>IF(COUNTIF($F$5:$F$2407,F96)=1,"OK","Дубликат")</f>
        <v/>
      </c>
    </row>
    <row r="97" ht="38" customHeight="1">
      <c r="A97" s="146" t="inlineStr">
        <is>
          <t>SUB-L1-04-10</t>
        </is>
      </c>
      <c r="B97" s="39" t="inlineStr">
        <is>
          <t>1 уровень</t>
        </is>
      </c>
      <c r="C97" s="34" t="inlineStr">
        <is>
          <t>Закрытые условия на абонементы</t>
        </is>
      </c>
      <c r="D97" s="34" t="inlineStr">
        <is>
          <t>Скидка 10% на абонемент 4 занятия</t>
        </is>
      </c>
      <c r="E97" s="34" t="inlineStr">
        <is>
          <t>При покупке абонемента на 4 занятия</t>
        </is>
      </c>
      <c r="F97" s="147" t="inlineStr">
        <is>
          <t>FW-L1-43VBK-M9LHT</t>
        </is>
      </c>
      <c r="G97" s="39" t="inlineStr">
        <is>
          <t>Не использован</t>
        </is>
      </c>
      <c r="H97" s="148" t="n"/>
      <c r="I97" s="34" t="str"/>
      <c r="J97" s="34" t="str"/>
      <c r="K97" s="130" t="n">
        <v>93</v>
      </c>
      <c r="L97" s="43">
        <f>IF(COUNTIF($F$5:$F$2407,F97)=1,"OK","Дубликат")</f>
        <v/>
      </c>
    </row>
    <row r="98" ht="38" customHeight="1">
      <c r="A98" s="146" t="inlineStr">
        <is>
          <t>SUB-L1-04-10</t>
        </is>
      </c>
      <c r="B98" s="39" t="inlineStr">
        <is>
          <t>1 уровень</t>
        </is>
      </c>
      <c r="C98" s="34" t="inlineStr">
        <is>
          <t>Закрытые условия на абонементы</t>
        </is>
      </c>
      <c r="D98" s="34" t="inlineStr">
        <is>
          <t>Скидка 10% на абонемент 4 занятия</t>
        </is>
      </c>
      <c r="E98" s="34" t="inlineStr">
        <is>
          <t>При покупке абонемента на 4 занятия</t>
        </is>
      </c>
      <c r="F98" s="147" t="inlineStr">
        <is>
          <t>FW-L1-6X6QF-TD4GM</t>
        </is>
      </c>
      <c r="G98" s="39" t="inlineStr">
        <is>
          <t>Не использован</t>
        </is>
      </c>
      <c r="H98" s="148" t="n"/>
      <c r="I98" s="34" t="str"/>
      <c r="J98" s="34" t="str"/>
      <c r="K98" s="130" t="n">
        <v>94</v>
      </c>
      <c r="L98" s="43">
        <f>IF(COUNTIF($F$5:$F$2407,F98)=1,"OK","Дубликат")</f>
        <v/>
      </c>
    </row>
    <row r="99" ht="38" customHeight="1">
      <c r="A99" s="146" t="inlineStr">
        <is>
          <t>SUB-L1-04-10</t>
        </is>
      </c>
      <c r="B99" s="39" t="inlineStr">
        <is>
          <t>1 уровень</t>
        </is>
      </c>
      <c r="C99" s="34" t="inlineStr">
        <is>
          <t>Закрытые условия на абонементы</t>
        </is>
      </c>
      <c r="D99" s="34" t="inlineStr">
        <is>
          <t>Скидка 10% на абонемент 4 занятия</t>
        </is>
      </c>
      <c r="E99" s="34" t="inlineStr">
        <is>
          <t>При покупке абонемента на 4 занятия</t>
        </is>
      </c>
      <c r="F99" s="147" t="inlineStr">
        <is>
          <t>FW-L1-VLT79-8MZPS</t>
        </is>
      </c>
      <c r="G99" s="39" t="inlineStr">
        <is>
          <t>Не использован</t>
        </is>
      </c>
      <c r="H99" s="148" t="n"/>
      <c r="I99" s="34" t="str"/>
      <c r="J99" s="34" t="str"/>
      <c r="K99" s="130" t="n">
        <v>95</v>
      </c>
      <c r="L99" s="43">
        <f>IF(COUNTIF($F$5:$F$2407,F99)=1,"OK","Дубликат")</f>
        <v/>
      </c>
    </row>
    <row r="100" ht="38" customHeight="1">
      <c r="A100" s="146" t="inlineStr">
        <is>
          <t>SUB-L1-04-10</t>
        </is>
      </c>
      <c r="B100" s="39" t="inlineStr">
        <is>
          <t>1 уровень</t>
        </is>
      </c>
      <c r="C100" s="34" t="inlineStr">
        <is>
          <t>Закрытые условия на абонементы</t>
        </is>
      </c>
      <c r="D100" s="34" t="inlineStr">
        <is>
          <t>Скидка 10% на абонемент 4 занятия</t>
        </is>
      </c>
      <c r="E100" s="34" t="inlineStr">
        <is>
          <t>При покупке абонемента на 4 занятия</t>
        </is>
      </c>
      <c r="F100" s="147" t="inlineStr">
        <is>
          <t>FW-L1-LY3Z2-DCENF</t>
        </is>
      </c>
      <c r="G100" s="39" t="inlineStr">
        <is>
          <t>Не использован</t>
        </is>
      </c>
      <c r="H100" s="148" t="n"/>
      <c r="I100" s="34" t="str"/>
      <c r="J100" s="34" t="str"/>
      <c r="K100" s="130" t="n">
        <v>96</v>
      </c>
      <c r="L100" s="43">
        <f>IF(COUNTIF($F$5:$F$2407,F100)=1,"OK","Дубликат")</f>
        <v/>
      </c>
    </row>
    <row r="101" ht="38" customHeight="1">
      <c r="A101" s="146" t="inlineStr">
        <is>
          <t>SUB-L1-04-10</t>
        </is>
      </c>
      <c r="B101" s="39" t="inlineStr">
        <is>
          <t>1 уровень</t>
        </is>
      </c>
      <c r="C101" s="34" t="inlineStr">
        <is>
          <t>Закрытые условия на абонементы</t>
        </is>
      </c>
      <c r="D101" s="34" t="inlineStr">
        <is>
          <t>Скидка 10% на абонемент 4 занятия</t>
        </is>
      </c>
      <c r="E101" s="34" t="inlineStr">
        <is>
          <t>При покупке абонемента на 4 занятия</t>
        </is>
      </c>
      <c r="F101" s="147" t="inlineStr">
        <is>
          <t>FW-L1-WP9BC-F7QGA</t>
        </is>
      </c>
      <c r="G101" s="39" t="inlineStr">
        <is>
          <t>Не использован</t>
        </is>
      </c>
      <c r="H101" s="148" t="n"/>
      <c r="I101" s="34" t="str"/>
      <c r="J101" s="34" t="str"/>
      <c r="K101" s="130" t="n">
        <v>97</v>
      </c>
      <c r="L101" s="43">
        <f>IF(COUNTIF($F$5:$F$2407,F101)=1,"OK","Дубликат")</f>
        <v/>
      </c>
    </row>
    <row r="102" ht="38" customHeight="1">
      <c r="A102" s="146" t="inlineStr">
        <is>
          <t>SUB-L1-04-10</t>
        </is>
      </c>
      <c r="B102" s="39" t="inlineStr">
        <is>
          <t>1 уровень</t>
        </is>
      </c>
      <c r="C102" s="34" t="inlineStr">
        <is>
          <t>Закрытые условия на абонементы</t>
        </is>
      </c>
      <c r="D102" s="34" t="inlineStr">
        <is>
          <t>Скидка 10% на абонемент 4 занятия</t>
        </is>
      </c>
      <c r="E102" s="34" t="inlineStr">
        <is>
          <t>При покупке абонемента на 4 занятия</t>
        </is>
      </c>
      <c r="F102" s="147" t="inlineStr">
        <is>
          <t>FW-L1-JQBQ2-C9G68</t>
        </is>
      </c>
      <c r="G102" s="39" t="inlineStr">
        <is>
          <t>Не использован</t>
        </is>
      </c>
      <c r="H102" s="148" t="n"/>
      <c r="I102" s="34" t="str"/>
      <c r="J102" s="34" t="str"/>
      <c r="K102" s="130" t="n">
        <v>98</v>
      </c>
      <c r="L102" s="43">
        <f>IF(COUNTIF($F$5:$F$2407,F102)=1,"OK","Дубликат")</f>
        <v/>
      </c>
    </row>
    <row r="103" ht="38" customHeight="1">
      <c r="A103" s="146" t="inlineStr">
        <is>
          <t>SUB-L1-04-10</t>
        </is>
      </c>
      <c r="B103" s="39" t="inlineStr">
        <is>
          <t>1 уровень</t>
        </is>
      </c>
      <c r="C103" s="34" t="inlineStr">
        <is>
          <t>Закрытые условия на абонементы</t>
        </is>
      </c>
      <c r="D103" s="34" t="inlineStr">
        <is>
          <t>Скидка 10% на абонемент 4 занятия</t>
        </is>
      </c>
      <c r="E103" s="34" t="inlineStr">
        <is>
          <t>При покупке абонемента на 4 занятия</t>
        </is>
      </c>
      <c r="F103" s="147" t="inlineStr">
        <is>
          <t>FW-L1-QWK59-Z8YP4</t>
        </is>
      </c>
      <c r="G103" s="39" t="inlineStr">
        <is>
          <t>Не использован</t>
        </is>
      </c>
      <c r="H103" s="148" t="n"/>
      <c r="I103" s="34" t="str"/>
      <c r="J103" s="34" t="str"/>
      <c r="K103" s="130" t="n">
        <v>99</v>
      </c>
      <c r="L103" s="43">
        <f>IF(COUNTIF($F$5:$F$2407,F103)=1,"OK","Дубликат")</f>
        <v/>
      </c>
    </row>
    <row r="104" ht="38" customHeight="1">
      <c r="A104" s="146" t="inlineStr">
        <is>
          <t>SUB-L1-04-10</t>
        </is>
      </c>
      <c r="B104" s="39" t="inlineStr">
        <is>
          <t>1 уровень</t>
        </is>
      </c>
      <c r="C104" s="34" t="inlineStr">
        <is>
          <t>Закрытые условия на абонементы</t>
        </is>
      </c>
      <c r="D104" s="34" t="inlineStr">
        <is>
          <t>Скидка 10% на абонемент 4 занятия</t>
        </is>
      </c>
      <c r="E104" s="34" t="inlineStr">
        <is>
          <t>При покупке абонемента на 4 занятия</t>
        </is>
      </c>
      <c r="F104" s="147" t="inlineStr">
        <is>
          <t>FW-L1-6UDVP-JXA5A</t>
        </is>
      </c>
      <c r="G104" s="39" t="inlineStr">
        <is>
          <t>Не использован</t>
        </is>
      </c>
      <c r="H104" s="148" t="n"/>
      <c r="I104" s="34" t="str"/>
      <c r="J104" s="34" t="str"/>
      <c r="K104" s="130" t="n">
        <v>100</v>
      </c>
      <c r="L104" s="43">
        <f>IF(COUNTIF($F$5:$F$2407,F104)=1,"OK","Дубликат")</f>
        <v/>
      </c>
    </row>
    <row r="105" ht="38" customHeight="1">
      <c r="A105" s="146" t="inlineStr">
        <is>
          <t>SUB-L1-04-10</t>
        </is>
      </c>
      <c r="B105" s="39" t="inlineStr">
        <is>
          <t>1 уровень</t>
        </is>
      </c>
      <c r="C105" s="34" t="inlineStr">
        <is>
          <t>Закрытые условия на абонементы</t>
        </is>
      </c>
      <c r="D105" s="34" t="inlineStr">
        <is>
          <t>Скидка 10% на абонемент 4 занятия</t>
        </is>
      </c>
      <c r="E105" s="34" t="inlineStr">
        <is>
          <t>При покупке абонемента на 4 занятия</t>
        </is>
      </c>
      <c r="F105" s="147" t="inlineStr">
        <is>
          <t>FW-L1-47H88-XBACX</t>
        </is>
      </c>
      <c r="G105" s="39" t="inlineStr">
        <is>
          <t>Не использован</t>
        </is>
      </c>
      <c r="H105" s="148" t="n"/>
      <c r="I105" s="34" t="str"/>
      <c r="J105" s="34" t="str"/>
      <c r="K105" s="130" t="n">
        <v>101</v>
      </c>
      <c r="L105" s="43">
        <f>IF(COUNTIF($F$5:$F$2407,F105)=1,"OK","Дубликат")</f>
        <v/>
      </c>
    </row>
    <row r="106" ht="38" customHeight="1">
      <c r="A106" s="146" t="inlineStr">
        <is>
          <t>SUB-L1-04-10</t>
        </is>
      </c>
      <c r="B106" s="39" t="inlineStr">
        <is>
          <t>1 уровень</t>
        </is>
      </c>
      <c r="C106" s="34" t="inlineStr">
        <is>
          <t>Закрытые условия на абонементы</t>
        </is>
      </c>
      <c r="D106" s="34" t="inlineStr">
        <is>
          <t>Скидка 10% на абонемент 4 занятия</t>
        </is>
      </c>
      <c r="E106" s="34" t="inlineStr">
        <is>
          <t>При покупке абонемента на 4 занятия</t>
        </is>
      </c>
      <c r="F106" s="147" t="inlineStr">
        <is>
          <t>FW-L1-PC2F7-FC34U</t>
        </is>
      </c>
      <c r="G106" s="39" t="inlineStr">
        <is>
          <t>Не использован</t>
        </is>
      </c>
      <c r="H106" s="148" t="n"/>
      <c r="I106" s="34" t="str"/>
      <c r="J106" s="34" t="str"/>
      <c r="K106" s="130" t="n">
        <v>102</v>
      </c>
      <c r="L106" s="43">
        <f>IF(COUNTIF($F$5:$F$2407,F106)=1,"OK","Дубликат")</f>
        <v/>
      </c>
    </row>
    <row r="107" ht="38" customHeight="1">
      <c r="A107" s="146" t="inlineStr">
        <is>
          <t>SUB-L1-04-10</t>
        </is>
      </c>
      <c r="B107" s="39" t="inlineStr">
        <is>
          <t>1 уровень</t>
        </is>
      </c>
      <c r="C107" s="34" t="inlineStr">
        <is>
          <t>Закрытые условия на абонементы</t>
        </is>
      </c>
      <c r="D107" s="34" t="inlineStr">
        <is>
          <t>Скидка 10% на абонемент 4 занятия</t>
        </is>
      </c>
      <c r="E107" s="34" t="inlineStr">
        <is>
          <t>При покупке абонемента на 4 занятия</t>
        </is>
      </c>
      <c r="F107" s="147" t="inlineStr">
        <is>
          <t>FW-L1-G5ZTW-XVU8E</t>
        </is>
      </c>
      <c r="G107" s="39" t="inlineStr">
        <is>
          <t>Не использован</t>
        </is>
      </c>
      <c r="H107" s="148" t="n"/>
      <c r="I107" s="34" t="str"/>
      <c r="J107" s="34" t="str"/>
      <c r="K107" s="130" t="n">
        <v>103</v>
      </c>
      <c r="L107" s="43">
        <f>IF(COUNTIF($F$5:$F$2407,F107)=1,"OK","Дубликат")</f>
        <v/>
      </c>
    </row>
    <row r="108" ht="38" customHeight="1">
      <c r="A108" s="146" t="inlineStr">
        <is>
          <t>SUB-L1-04-10</t>
        </is>
      </c>
      <c r="B108" s="39" t="inlineStr">
        <is>
          <t>1 уровень</t>
        </is>
      </c>
      <c r="C108" s="34" t="inlineStr">
        <is>
          <t>Закрытые условия на абонементы</t>
        </is>
      </c>
      <c r="D108" s="34" t="inlineStr">
        <is>
          <t>Скидка 10% на абонемент 4 занятия</t>
        </is>
      </c>
      <c r="E108" s="34" t="inlineStr">
        <is>
          <t>При покупке абонемента на 4 занятия</t>
        </is>
      </c>
      <c r="F108" s="147" t="inlineStr">
        <is>
          <t>FW-L1-UECJR-CQL32</t>
        </is>
      </c>
      <c r="G108" s="39" t="inlineStr">
        <is>
          <t>Не использован</t>
        </is>
      </c>
      <c r="H108" s="148" t="n"/>
      <c r="I108" s="34" t="str"/>
      <c r="J108" s="34" t="str"/>
      <c r="K108" s="130" t="n">
        <v>104</v>
      </c>
      <c r="L108" s="43">
        <f>IF(COUNTIF($F$5:$F$2407,F108)=1,"OK","Дубликат")</f>
        <v/>
      </c>
    </row>
    <row r="109" ht="38" customHeight="1">
      <c r="A109" s="146" t="inlineStr">
        <is>
          <t>SUB-L1-04-10</t>
        </is>
      </c>
      <c r="B109" s="39" t="inlineStr">
        <is>
          <t>1 уровень</t>
        </is>
      </c>
      <c r="C109" s="34" t="inlineStr">
        <is>
          <t>Закрытые условия на абонементы</t>
        </is>
      </c>
      <c r="D109" s="34" t="inlineStr">
        <is>
          <t>Скидка 10% на абонемент 4 занятия</t>
        </is>
      </c>
      <c r="E109" s="34" t="inlineStr">
        <is>
          <t>При покупке абонемента на 4 занятия</t>
        </is>
      </c>
      <c r="F109" s="147" t="inlineStr">
        <is>
          <t>FW-L1-22J4J-68K62</t>
        </is>
      </c>
      <c r="G109" s="39" t="inlineStr">
        <is>
          <t>Не использован</t>
        </is>
      </c>
      <c r="H109" s="148" t="n"/>
      <c r="I109" s="34" t="str"/>
      <c r="J109" s="34" t="str"/>
      <c r="K109" s="130" t="n">
        <v>105</v>
      </c>
      <c r="L109" s="43">
        <f>IF(COUNTIF($F$5:$F$2407,F109)=1,"OK","Дубликат")</f>
        <v/>
      </c>
    </row>
    <row r="110" ht="38" customHeight="1">
      <c r="A110" s="146" t="inlineStr">
        <is>
          <t>SUB-L1-04-10</t>
        </is>
      </c>
      <c r="B110" s="39" t="inlineStr">
        <is>
          <t>1 уровень</t>
        </is>
      </c>
      <c r="C110" s="34" t="inlineStr">
        <is>
          <t>Закрытые условия на абонементы</t>
        </is>
      </c>
      <c r="D110" s="34" t="inlineStr">
        <is>
          <t>Скидка 10% на абонемент 4 занятия</t>
        </is>
      </c>
      <c r="E110" s="34" t="inlineStr">
        <is>
          <t>При покупке абонемента на 4 занятия</t>
        </is>
      </c>
      <c r="F110" s="147" t="inlineStr">
        <is>
          <t>FW-L1-XLLXT-4BABA</t>
        </is>
      </c>
      <c r="G110" s="39" t="inlineStr">
        <is>
          <t>Не использован</t>
        </is>
      </c>
      <c r="H110" s="148" t="n"/>
      <c r="I110" s="34" t="str"/>
      <c r="J110" s="34" t="str"/>
      <c r="K110" s="130" t="n">
        <v>106</v>
      </c>
      <c r="L110" s="43">
        <f>IF(COUNTIF($F$5:$F$2407,F110)=1,"OK","Дубликат")</f>
        <v/>
      </c>
    </row>
    <row r="111" ht="38" customHeight="1">
      <c r="A111" s="146" t="inlineStr">
        <is>
          <t>SUB-L1-04-10</t>
        </is>
      </c>
      <c r="B111" s="39" t="inlineStr">
        <is>
          <t>1 уровень</t>
        </is>
      </c>
      <c r="C111" s="34" t="inlineStr">
        <is>
          <t>Закрытые условия на абонементы</t>
        </is>
      </c>
      <c r="D111" s="34" t="inlineStr">
        <is>
          <t>Скидка 10% на абонемент 4 занятия</t>
        </is>
      </c>
      <c r="E111" s="34" t="inlineStr">
        <is>
          <t>При покупке абонемента на 4 занятия</t>
        </is>
      </c>
      <c r="F111" s="147" t="inlineStr">
        <is>
          <t>FW-L1-RXLDJ-59CFX</t>
        </is>
      </c>
      <c r="G111" s="39" t="inlineStr">
        <is>
          <t>Не использован</t>
        </is>
      </c>
      <c r="H111" s="148" t="n"/>
      <c r="I111" s="34" t="str"/>
      <c r="J111" s="34" t="str"/>
      <c r="K111" s="130" t="n">
        <v>107</v>
      </c>
      <c r="L111" s="43">
        <f>IF(COUNTIF($F$5:$F$2407,F111)=1,"OK","Дубликат")</f>
        <v/>
      </c>
    </row>
    <row r="112" ht="38" customHeight="1">
      <c r="A112" s="146" t="inlineStr">
        <is>
          <t>SUB-L1-04-10</t>
        </is>
      </c>
      <c r="B112" s="39" t="inlineStr">
        <is>
          <t>1 уровень</t>
        </is>
      </c>
      <c r="C112" s="34" t="inlineStr">
        <is>
          <t>Закрытые условия на абонементы</t>
        </is>
      </c>
      <c r="D112" s="34" t="inlineStr">
        <is>
          <t>Скидка 10% на абонемент 4 занятия</t>
        </is>
      </c>
      <c r="E112" s="34" t="inlineStr">
        <is>
          <t>При покупке абонемента на 4 занятия</t>
        </is>
      </c>
      <c r="F112" s="147" t="inlineStr">
        <is>
          <t>FW-L1-JCPRJ-N53W6</t>
        </is>
      </c>
      <c r="G112" s="39" t="inlineStr">
        <is>
          <t>Не использован</t>
        </is>
      </c>
      <c r="H112" s="148" t="n"/>
      <c r="I112" s="34" t="str"/>
      <c r="J112" s="34" t="str"/>
      <c r="K112" s="130" t="n">
        <v>108</v>
      </c>
      <c r="L112" s="43">
        <f>IF(COUNTIF($F$5:$F$2407,F112)=1,"OK","Дубликат")</f>
        <v/>
      </c>
    </row>
    <row r="113" ht="38" customHeight="1">
      <c r="A113" s="146" t="inlineStr">
        <is>
          <t>SUB-L1-04-10</t>
        </is>
      </c>
      <c r="B113" s="39" t="inlineStr">
        <is>
          <t>1 уровень</t>
        </is>
      </c>
      <c r="C113" s="34" t="inlineStr">
        <is>
          <t>Закрытые условия на абонементы</t>
        </is>
      </c>
      <c r="D113" s="34" t="inlineStr">
        <is>
          <t>Скидка 10% на абонемент 4 занятия</t>
        </is>
      </c>
      <c r="E113" s="34" t="inlineStr">
        <is>
          <t>При покупке абонемента на 4 занятия</t>
        </is>
      </c>
      <c r="F113" s="147" t="inlineStr">
        <is>
          <t>FW-L1-CZNGV-ASCSN</t>
        </is>
      </c>
      <c r="G113" s="39" t="inlineStr">
        <is>
          <t>Не использован</t>
        </is>
      </c>
      <c r="H113" s="148" t="n"/>
      <c r="I113" s="34" t="str"/>
      <c r="J113" s="34" t="str"/>
      <c r="K113" s="130" t="n">
        <v>109</v>
      </c>
      <c r="L113" s="43">
        <f>IF(COUNTIF($F$5:$F$2407,F113)=1,"OK","Дубликат")</f>
        <v/>
      </c>
    </row>
    <row r="114" ht="38" customHeight="1">
      <c r="A114" s="146" t="inlineStr">
        <is>
          <t>SUB-L1-04-10</t>
        </is>
      </c>
      <c r="B114" s="39" t="inlineStr">
        <is>
          <t>1 уровень</t>
        </is>
      </c>
      <c r="C114" s="34" t="inlineStr">
        <is>
          <t>Закрытые условия на абонементы</t>
        </is>
      </c>
      <c r="D114" s="34" t="inlineStr">
        <is>
          <t>Скидка 10% на абонемент 4 занятия</t>
        </is>
      </c>
      <c r="E114" s="34" t="inlineStr">
        <is>
          <t>При покупке абонемента на 4 занятия</t>
        </is>
      </c>
      <c r="F114" s="147" t="inlineStr">
        <is>
          <t>FW-L1-8K4RN-QXZJW</t>
        </is>
      </c>
      <c r="G114" s="39" t="inlineStr">
        <is>
          <t>Не использован</t>
        </is>
      </c>
      <c r="H114" s="148" t="n"/>
      <c r="I114" s="34" t="str"/>
      <c r="J114" s="34" t="str"/>
      <c r="K114" s="130" t="n">
        <v>110</v>
      </c>
      <c r="L114" s="43">
        <f>IF(COUNTIF($F$5:$F$2407,F114)=1,"OK","Дубликат")</f>
        <v/>
      </c>
    </row>
    <row r="115" ht="38" customHeight="1">
      <c r="A115" s="146" t="inlineStr">
        <is>
          <t>SUB-L1-04-10</t>
        </is>
      </c>
      <c r="B115" s="39" t="inlineStr">
        <is>
          <t>1 уровень</t>
        </is>
      </c>
      <c r="C115" s="34" t="inlineStr">
        <is>
          <t>Закрытые условия на абонементы</t>
        </is>
      </c>
      <c r="D115" s="34" t="inlineStr">
        <is>
          <t>Скидка 10% на абонемент 4 занятия</t>
        </is>
      </c>
      <c r="E115" s="34" t="inlineStr">
        <is>
          <t>При покупке абонемента на 4 занятия</t>
        </is>
      </c>
      <c r="F115" s="147" t="inlineStr">
        <is>
          <t>FW-L1-YUR5X-PUNBA</t>
        </is>
      </c>
      <c r="G115" s="39" t="inlineStr">
        <is>
          <t>Не использован</t>
        </is>
      </c>
      <c r="H115" s="148" t="n"/>
      <c r="I115" s="34" t="str"/>
      <c r="J115" s="34" t="str"/>
      <c r="K115" s="130" t="n">
        <v>111</v>
      </c>
      <c r="L115" s="43">
        <f>IF(COUNTIF($F$5:$F$2407,F115)=1,"OK","Дубликат")</f>
        <v/>
      </c>
    </row>
    <row r="116" ht="38" customHeight="1">
      <c r="A116" s="146" t="inlineStr">
        <is>
          <t>SUB-L1-04-10</t>
        </is>
      </c>
      <c r="B116" s="39" t="inlineStr">
        <is>
          <t>1 уровень</t>
        </is>
      </c>
      <c r="C116" s="34" t="inlineStr">
        <is>
          <t>Закрытые условия на абонементы</t>
        </is>
      </c>
      <c r="D116" s="34" t="inlineStr">
        <is>
          <t>Скидка 10% на абонемент 4 занятия</t>
        </is>
      </c>
      <c r="E116" s="34" t="inlineStr">
        <is>
          <t>При покупке абонемента на 4 занятия</t>
        </is>
      </c>
      <c r="F116" s="147" t="inlineStr">
        <is>
          <t>FW-L1-DGWPG-VP68Y</t>
        </is>
      </c>
      <c r="G116" s="39" t="inlineStr">
        <is>
          <t>Не использован</t>
        </is>
      </c>
      <c r="H116" s="148" t="n"/>
      <c r="I116" s="34" t="str"/>
      <c r="J116" s="34" t="str"/>
      <c r="K116" s="130" t="n">
        <v>112</v>
      </c>
      <c r="L116" s="43">
        <f>IF(COUNTIF($F$5:$F$2407,F116)=1,"OK","Дубликат")</f>
        <v/>
      </c>
    </row>
    <row r="117" ht="38" customHeight="1">
      <c r="A117" s="146" t="inlineStr">
        <is>
          <t>SUB-L1-04-10</t>
        </is>
      </c>
      <c r="B117" s="39" t="inlineStr">
        <is>
          <t>1 уровень</t>
        </is>
      </c>
      <c r="C117" s="34" t="inlineStr">
        <is>
          <t>Закрытые условия на абонементы</t>
        </is>
      </c>
      <c r="D117" s="34" t="inlineStr">
        <is>
          <t>Скидка 10% на абонемент 4 занятия</t>
        </is>
      </c>
      <c r="E117" s="34" t="inlineStr">
        <is>
          <t>При покупке абонемента на 4 занятия</t>
        </is>
      </c>
      <c r="F117" s="147" t="inlineStr">
        <is>
          <t>FW-L1-KJWZV-N3GCG</t>
        </is>
      </c>
      <c r="G117" s="39" t="inlineStr">
        <is>
          <t>Не использован</t>
        </is>
      </c>
      <c r="H117" s="148" t="n"/>
      <c r="I117" s="34" t="str"/>
      <c r="J117" s="34" t="str"/>
      <c r="K117" s="130" t="n">
        <v>113</v>
      </c>
      <c r="L117" s="43">
        <f>IF(COUNTIF($F$5:$F$2407,F117)=1,"OK","Дубликат")</f>
        <v/>
      </c>
    </row>
    <row r="118" ht="38" customHeight="1">
      <c r="A118" s="146" t="inlineStr">
        <is>
          <t>SUB-L1-04-10</t>
        </is>
      </c>
      <c r="B118" s="39" t="inlineStr">
        <is>
          <t>1 уровень</t>
        </is>
      </c>
      <c r="C118" s="34" t="inlineStr">
        <is>
          <t>Закрытые условия на абонементы</t>
        </is>
      </c>
      <c r="D118" s="34" t="inlineStr">
        <is>
          <t>Скидка 10% на абонемент 4 занятия</t>
        </is>
      </c>
      <c r="E118" s="34" t="inlineStr">
        <is>
          <t>При покупке абонемента на 4 занятия</t>
        </is>
      </c>
      <c r="F118" s="147" t="inlineStr">
        <is>
          <t>FW-L1-BKLLD-RCG3P</t>
        </is>
      </c>
      <c r="G118" s="39" t="inlineStr">
        <is>
          <t>Не использован</t>
        </is>
      </c>
      <c r="H118" s="148" t="n"/>
      <c r="I118" s="34" t="str"/>
      <c r="J118" s="34" t="str"/>
      <c r="K118" s="130" t="n">
        <v>114</v>
      </c>
      <c r="L118" s="43">
        <f>IF(COUNTIF($F$5:$F$2407,F118)=1,"OK","Дубликат")</f>
        <v/>
      </c>
    </row>
    <row r="119" ht="38" customHeight="1">
      <c r="A119" s="146" t="inlineStr">
        <is>
          <t>SUB-L1-04-10</t>
        </is>
      </c>
      <c r="B119" s="39" t="inlineStr">
        <is>
          <t>1 уровень</t>
        </is>
      </c>
      <c r="C119" s="34" t="inlineStr">
        <is>
          <t>Закрытые условия на абонементы</t>
        </is>
      </c>
      <c r="D119" s="34" t="inlineStr">
        <is>
          <t>Скидка 10% на абонемент 4 занятия</t>
        </is>
      </c>
      <c r="E119" s="34" t="inlineStr">
        <is>
          <t>При покупке абонемента на 4 занятия</t>
        </is>
      </c>
      <c r="F119" s="147" t="inlineStr">
        <is>
          <t>FW-L1-34VNQ-2J8Y4</t>
        </is>
      </c>
      <c r="G119" s="39" t="inlineStr">
        <is>
          <t>Не использован</t>
        </is>
      </c>
      <c r="H119" s="148" t="n"/>
      <c r="I119" s="34" t="str"/>
      <c r="J119" s="34" t="str"/>
      <c r="K119" s="130" t="n">
        <v>115</v>
      </c>
      <c r="L119" s="43">
        <f>IF(COUNTIF($F$5:$F$2407,F119)=1,"OK","Дубликат")</f>
        <v/>
      </c>
    </row>
    <row r="120" ht="38" customHeight="1">
      <c r="A120" s="146" t="inlineStr">
        <is>
          <t>SUB-L1-04-10</t>
        </is>
      </c>
      <c r="B120" s="39" t="inlineStr">
        <is>
          <t>1 уровень</t>
        </is>
      </c>
      <c r="C120" s="34" t="inlineStr">
        <is>
          <t>Закрытые условия на абонементы</t>
        </is>
      </c>
      <c r="D120" s="34" t="inlineStr">
        <is>
          <t>Скидка 10% на абонемент 4 занятия</t>
        </is>
      </c>
      <c r="E120" s="34" t="inlineStr">
        <is>
          <t>При покупке абонемента на 4 занятия</t>
        </is>
      </c>
      <c r="F120" s="147" t="inlineStr">
        <is>
          <t>FW-L1-5DNHU-ZYN6U</t>
        </is>
      </c>
      <c r="G120" s="39" t="inlineStr">
        <is>
          <t>Не использован</t>
        </is>
      </c>
      <c r="H120" s="148" t="n"/>
      <c r="I120" s="34" t="str"/>
      <c r="J120" s="34" t="str"/>
      <c r="K120" s="130" t="n">
        <v>116</v>
      </c>
      <c r="L120" s="43">
        <f>IF(COUNTIF($F$5:$F$2407,F120)=1,"OK","Дубликат")</f>
        <v/>
      </c>
    </row>
    <row r="121" ht="38" customHeight="1">
      <c r="A121" s="146" t="inlineStr">
        <is>
          <t>SUB-L1-04-10</t>
        </is>
      </c>
      <c r="B121" s="39" t="inlineStr">
        <is>
          <t>1 уровень</t>
        </is>
      </c>
      <c r="C121" s="34" t="inlineStr">
        <is>
          <t>Закрытые условия на абонементы</t>
        </is>
      </c>
      <c r="D121" s="34" t="inlineStr">
        <is>
          <t>Скидка 10% на абонемент 4 занятия</t>
        </is>
      </c>
      <c r="E121" s="34" t="inlineStr">
        <is>
          <t>При покупке абонемента на 4 занятия</t>
        </is>
      </c>
      <c r="F121" s="147" t="inlineStr">
        <is>
          <t>FW-L1-FCBN3-87CKC</t>
        </is>
      </c>
      <c r="G121" s="39" t="inlineStr">
        <is>
          <t>Не использован</t>
        </is>
      </c>
      <c r="H121" s="148" t="n"/>
      <c r="I121" s="34" t="str"/>
      <c r="J121" s="34" t="str"/>
      <c r="K121" s="130" t="n">
        <v>117</v>
      </c>
      <c r="L121" s="43">
        <f>IF(COUNTIF($F$5:$F$2407,F121)=1,"OK","Дубликат")</f>
        <v/>
      </c>
    </row>
    <row r="122" ht="38" customHeight="1">
      <c r="A122" s="146" t="inlineStr">
        <is>
          <t>SUB-L1-04-10</t>
        </is>
      </c>
      <c r="B122" s="39" t="inlineStr">
        <is>
          <t>1 уровень</t>
        </is>
      </c>
      <c r="C122" s="34" t="inlineStr">
        <is>
          <t>Закрытые условия на абонементы</t>
        </is>
      </c>
      <c r="D122" s="34" t="inlineStr">
        <is>
          <t>Скидка 10% на абонемент 4 занятия</t>
        </is>
      </c>
      <c r="E122" s="34" t="inlineStr">
        <is>
          <t>При покупке абонемента на 4 занятия</t>
        </is>
      </c>
      <c r="F122" s="147" t="inlineStr">
        <is>
          <t>FW-L1-DMNYB-2QMHF</t>
        </is>
      </c>
      <c r="G122" s="39" t="inlineStr">
        <is>
          <t>Не использован</t>
        </is>
      </c>
      <c r="H122" s="148" t="n"/>
      <c r="I122" s="34" t="str"/>
      <c r="J122" s="34" t="str"/>
      <c r="K122" s="130" t="n">
        <v>118</v>
      </c>
      <c r="L122" s="43">
        <f>IF(COUNTIF($F$5:$F$2407,F122)=1,"OK","Дубликат")</f>
        <v/>
      </c>
    </row>
    <row r="123" ht="38" customHeight="1">
      <c r="A123" s="146" t="inlineStr">
        <is>
          <t>SUB-L1-04-10</t>
        </is>
      </c>
      <c r="B123" s="39" t="inlineStr">
        <is>
          <t>1 уровень</t>
        </is>
      </c>
      <c r="C123" s="34" t="inlineStr">
        <is>
          <t>Закрытые условия на абонементы</t>
        </is>
      </c>
      <c r="D123" s="34" t="inlineStr">
        <is>
          <t>Скидка 10% на абонемент 4 занятия</t>
        </is>
      </c>
      <c r="E123" s="34" t="inlineStr">
        <is>
          <t>При покупке абонемента на 4 занятия</t>
        </is>
      </c>
      <c r="F123" s="147" t="inlineStr">
        <is>
          <t>FW-L1-FLYZF-U6PG4</t>
        </is>
      </c>
      <c r="G123" s="39" t="inlineStr">
        <is>
          <t>Не использован</t>
        </is>
      </c>
      <c r="H123" s="148" t="n"/>
      <c r="I123" s="34" t="str"/>
      <c r="J123" s="34" t="str"/>
      <c r="K123" s="130" t="n">
        <v>119</v>
      </c>
      <c r="L123" s="43">
        <f>IF(COUNTIF($F$5:$F$2407,F123)=1,"OK","Дубликат")</f>
        <v/>
      </c>
    </row>
    <row r="124" ht="38" customHeight="1">
      <c r="A124" s="146" t="inlineStr">
        <is>
          <t>SUB-L1-04-10</t>
        </is>
      </c>
      <c r="B124" s="39" t="inlineStr">
        <is>
          <t>1 уровень</t>
        </is>
      </c>
      <c r="C124" s="34" t="inlineStr">
        <is>
          <t>Закрытые условия на абонементы</t>
        </is>
      </c>
      <c r="D124" s="34" t="inlineStr">
        <is>
          <t>Скидка 10% на абонемент 4 занятия</t>
        </is>
      </c>
      <c r="E124" s="34" t="inlineStr">
        <is>
          <t>При покупке абонемента на 4 занятия</t>
        </is>
      </c>
      <c r="F124" s="147" t="inlineStr">
        <is>
          <t>FW-L1-RKL2U-CKXJU</t>
        </is>
      </c>
      <c r="G124" s="39" t="inlineStr">
        <is>
          <t>Не использован</t>
        </is>
      </c>
      <c r="H124" s="148" t="n"/>
      <c r="I124" s="34" t="str"/>
      <c r="J124" s="34" t="str"/>
      <c r="K124" s="130" t="n">
        <v>120</v>
      </c>
      <c r="L124" s="43">
        <f>IF(COUNTIF($F$5:$F$2407,F124)=1,"OK","Дубликат")</f>
        <v/>
      </c>
    </row>
    <row r="125" ht="38" customHeight="1">
      <c r="A125" s="146" t="inlineStr">
        <is>
          <t>SUB-L1-04-10</t>
        </is>
      </c>
      <c r="B125" s="39" t="inlineStr">
        <is>
          <t>1 уровень</t>
        </is>
      </c>
      <c r="C125" s="34" t="inlineStr">
        <is>
          <t>Закрытые условия на абонементы</t>
        </is>
      </c>
      <c r="D125" s="34" t="inlineStr">
        <is>
          <t>Скидка 10% на абонемент 4 занятия</t>
        </is>
      </c>
      <c r="E125" s="34" t="inlineStr">
        <is>
          <t>При покупке абонемента на 4 занятия</t>
        </is>
      </c>
      <c r="F125" s="147" t="inlineStr">
        <is>
          <t>FW-L1-RSFA6-6GK9Q</t>
        </is>
      </c>
      <c r="G125" s="39" t="inlineStr">
        <is>
          <t>Не использован</t>
        </is>
      </c>
      <c r="H125" s="148" t="n"/>
      <c r="I125" s="34" t="str"/>
      <c r="J125" s="34" t="str"/>
      <c r="K125" s="130" t="n">
        <v>121</v>
      </c>
      <c r="L125" s="43">
        <f>IF(COUNTIF($F$5:$F$2407,F125)=1,"OK","Дубликат")</f>
        <v/>
      </c>
    </row>
    <row r="126" ht="38" customHeight="1">
      <c r="A126" s="146" t="inlineStr">
        <is>
          <t>SUB-L1-04-10</t>
        </is>
      </c>
      <c r="B126" s="39" t="inlineStr">
        <is>
          <t>1 уровень</t>
        </is>
      </c>
      <c r="C126" s="34" t="inlineStr">
        <is>
          <t>Закрытые условия на абонементы</t>
        </is>
      </c>
      <c r="D126" s="34" t="inlineStr">
        <is>
          <t>Скидка 10% на абонемент 4 занятия</t>
        </is>
      </c>
      <c r="E126" s="34" t="inlineStr">
        <is>
          <t>При покупке абонемента на 4 занятия</t>
        </is>
      </c>
      <c r="F126" s="147" t="inlineStr">
        <is>
          <t>FW-L1-UNWDT-WFPUS</t>
        </is>
      </c>
      <c r="G126" s="39" t="inlineStr">
        <is>
          <t>Не использован</t>
        </is>
      </c>
      <c r="H126" s="148" t="n"/>
      <c r="I126" s="34" t="str"/>
      <c r="J126" s="34" t="str"/>
      <c r="K126" s="130" t="n">
        <v>122</v>
      </c>
      <c r="L126" s="43">
        <f>IF(COUNTIF($F$5:$F$2407,F126)=1,"OK","Дубликат")</f>
        <v/>
      </c>
    </row>
    <row r="127" ht="38" customHeight="1">
      <c r="A127" s="146" t="inlineStr">
        <is>
          <t>SUB-L1-04-10</t>
        </is>
      </c>
      <c r="B127" s="39" t="inlineStr">
        <is>
          <t>1 уровень</t>
        </is>
      </c>
      <c r="C127" s="34" t="inlineStr">
        <is>
          <t>Закрытые условия на абонементы</t>
        </is>
      </c>
      <c r="D127" s="34" t="inlineStr">
        <is>
          <t>Скидка 10% на абонемент 4 занятия</t>
        </is>
      </c>
      <c r="E127" s="34" t="inlineStr">
        <is>
          <t>При покупке абонемента на 4 занятия</t>
        </is>
      </c>
      <c r="F127" s="147" t="inlineStr">
        <is>
          <t>FW-L1-GFAKK-BLFAV</t>
        </is>
      </c>
      <c r="G127" s="39" t="inlineStr">
        <is>
          <t>Не использован</t>
        </is>
      </c>
      <c r="H127" s="148" t="n"/>
      <c r="I127" s="34" t="str"/>
      <c r="J127" s="34" t="str"/>
      <c r="K127" s="130" t="n">
        <v>123</v>
      </c>
      <c r="L127" s="43">
        <f>IF(COUNTIF($F$5:$F$2407,F127)=1,"OK","Дубликат")</f>
        <v/>
      </c>
    </row>
    <row r="128" ht="38" customHeight="1">
      <c r="A128" s="146" t="inlineStr">
        <is>
          <t>SUB-L1-04-10</t>
        </is>
      </c>
      <c r="B128" s="39" t="inlineStr">
        <is>
          <t>1 уровень</t>
        </is>
      </c>
      <c r="C128" s="34" t="inlineStr">
        <is>
          <t>Закрытые условия на абонементы</t>
        </is>
      </c>
      <c r="D128" s="34" t="inlineStr">
        <is>
          <t>Скидка 10% на абонемент 4 занятия</t>
        </is>
      </c>
      <c r="E128" s="34" t="inlineStr">
        <is>
          <t>При покупке абонемента на 4 занятия</t>
        </is>
      </c>
      <c r="F128" s="147" t="inlineStr">
        <is>
          <t>FW-L1-PNX28-Q95TN</t>
        </is>
      </c>
      <c r="G128" s="39" t="inlineStr">
        <is>
          <t>Не использован</t>
        </is>
      </c>
      <c r="H128" s="148" t="n"/>
      <c r="I128" s="34" t="str"/>
      <c r="J128" s="34" t="str"/>
      <c r="K128" s="130" t="n">
        <v>124</v>
      </c>
      <c r="L128" s="43">
        <f>IF(COUNTIF($F$5:$F$2407,F128)=1,"OK","Дубликат")</f>
        <v/>
      </c>
    </row>
    <row r="129" ht="38" customHeight="1">
      <c r="A129" s="146" t="inlineStr">
        <is>
          <t>SUB-L1-04-10</t>
        </is>
      </c>
      <c r="B129" s="39" t="inlineStr">
        <is>
          <t>1 уровень</t>
        </is>
      </c>
      <c r="C129" s="34" t="inlineStr">
        <is>
          <t>Закрытые условия на абонементы</t>
        </is>
      </c>
      <c r="D129" s="34" t="inlineStr">
        <is>
          <t>Скидка 10% на абонемент 4 занятия</t>
        </is>
      </c>
      <c r="E129" s="34" t="inlineStr">
        <is>
          <t>При покупке абонемента на 4 занятия</t>
        </is>
      </c>
      <c r="F129" s="147" t="inlineStr">
        <is>
          <t>FW-L1-7YAXM-TGPS2</t>
        </is>
      </c>
      <c r="G129" s="39" t="inlineStr">
        <is>
          <t>Не использован</t>
        </is>
      </c>
      <c r="H129" s="148" t="n"/>
      <c r="I129" s="34" t="str"/>
      <c r="J129" s="34" t="str"/>
      <c r="K129" s="130" t="n">
        <v>125</v>
      </c>
      <c r="L129" s="43">
        <f>IF(COUNTIF($F$5:$F$2407,F129)=1,"OK","Дубликат")</f>
        <v/>
      </c>
    </row>
    <row r="130" ht="38" customHeight="1">
      <c r="A130" s="146" t="inlineStr">
        <is>
          <t>SUB-L1-04-10</t>
        </is>
      </c>
      <c r="B130" s="39" t="inlineStr">
        <is>
          <t>1 уровень</t>
        </is>
      </c>
      <c r="C130" s="34" t="inlineStr">
        <is>
          <t>Закрытые условия на абонементы</t>
        </is>
      </c>
      <c r="D130" s="34" t="inlineStr">
        <is>
          <t>Скидка 10% на абонемент 4 занятия</t>
        </is>
      </c>
      <c r="E130" s="34" t="inlineStr">
        <is>
          <t>При покупке абонемента на 4 занятия</t>
        </is>
      </c>
      <c r="F130" s="147" t="inlineStr">
        <is>
          <t>FW-L1-D34AC-7BJTY</t>
        </is>
      </c>
      <c r="G130" s="39" t="inlineStr">
        <is>
          <t>Не использован</t>
        </is>
      </c>
      <c r="H130" s="148" t="n"/>
      <c r="I130" s="34" t="str"/>
      <c r="J130" s="34" t="str"/>
      <c r="K130" s="130" t="n">
        <v>126</v>
      </c>
      <c r="L130" s="43">
        <f>IF(COUNTIF($F$5:$F$2407,F130)=1,"OK","Дубликат")</f>
        <v/>
      </c>
    </row>
    <row r="131" ht="38" customHeight="1">
      <c r="A131" s="146" t="inlineStr">
        <is>
          <t>SUB-L1-04-10</t>
        </is>
      </c>
      <c r="B131" s="39" t="inlineStr">
        <is>
          <t>1 уровень</t>
        </is>
      </c>
      <c r="C131" s="34" t="inlineStr">
        <is>
          <t>Закрытые условия на абонементы</t>
        </is>
      </c>
      <c r="D131" s="34" t="inlineStr">
        <is>
          <t>Скидка 10% на абонемент 4 занятия</t>
        </is>
      </c>
      <c r="E131" s="34" t="inlineStr">
        <is>
          <t>При покупке абонемента на 4 занятия</t>
        </is>
      </c>
      <c r="F131" s="147" t="inlineStr">
        <is>
          <t>FW-L1-DD5MC-U5BTL</t>
        </is>
      </c>
      <c r="G131" s="39" t="inlineStr">
        <is>
          <t>Не использован</t>
        </is>
      </c>
      <c r="H131" s="148" t="n"/>
      <c r="I131" s="34" t="str"/>
      <c r="J131" s="34" t="str"/>
      <c r="K131" s="130" t="n">
        <v>127</v>
      </c>
      <c r="L131" s="43">
        <f>IF(COUNTIF($F$5:$F$2407,F131)=1,"OK","Дубликат")</f>
        <v/>
      </c>
    </row>
    <row r="132" ht="38" customHeight="1">
      <c r="A132" s="146" t="inlineStr">
        <is>
          <t>SUB-L1-04-10</t>
        </is>
      </c>
      <c r="B132" s="39" t="inlineStr">
        <is>
          <t>1 уровень</t>
        </is>
      </c>
      <c r="C132" s="34" t="inlineStr">
        <is>
          <t>Закрытые условия на абонементы</t>
        </is>
      </c>
      <c r="D132" s="34" t="inlineStr">
        <is>
          <t>Скидка 10% на абонемент 4 занятия</t>
        </is>
      </c>
      <c r="E132" s="34" t="inlineStr">
        <is>
          <t>При покупке абонемента на 4 занятия</t>
        </is>
      </c>
      <c r="F132" s="147" t="inlineStr">
        <is>
          <t>FW-L1-D892K-NZ7YP</t>
        </is>
      </c>
      <c r="G132" s="39" t="inlineStr">
        <is>
          <t>Не использован</t>
        </is>
      </c>
      <c r="H132" s="148" t="n"/>
      <c r="I132" s="34" t="str"/>
      <c r="J132" s="34" t="str"/>
      <c r="K132" s="130" t="n">
        <v>128</v>
      </c>
      <c r="L132" s="43">
        <f>IF(COUNTIF($F$5:$F$2407,F132)=1,"OK","Дубликат")</f>
        <v/>
      </c>
    </row>
    <row r="133" ht="38" customHeight="1">
      <c r="A133" s="146" t="inlineStr">
        <is>
          <t>SUB-L1-04-10</t>
        </is>
      </c>
      <c r="B133" s="39" t="inlineStr">
        <is>
          <t>1 уровень</t>
        </is>
      </c>
      <c r="C133" s="34" t="inlineStr">
        <is>
          <t>Закрытые условия на абонементы</t>
        </is>
      </c>
      <c r="D133" s="34" t="inlineStr">
        <is>
          <t>Скидка 10% на абонемент 4 занятия</t>
        </is>
      </c>
      <c r="E133" s="34" t="inlineStr">
        <is>
          <t>При покупке абонемента на 4 занятия</t>
        </is>
      </c>
      <c r="F133" s="147" t="inlineStr">
        <is>
          <t>FW-L1-HGLYQ-V4PKN</t>
        </is>
      </c>
      <c r="G133" s="39" t="inlineStr">
        <is>
          <t>Не использован</t>
        </is>
      </c>
      <c r="H133" s="148" t="n"/>
      <c r="I133" s="34" t="str"/>
      <c r="J133" s="34" t="str"/>
      <c r="K133" s="130" t="n">
        <v>129</v>
      </c>
      <c r="L133" s="43">
        <f>IF(COUNTIF($F$5:$F$2407,F133)=1,"OK","Дубликат")</f>
        <v/>
      </c>
    </row>
    <row r="134" ht="38" customHeight="1">
      <c r="A134" s="146" t="inlineStr">
        <is>
          <t>SUB-L1-04-10</t>
        </is>
      </c>
      <c r="B134" s="39" t="inlineStr">
        <is>
          <t>1 уровень</t>
        </is>
      </c>
      <c r="C134" s="34" t="inlineStr">
        <is>
          <t>Закрытые условия на абонементы</t>
        </is>
      </c>
      <c r="D134" s="34" t="inlineStr">
        <is>
          <t>Скидка 10% на абонемент 4 занятия</t>
        </is>
      </c>
      <c r="E134" s="34" t="inlineStr">
        <is>
          <t>При покупке абонемента на 4 занятия</t>
        </is>
      </c>
      <c r="F134" s="147" t="inlineStr">
        <is>
          <t>FW-L1-H6HD9-XCE6R</t>
        </is>
      </c>
      <c r="G134" s="39" t="inlineStr">
        <is>
          <t>Не использован</t>
        </is>
      </c>
      <c r="H134" s="148" t="n"/>
      <c r="I134" s="34" t="str"/>
      <c r="J134" s="34" t="str"/>
      <c r="K134" s="130" t="n">
        <v>130</v>
      </c>
      <c r="L134" s="43">
        <f>IF(COUNTIF($F$5:$F$2407,F134)=1,"OK","Дубликат")</f>
        <v/>
      </c>
    </row>
    <row r="135" ht="38" customHeight="1">
      <c r="A135" s="146" t="inlineStr">
        <is>
          <t>SUB-L1-04-10</t>
        </is>
      </c>
      <c r="B135" s="39" t="inlineStr">
        <is>
          <t>1 уровень</t>
        </is>
      </c>
      <c r="C135" s="34" t="inlineStr">
        <is>
          <t>Закрытые условия на абонементы</t>
        </is>
      </c>
      <c r="D135" s="34" t="inlineStr">
        <is>
          <t>Скидка 10% на абонемент 4 занятия</t>
        </is>
      </c>
      <c r="E135" s="34" t="inlineStr">
        <is>
          <t>При покупке абонемента на 4 занятия</t>
        </is>
      </c>
      <c r="F135" s="147" t="inlineStr">
        <is>
          <t>FW-L1-YHVFG-MTZ9G</t>
        </is>
      </c>
      <c r="G135" s="39" t="inlineStr">
        <is>
          <t>Не использован</t>
        </is>
      </c>
      <c r="H135" s="148" t="n"/>
      <c r="I135" s="34" t="str"/>
      <c r="J135" s="34" t="str"/>
      <c r="K135" s="130" t="n">
        <v>131</v>
      </c>
      <c r="L135" s="43">
        <f>IF(COUNTIF($F$5:$F$2407,F135)=1,"OK","Дубликат")</f>
        <v/>
      </c>
    </row>
    <row r="136" ht="38" customHeight="1">
      <c r="A136" s="146" t="inlineStr">
        <is>
          <t>SUB-L1-04-10</t>
        </is>
      </c>
      <c r="B136" s="39" t="inlineStr">
        <is>
          <t>1 уровень</t>
        </is>
      </c>
      <c r="C136" s="34" t="inlineStr">
        <is>
          <t>Закрытые условия на абонементы</t>
        </is>
      </c>
      <c r="D136" s="34" t="inlineStr">
        <is>
          <t>Скидка 10% на абонемент 4 занятия</t>
        </is>
      </c>
      <c r="E136" s="34" t="inlineStr">
        <is>
          <t>При покупке абонемента на 4 занятия</t>
        </is>
      </c>
      <c r="F136" s="147" t="inlineStr">
        <is>
          <t>FW-L1-PVT4M-SPSJ2</t>
        </is>
      </c>
      <c r="G136" s="39" t="inlineStr">
        <is>
          <t>Не использован</t>
        </is>
      </c>
      <c r="H136" s="148" t="n"/>
      <c r="I136" s="34" t="str"/>
      <c r="J136" s="34" t="str"/>
      <c r="K136" s="130" t="n">
        <v>132</v>
      </c>
      <c r="L136" s="43">
        <f>IF(COUNTIF($F$5:$F$2407,F136)=1,"OK","Дубликат")</f>
        <v/>
      </c>
    </row>
    <row r="137" ht="38" customHeight="1">
      <c r="A137" s="146" t="inlineStr">
        <is>
          <t>SUB-L1-04-10</t>
        </is>
      </c>
      <c r="B137" s="39" t="inlineStr">
        <is>
          <t>1 уровень</t>
        </is>
      </c>
      <c r="C137" s="34" t="inlineStr">
        <is>
          <t>Закрытые условия на абонементы</t>
        </is>
      </c>
      <c r="D137" s="34" t="inlineStr">
        <is>
          <t>Скидка 10% на абонемент 4 занятия</t>
        </is>
      </c>
      <c r="E137" s="34" t="inlineStr">
        <is>
          <t>При покупке абонемента на 4 занятия</t>
        </is>
      </c>
      <c r="F137" s="147" t="inlineStr">
        <is>
          <t>FW-L1-TG6GR-HJWAS</t>
        </is>
      </c>
      <c r="G137" s="39" t="inlineStr">
        <is>
          <t>Не использован</t>
        </is>
      </c>
      <c r="H137" s="148" t="n"/>
      <c r="I137" s="34" t="str"/>
      <c r="J137" s="34" t="str"/>
      <c r="K137" s="130" t="n">
        <v>133</v>
      </c>
      <c r="L137" s="43">
        <f>IF(COUNTIF($F$5:$F$2407,F137)=1,"OK","Дубликат")</f>
        <v/>
      </c>
    </row>
    <row r="138" ht="38" customHeight="1">
      <c r="A138" s="146" t="inlineStr">
        <is>
          <t>SUB-L1-04-10</t>
        </is>
      </c>
      <c r="B138" s="39" t="inlineStr">
        <is>
          <t>1 уровень</t>
        </is>
      </c>
      <c r="C138" s="34" t="inlineStr">
        <is>
          <t>Закрытые условия на абонементы</t>
        </is>
      </c>
      <c r="D138" s="34" t="inlineStr">
        <is>
          <t>Скидка 10% на абонемент 4 занятия</t>
        </is>
      </c>
      <c r="E138" s="34" t="inlineStr">
        <is>
          <t>При покупке абонемента на 4 занятия</t>
        </is>
      </c>
      <c r="F138" s="147" t="inlineStr">
        <is>
          <t>FW-L1-VNHMJ-XXEQ7</t>
        </is>
      </c>
      <c r="G138" s="39" t="inlineStr">
        <is>
          <t>Не использован</t>
        </is>
      </c>
      <c r="H138" s="148" t="n"/>
      <c r="I138" s="34" t="str"/>
      <c r="J138" s="34" t="str"/>
      <c r="K138" s="130" t="n">
        <v>134</v>
      </c>
      <c r="L138" s="43">
        <f>IF(COUNTIF($F$5:$F$2407,F138)=1,"OK","Дубликат")</f>
        <v/>
      </c>
    </row>
    <row r="139" ht="38" customHeight="1">
      <c r="A139" s="146" t="inlineStr">
        <is>
          <t>SUB-L1-04-10</t>
        </is>
      </c>
      <c r="B139" s="39" t="inlineStr">
        <is>
          <t>1 уровень</t>
        </is>
      </c>
      <c r="C139" s="34" t="inlineStr">
        <is>
          <t>Закрытые условия на абонементы</t>
        </is>
      </c>
      <c r="D139" s="34" t="inlineStr">
        <is>
          <t>Скидка 10% на абонемент 4 занятия</t>
        </is>
      </c>
      <c r="E139" s="34" t="inlineStr">
        <is>
          <t>При покупке абонемента на 4 занятия</t>
        </is>
      </c>
      <c r="F139" s="147" t="inlineStr">
        <is>
          <t>FW-L1-93XNR-5FXWN</t>
        </is>
      </c>
      <c r="G139" s="39" t="inlineStr">
        <is>
          <t>Не использован</t>
        </is>
      </c>
      <c r="H139" s="148" t="n"/>
      <c r="I139" s="34" t="str"/>
      <c r="J139" s="34" t="str"/>
      <c r="K139" s="130" t="n">
        <v>135</v>
      </c>
      <c r="L139" s="43">
        <f>IF(COUNTIF($F$5:$F$2407,F139)=1,"OK","Дубликат")</f>
        <v/>
      </c>
    </row>
    <row r="140" ht="38" customHeight="1">
      <c r="A140" s="146" t="inlineStr">
        <is>
          <t>SUB-L1-04-10</t>
        </is>
      </c>
      <c r="B140" s="39" t="inlineStr">
        <is>
          <t>1 уровень</t>
        </is>
      </c>
      <c r="C140" s="34" t="inlineStr">
        <is>
          <t>Закрытые условия на абонементы</t>
        </is>
      </c>
      <c r="D140" s="34" t="inlineStr">
        <is>
          <t>Скидка 10% на абонемент 4 занятия</t>
        </is>
      </c>
      <c r="E140" s="34" t="inlineStr">
        <is>
          <t>При покупке абонемента на 4 занятия</t>
        </is>
      </c>
      <c r="F140" s="147" t="inlineStr">
        <is>
          <t>FW-L1-K74SJ-UJGQB</t>
        </is>
      </c>
      <c r="G140" s="39" t="inlineStr">
        <is>
          <t>Не использован</t>
        </is>
      </c>
      <c r="H140" s="148" t="n"/>
      <c r="I140" s="34" t="str"/>
      <c r="J140" s="34" t="str"/>
      <c r="K140" s="130" t="n">
        <v>136</v>
      </c>
      <c r="L140" s="43">
        <f>IF(COUNTIF($F$5:$F$2407,F140)=1,"OK","Дубликат")</f>
        <v/>
      </c>
    </row>
    <row r="141" ht="38" customHeight="1">
      <c r="A141" s="146" t="inlineStr">
        <is>
          <t>SUB-L1-04-10</t>
        </is>
      </c>
      <c r="B141" s="39" t="inlineStr">
        <is>
          <t>1 уровень</t>
        </is>
      </c>
      <c r="C141" s="34" t="inlineStr">
        <is>
          <t>Закрытые условия на абонементы</t>
        </is>
      </c>
      <c r="D141" s="34" t="inlineStr">
        <is>
          <t>Скидка 10% на абонемент 4 занятия</t>
        </is>
      </c>
      <c r="E141" s="34" t="inlineStr">
        <is>
          <t>При покупке абонемента на 4 занятия</t>
        </is>
      </c>
      <c r="F141" s="147" t="inlineStr">
        <is>
          <t>FW-L1-K5C4S-EGLF5</t>
        </is>
      </c>
      <c r="G141" s="39" t="inlineStr">
        <is>
          <t>Не использован</t>
        </is>
      </c>
      <c r="H141" s="148" t="n"/>
      <c r="I141" s="34" t="str"/>
      <c r="J141" s="34" t="str"/>
      <c r="K141" s="130" t="n">
        <v>137</v>
      </c>
      <c r="L141" s="43">
        <f>IF(COUNTIF($F$5:$F$2407,F141)=1,"OK","Дубликат")</f>
        <v/>
      </c>
    </row>
    <row r="142" ht="38" customHeight="1">
      <c r="A142" s="146" t="inlineStr">
        <is>
          <t>SUB-L1-04-10</t>
        </is>
      </c>
      <c r="B142" s="39" t="inlineStr">
        <is>
          <t>1 уровень</t>
        </is>
      </c>
      <c r="C142" s="34" t="inlineStr">
        <is>
          <t>Закрытые условия на абонементы</t>
        </is>
      </c>
      <c r="D142" s="34" t="inlineStr">
        <is>
          <t>Скидка 10% на абонемент 4 занятия</t>
        </is>
      </c>
      <c r="E142" s="34" t="inlineStr">
        <is>
          <t>При покупке абонемента на 4 занятия</t>
        </is>
      </c>
      <c r="F142" s="147" t="inlineStr">
        <is>
          <t>FW-L1-F2UTG-44ZSB</t>
        </is>
      </c>
      <c r="G142" s="39" t="inlineStr">
        <is>
          <t>Не использован</t>
        </is>
      </c>
      <c r="H142" s="148" t="n"/>
      <c r="I142" s="34" t="str"/>
      <c r="J142" s="34" t="str"/>
      <c r="K142" s="130" t="n">
        <v>138</v>
      </c>
      <c r="L142" s="43">
        <f>IF(COUNTIF($F$5:$F$2407,F142)=1,"OK","Дубликат")</f>
        <v/>
      </c>
    </row>
    <row r="143" ht="38" customHeight="1">
      <c r="A143" s="146" t="inlineStr">
        <is>
          <t>SUB-L1-04-10</t>
        </is>
      </c>
      <c r="B143" s="39" t="inlineStr">
        <is>
          <t>1 уровень</t>
        </is>
      </c>
      <c r="C143" s="34" t="inlineStr">
        <is>
          <t>Закрытые условия на абонементы</t>
        </is>
      </c>
      <c r="D143" s="34" t="inlineStr">
        <is>
          <t>Скидка 10% на абонемент 4 занятия</t>
        </is>
      </c>
      <c r="E143" s="34" t="inlineStr">
        <is>
          <t>При покупке абонемента на 4 занятия</t>
        </is>
      </c>
      <c r="F143" s="147" t="inlineStr">
        <is>
          <t>FW-L1-KYS9M-EJV36</t>
        </is>
      </c>
      <c r="G143" s="39" t="inlineStr">
        <is>
          <t>Не использован</t>
        </is>
      </c>
      <c r="H143" s="148" t="n"/>
      <c r="I143" s="34" t="str"/>
      <c r="J143" s="34" t="str"/>
      <c r="K143" s="130" t="n">
        <v>139</v>
      </c>
      <c r="L143" s="43">
        <f>IF(COUNTIF($F$5:$F$2407,F143)=1,"OK","Дубликат")</f>
        <v/>
      </c>
    </row>
    <row r="144" ht="38" customHeight="1">
      <c r="A144" s="146" t="inlineStr">
        <is>
          <t>SUB-L1-04-10</t>
        </is>
      </c>
      <c r="B144" s="39" t="inlineStr">
        <is>
          <t>1 уровень</t>
        </is>
      </c>
      <c r="C144" s="34" t="inlineStr">
        <is>
          <t>Закрытые условия на абонементы</t>
        </is>
      </c>
      <c r="D144" s="34" t="inlineStr">
        <is>
          <t>Скидка 10% на абонемент 4 занятия</t>
        </is>
      </c>
      <c r="E144" s="34" t="inlineStr">
        <is>
          <t>При покупке абонемента на 4 занятия</t>
        </is>
      </c>
      <c r="F144" s="147" t="inlineStr">
        <is>
          <t>FW-L1-YCBEV-L6HVL</t>
        </is>
      </c>
      <c r="G144" s="39" t="inlineStr">
        <is>
          <t>Не использован</t>
        </is>
      </c>
      <c r="H144" s="148" t="n"/>
      <c r="I144" s="34" t="str"/>
      <c r="J144" s="34" t="str"/>
      <c r="K144" s="130" t="n">
        <v>140</v>
      </c>
      <c r="L144" s="43">
        <f>IF(COUNTIF($F$5:$F$2407,F144)=1,"OK","Дубликат")</f>
        <v/>
      </c>
    </row>
    <row r="145" ht="38" customHeight="1">
      <c r="A145" s="146" t="inlineStr">
        <is>
          <t>SUB-L1-04-10</t>
        </is>
      </c>
      <c r="B145" s="39" t="inlineStr">
        <is>
          <t>1 уровень</t>
        </is>
      </c>
      <c r="C145" s="34" t="inlineStr">
        <is>
          <t>Закрытые условия на абонементы</t>
        </is>
      </c>
      <c r="D145" s="34" t="inlineStr">
        <is>
          <t>Скидка 10% на абонемент 4 занятия</t>
        </is>
      </c>
      <c r="E145" s="34" t="inlineStr">
        <is>
          <t>При покупке абонемента на 4 занятия</t>
        </is>
      </c>
      <c r="F145" s="147" t="inlineStr">
        <is>
          <t>FW-L1-K9Q7W-BPQ8R</t>
        </is>
      </c>
      <c r="G145" s="39" t="inlineStr">
        <is>
          <t>Не использован</t>
        </is>
      </c>
      <c r="H145" s="148" t="n"/>
      <c r="I145" s="34" t="str"/>
      <c r="J145" s="34" t="str"/>
      <c r="K145" s="130" t="n">
        <v>141</v>
      </c>
      <c r="L145" s="43">
        <f>IF(COUNTIF($F$5:$F$2407,F145)=1,"OK","Дубликат")</f>
        <v/>
      </c>
    </row>
    <row r="146" ht="38" customHeight="1">
      <c r="A146" s="146" t="inlineStr">
        <is>
          <t>SUB-L1-04-10</t>
        </is>
      </c>
      <c r="B146" s="39" t="inlineStr">
        <is>
          <t>1 уровень</t>
        </is>
      </c>
      <c r="C146" s="34" t="inlineStr">
        <is>
          <t>Закрытые условия на абонементы</t>
        </is>
      </c>
      <c r="D146" s="34" t="inlineStr">
        <is>
          <t>Скидка 10% на абонемент 4 занятия</t>
        </is>
      </c>
      <c r="E146" s="34" t="inlineStr">
        <is>
          <t>При покупке абонемента на 4 занятия</t>
        </is>
      </c>
      <c r="F146" s="147" t="inlineStr">
        <is>
          <t>FW-L1-B5SPY-NJY64</t>
        </is>
      </c>
      <c r="G146" s="39" t="inlineStr">
        <is>
          <t>Не использован</t>
        </is>
      </c>
      <c r="H146" s="148" t="n"/>
      <c r="I146" s="34" t="str"/>
      <c r="J146" s="34" t="str"/>
      <c r="K146" s="130" t="n">
        <v>142</v>
      </c>
      <c r="L146" s="43">
        <f>IF(COUNTIF($F$5:$F$2407,F146)=1,"OK","Дубликат")</f>
        <v/>
      </c>
    </row>
    <row r="147" ht="38" customHeight="1">
      <c r="A147" s="146" t="inlineStr">
        <is>
          <t>SUB-L1-04-10</t>
        </is>
      </c>
      <c r="B147" s="39" t="inlineStr">
        <is>
          <t>1 уровень</t>
        </is>
      </c>
      <c r="C147" s="34" t="inlineStr">
        <is>
          <t>Закрытые условия на абонементы</t>
        </is>
      </c>
      <c r="D147" s="34" t="inlineStr">
        <is>
          <t>Скидка 10% на абонемент 4 занятия</t>
        </is>
      </c>
      <c r="E147" s="34" t="inlineStr">
        <is>
          <t>При покупке абонемента на 4 занятия</t>
        </is>
      </c>
      <c r="F147" s="147" t="inlineStr">
        <is>
          <t>FW-L1-2JXJA-TN3VQ</t>
        </is>
      </c>
      <c r="G147" s="39" t="inlineStr">
        <is>
          <t>Не использован</t>
        </is>
      </c>
      <c r="H147" s="148" t="n"/>
      <c r="I147" s="34" t="str"/>
      <c r="J147" s="34" t="str"/>
      <c r="K147" s="130" t="n">
        <v>143</v>
      </c>
      <c r="L147" s="43">
        <f>IF(COUNTIF($F$5:$F$2407,F147)=1,"OK","Дубликат")</f>
        <v/>
      </c>
    </row>
    <row r="148" ht="38" customHeight="1">
      <c r="A148" s="146" t="inlineStr">
        <is>
          <t>SUB-L1-04-10</t>
        </is>
      </c>
      <c r="B148" s="39" t="inlineStr">
        <is>
          <t>1 уровень</t>
        </is>
      </c>
      <c r="C148" s="34" t="inlineStr">
        <is>
          <t>Закрытые условия на абонементы</t>
        </is>
      </c>
      <c r="D148" s="34" t="inlineStr">
        <is>
          <t>Скидка 10% на абонемент 4 занятия</t>
        </is>
      </c>
      <c r="E148" s="34" t="inlineStr">
        <is>
          <t>При покупке абонемента на 4 занятия</t>
        </is>
      </c>
      <c r="F148" s="147" t="inlineStr">
        <is>
          <t>FW-L1-QBQVN-6N2A5</t>
        </is>
      </c>
      <c r="G148" s="39" t="inlineStr">
        <is>
          <t>Не использован</t>
        </is>
      </c>
      <c r="H148" s="148" t="n"/>
      <c r="I148" s="34" t="str"/>
      <c r="J148" s="34" t="str"/>
      <c r="K148" s="130" t="n">
        <v>144</v>
      </c>
      <c r="L148" s="43">
        <f>IF(COUNTIF($F$5:$F$2407,F148)=1,"OK","Дубликат")</f>
        <v/>
      </c>
    </row>
    <row r="149" ht="38" customHeight="1">
      <c r="A149" s="146" t="inlineStr">
        <is>
          <t>SUB-L1-04-10</t>
        </is>
      </c>
      <c r="B149" s="39" t="inlineStr">
        <is>
          <t>1 уровень</t>
        </is>
      </c>
      <c r="C149" s="34" t="inlineStr">
        <is>
          <t>Закрытые условия на абонементы</t>
        </is>
      </c>
      <c r="D149" s="34" t="inlineStr">
        <is>
          <t>Скидка 10% на абонемент 4 занятия</t>
        </is>
      </c>
      <c r="E149" s="34" t="inlineStr">
        <is>
          <t>При покупке абонемента на 4 занятия</t>
        </is>
      </c>
      <c r="F149" s="147" t="inlineStr">
        <is>
          <t>FW-L1-HYYJX-VGBTM</t>
        </is>
      </c>
      <c r="G149" s="39" t="inlineStr">
        <is>
          <t>Не использован</t>
        </is>
      </c>
      <c r="H149" s="148" t="n"/>
      <c r="I149" s="34" t="str"/>
      <c r="J149" s="34" t="str"/>
      <c r="K149" s="130" t="n">
        <v>145</v>
      </c>
      <c r="L149" s="43">
        <f>IF(COUNTIF($F$5:$F$2407,F149)=1,"OK","Дубликат")</f>
        <v/>
      </c>
    </row>
    <row r="150" ht="38" customHeight="1">
      <c r="A150" s="146" t="inlineStr">
        <is>
          <t>SUB-L1-04-10</t>
        </is>
      </c>
      <c r="B150" s="39" t="inlineStr">
        <is>
          <t>1 уровень</t>
        </is>
      </c>
      <c r="C150" s="34" t="inlineStr">
        <is>
          <t>Закрытые условия на абонементы</t>
        </is>
      </c>
      <c r="D150" s="34" t="inlineStr">
        <is>
          <t>Скидка 10% на абонемент 4 занятия</t>
        </is>
      </c>
      <c r="E150" s="34" t="inlineStr">
        <is>
          <t>При покупке абонемента на 4 занятия</t>
        </is>
      </c>
      <c r="F150" s="147" t="inlineStr">
        <is>
          <t>FW-L1-6MX95-GFSKB</t>
        </is>
      </c>
      <c r="G150" s="39" t="inlineStr">
        <is>
          <t>Не использован</t>
        </is>
      </c>
      <c r="H150" s="148" t="n"/>
      <c r="I150" s="34" t="str"/>
      <c r="J150" s="34" t="str"/>
      <c r="K150" s="130" t="n">
        <v>146</v>
      </c>
      <c r="L150" s="43">
        <f>IF(COUNTIF($F$5:$F$2407,F150)=1,"OK","Дубликат")</f>
        <v/>
      </c>
    </row>
    <row r="151" ht="38" customHeight="1">
      <c r="A151" s="146" t="inlineStr">
        <is>
          <t>SUB-L1-04-10</t>
        </is>
      </c>
      <c r="B151" s="39" t="inlineStr">
        <is>
          <t>1 уровень</t>
        </is>
      </c>
      <c r="C151" s="34" t="inlineStr">
        <is>
          <t>Закрытые условия на абонементы</t>
        </is>
      </c>
      <c r="D151" s="34" t="inlineStr">
        <is>
          <t>Скидка 10% на абонемент 4 занятия</t>
        </is>
      </c>
      <c r="E151" s="34" t="inlineStr">
        <is>
          <t>При покупке абонемента на 4 занятия</t>
        </is>
      </c>
      <c r="F151" s="147" t="inlineStr">
        <is>
          <t>FW-L1-V88NS-KNVGU</t>
        </is>
      </c>
      <c r="G151" s="39" t="inlineStr">
        <is>
          <t>Не использован</t>
        </is>
      </c>
      <c r="H151" s="148" t="n"/>
      <c r="I151" s="34" t="str"/>
      <c r="J151" s="34" t="str"/>
      <c r="K151" s="130" t="n">
        <v>147</v>
      </c>
      <c r="L151" s="43">
        <f>IF(COUNTIF($F$5:$F$2407,F151)=1,"OK","Дубликат")</f>
        <v/>
      </c>
    </row>
    <row r="152" ht="38" customHeight="1">
      <c r="A152" s="146" t="inlineStr">
        <is>
          <t>SUB-L1-04-10</t>
        </is>
      </c>
      <c r="B152" s="39" t="inlineStr">
        <is>
          <t>1 уровень</t>
        </is>
      </c>
      <c r="C152" s="34" t="inlineStr">
        <is>
          <t>Закрытые условия на абонементы</t>
        </is>
      </c>
      <c r="D152" s="34" t="inlineStr">
        <is>
          <t>Скидка 10% на абонемент 4 занятия</t>
        </is>
      </c>
      <c r="E152" s="34" t="inlineStr">
        <is>
          <t>При покупке абонемента на 4 занятия</t>
        </is>
      </c>
      <c r="F152" s="147" t="inlineStr">
        <is>
          <t>FW-L1-F9JG9-XK5B2</t>
        </is>
      </c>
      <c r="G152" s="39" t="inlineStr">
        <is>
          <t>Не использован</t>
        </is>
      </c>
      <c r="H152" s="148" t="n"/>
      <c r="I152" s="34" t="str"/>
      <c r="J152" s="34" t="str"/>
      <c r="K152" s="130" t="n">
        <v>148</v>
      </c>
      <c r="L152" s="43">
        <f>IF(COUNTIF($F$5:$F$2407,F152)=1,"OK","Дубликат")</f>
        <v/>
      </c>
    </row>
    <row r="153" ht="38" customHeight="1">
      <c r="A153" s="146" t="inlineStr">
        <is>
          <t>SUB-L1-04-10</t>
        </is>
      </c>
      <c r="B153" s="39" t="inlineStr">
        <is>
          <t>1 уровень</t>
        </is>
      </c>
      <c r="C153" s="34" t="inlineStr">
        <is>
          <t>Закрытые условия на абонементы</t>
        </is>
      </c>
      <c r="D153" s="34" t="inlineStr">
        <is>
          <t>Скидка 10% на абонемент 4 занятия</t>
        </is>
      </c>
      <c r="E153" s="34" t="inlineStr">
        <is>
          <t>При покупке абонемента на 4 занятия</t>
        </is>
      </c>
      <c r="F153" s="147" t="inlineStr">
        <is>
          <t>FW-L1-9CK32-9JWGR</t>
        </is>
      </c>
      <c r="G153" s="39" t="inlineStr">
        <is>
          <t>Не использован</t>
        </is>
      </c>
      <c r="H153" s="148" t="n"/>
      <c r="I153" s="34" t="str"/>
      <c r="J153" s="34" t="str"/>
      <c r="K153" s="130" t="n">
        <v>149</v>
      </c>
      <c r="L153" s="43">
        <f>IF(COUNTIF($F$5:$F$2407,F153)=1,"OK","Дубликат")</f>
        <v/>
      </c>
    </row>
    <row r="154" ht="38" customHeight="1">
      <c r="A154" s="146" t="inlineStr">
        <is>
          <t>SUB-L1-04-10</t>
        </is>
      </c>
      <c r="B154" s="39" t="inlineStr">
        <is>
          <t>1 уровень</t>
        </is>
      </c>
      <c r="C154" s="34" t="inlineStr">
        <is>
          <t>Закрытые условия на абонементы</t>
        </is>
      </c>
      <c r="D154" s="34" t="inlineStr">
        <is>
          <t>Скидка 10% на абонемент 4 занятия</t>
        </is>
      </c>
      <c r="E154" s="34" t="inlineStr">
        <is>
          <t>При покупке абонемента на 4 занятия</t>
        </is>
      </c>
      <c r="F154" s="147" t="inlineStr">
        <is>
          <t>FW-L1-W5X6C-CTQBN</t>
        </is>
      </c>
      <c r="G154" s="39" t="inlineStr">
        <is>
          <t>Не использован</t>
        </is>
      </c>
      <c r="H154" s="148" t="n"/>
      <c r="I154" s="34" t="str"/>
      <c r="J154" s="34" t="str"/>
      <c r="K154" s="130" t="n">
        <v>150</v>
      </c>
      <c r="L154" s="43">
        <f>IF(COUNTIF($F$5:$F$2407,F154)=1,"OK","Дубликат")</f>
        <v/>
      </c>
    </row>
    <row r="155" ht="38" customHeight="1">
      <c r="A155" s="146" t="inlineStr">
        <is>
          <t>SUB-L1-04-10</t>
        </is>
      </c>
      <c r="B155" s="39" t="inlineStr">
        <is>
          <t>1 уровень</t>
        </is>
      </c>
      <c r="C155" s="34" t="inlineStr">
        <is>
          <t>Закрытые условия на абонементы</t>
        </is>
      </c>
      <c r="D155" s="34" t="inlineStr">
        <is>
          <t>Скидка 10% на абонемент 4 занятия</t>
        </is>
      </c>
      <c r="E155" s="34" t="inlineStr">
        <is>
          <t>При покупке абонемента на 4 занятия</t>
        </is>
      </c>
      <c r="F155" s="147" t="inlineStr">
        <is>
          <t>FW-L1-WYYM7-JF59R</t>
        </is>
      </c>
      <c r="G155" s="39" t="inlineStr">
        <is>
          <t>Не использован</t>
        </is>
      </c>
      <c r="H155" s="148" t="n"/>
      <c r="I155" s="34" t="str"/>
      <c r="J155" s="34" t="str"/>
      <c r="K155" s="130" t="n">
        <v>151</v>
      </c>
      <c r="L155" s="43">
        <f>IF(COUNTIF($F$5:$F$2407,F155)=1,"OK","Дубликат")</f>
        <v/>
      </c>
    </row>
    <row r="156" ht="38" customHeight="1">
      <c r="A156" s="146" t="inlineStr">
        <is>
          <t>SUB-L1-04-10</t>
        </is>
      </c>
      <c r="B156" s="39" t="inlineStr">
        <is>
          <t>1 уровень</t>
        </is>
      </c>
      <c r="C156" s="34" t="inlineStr">
        <is>
          <t>Закрытые условия на абонементы</t>
        </is>
      </c>
      <c r="D156" s="34" t="inlineStr">
        <is>
          <t>Скидка 10% на абонемент 4 занятия</t>
        </is>
      </c>
      <c r="E156" s="34" t="inlineStr">
        <is>
          <t>При покупке абонемента на 4 занятия</t>
        </is>
      </c>
      <c r="F156" s="147" t="inlineStr">
        <is>
          <t>FW-L1-K9AFG-A2R65</t>
        </is>
      </c>
      <c r="G156" s="39" t="inlineStr">
        <is>
          <t>Не использован</t>
        </is>
      </c>
      <c r="H156" s="148" t="n"/>
      <c r="I156" s="34" t="str"/>
      <c r="J156" s="34" t="str"/>
      <c r="K156" s="130" t="n">
        <v>152</v>
      </c>
      <c r="L156" s="43">
        <f>IF(COUNTIF($F$5:$F$2407,F156)=1,"OK","Дубликат")</f>
        <v/>
      </c>
    </row>
    <row r="157" ht="38" customHeight="1">
      <c r="A157" s="146" t="inlineStr">
        <is>
          <t>SUB-L1-04-10</t>
        </is>
      </c>
      <c r="B157" s="39" t="inlineStr">
        <is>
          <t>1 уровень</t>
        </is>
      </c>
      <c r="C157" s="34" t="inlineStr">
        <is>
          <t>Закрытые условия на абонементы</t>
        </is>
      </c>
      <c r="D157" s="34" t="inlineStr">
        <is>
          <t>Скидка 10% на абонемент 4 занятия</t>
        </is>
      </c>
      <c r="E157" s="34" t="inlineStr">
        <is>
          <t>При покупке абонемента на 4 занятия</t>
        </is>
      </c>
      <c r="F157" s="147" t="inlineStr">
        <is>
          <t>FW-L1-TF982-2MXZ4</t>
        </is>
      </c>
      <c r="G157" s="39" t="inlineStr">
        <is>
          <t>Не использован</t>
        </is>
      </c>
      <c r="H157" s="148" t="n"/>
      <c r="I157" s="34" t="str"/>
      <c r="J157" s="34" t="str"/>
      <c r="K157" s="130" t="n">
        <v>153</v>
      </c>
      <c r="L157" s="43">
        <f>IF(COUNTIF($F$5:$F$2407,F157)=1,"OK","Дубликат")</f>
        <v/>
      </c>
    </row>
    <row r="158" ht="38" customHeight="1">
      <c r="A158" s="146" t="inlineStr">
        <is>
          <t>SUB-L1-04-10</t>
        </is>
      </c>
      <c r="B158" s="39" t="inlineStr">
        <is>
          <t>1 уровень</t>
        </is>
      </c>
      <c r="C158" s="34" t="inlineStr">
        <is>
          <t>Закрытые условия на абонементы</t>
        </is>
      </c>
      <c r="D158" s="34" t="inlineStr">
        <is>
          <t>Скидка 10% на абонемент 4 занятия</t>
        </is>
      </c>
      <c r="E158" s="34" t="inlineStr">
        <is>
          <t>При покупке абонемента на 4 занятия</t>
        </is>
      </c>
      <c r="F158" s="147" t="inlineStr">
        <is>
          <t>FW-L1-YY7LH-5YXU2</t>
        </is>
      </c>
      <c r="G158" s="39" t="inlineStr">
        <is>
          <t>Не использован</t>
        </is>
      </c>
      <c r="H158" s="148" t="n"/>
      <c r="I158" s="34" t="str"/>
      <c r="J158" s="34" t="str"/>
      <c r="K158" s="130" t="n">
        <v>154</v>
      </c>
      <c r="L158" s="43">
        <f>IF(COUNTIF($F$5:$F$2407,F158)=1,"OK","Дубликат")</f>
        <v/>
      </c>
    </row>
    <row r="159" ht="38" customHeight="1">
      <c r="A159" s="146" t="inlineStr">
        <is>
          <t>SUB-L1-04-10</t>
        </is>
      </c>
      <c r="B159" s="39" t="inlineStr">
        <is>
          <t>1 уровень</t>
        </is>
      </c>
      <c r="C159" s="34" t="inlineStr">
        <is>
          <t>Закрытые условия на абонементы</t>
        </is>
      </c>
      <c r="D159" s="34" t="inlineStr">
        <is>
          <t>Скидка 10% на абонемент 4 занятия</t>
        </is>
      </c>
      <c r="E159" s="34" t="inlineStr">
        <is>
          <t>При покупке абонемента на 4 занятия</t>
        </is>
      </c>
      <c r="F159" s="147" t="inlineStr">
        <is>
          <t>FW-L1-RS4VK-RAKSS</t>
        </is>
      </c>
      <c r="G159" s="39" t="inlineStr">
        <is>
          <t>Не использован</t>
        </is>
      </c>
      <c r="H159" s="148" t="n"/>
      <c r="I159" s="34" t="str"/>
      <c r="J159" s="34" t="str"/>
      <c r="K159" s="130" t="n">
        <v>155</v>
      </c>
      <c r="L159" s="43">
        <f>IF(COUNTIF($F$5:$F$2407,F159)=1,"OK","Дубликат")</f>
        <v/>
      </c>
    </row>
    <row r="160" ht="38" customHeight="1">
      <c r="A160" s="146" t="inlineStr">
        <is>
          <t>SUB-L1-04-10</t>
        </is>
      </c>
      <c r="B160" s="39" t="inlineStr">
        <is>
          <t>1 уровень</t>
        </is>
      </c>
      <c r="C160" s="34" t="inlineStr">
        <is>
          <t>Закрытые условия на абонементы</t>
        </is>
      </c>
      <c r="D160" s="34" t="inlineStr">
        <is>
          <t>Скидка 10% на абонемент 4 занятия</t>
        </is>
      </c>
      <c r="E160" s="34" t="inlineStr">
        <is>
          <t>При покупке абонемента на 4 занятия</t>
        </is>
      </c>
      <c r="F160" s="147" t="inlineStr">
        <is>
          <t>FW-L1-KXNXX-3RL37</t>
        </is>
      </c>
      <c r="G160" s="39" t="inlineStr">
        <is>
          <t>Не использован</t>
        </is>
      </c>
      <c r="H160" s="148" t="n"/>
      <c r="I160" s="34" t="str"/>
      <c r="J160" s="34" t="str"/>
      <c r="K160" s="130" t="n">
        <v>156</v>
      </c>
      <c r="L160" s="43">
        <f>IF(COUNTIF($F$5:$F$2407,F160)=1,"OK","Дубликат")</f>
        <v/>
      </c>
    </row>
    <row r="161" ht="38" customHeight="1">
      <c r="A161" s="146" t="inlineStr">
        <is>
          <t>SUB-L1-04-10</t>
        </is>
      </c>
      <c r="B161" s="39" t="inlineStr">
        <is>
          <t>1 уровень</t>
        </is>
      </c>
      <c r="C161" s="34" t="inlineStr">
        <is>
          <t>Закрытые условия на абонементы</t>
        </is>
      </c>
      <c r="D161" s="34" t="inlineStr">
        <is>
          <t>Скидка 10% на абонемент 4 занятия</t>
        </is>
      </c>
      <c r="E161" s="34" t="inlineStr">
        <is>
          <t>При покупке абонемента на 4 занятия</t>
        </is>
      </c>
      <c r="F161" s="147" t="inlineStr">
        <is>
          <t>FW-L1-E2ATU-TJDYD</t>
        </is>
      </c>
      <c r="G161" s="39" t="inlineStr">
        <is>
          <t>Не использован</t>
        </is>
      </c>
      <c r="H161" s="148" t="n"/>
      <c r="I161" s="34" t="str"/>
      <c r="J161" s="34" t="str"/>
      <c r="K161" s="130" t="n">
        <v>157</v>
      </c>
      <c r="L161" s="43">
        <f>IF(COUNTIF($F$5:$F$2407,F161)=1,"OK","Дубликат")</f>
        <v/>
      </c>
    </row>
    <row r="162" ht="38" customHeight="1">
      <c r="A162" s="146" t="inlineStr">
        <is>
          <t>SUB-L1-04-10</t>
        </is>
      </c>
      <c r="B162" s="39" t="inlineStr">
        <is>
          <t>1 уровень</t>
        </is>
      </c>
      <c r="C162" s="34" t="inlineStr">
        <is>
          <t>Закрытые условия на абонементы</t>
        </is>
      </c>
      <c r="D162" s="34" t="inlineStr">
        <is>
          <t>Скидка 10% на абонемент 4 занятия</t>
        </is>
      </c>
      <c r="E162" s="34" t="inlineStr">
        <is>
          <t>При покупке абонемента на 4 занятия</t>
        </is>
      </c>
      <c r="F162" s="147" t="inlineStr">
        <is>
          <t>FW-L1-C988L-CLYGU</t>
        </is>
      </c>
      <c r="G162" s="39" t="inlineStr">
        <is>
          <t>Не использован</t>
        </is>
      </c>
      <c r="H162" s="148" t="n"/>
      <c r="I162" s="34" t="str"/>
      <c r="J162" s="34" t="str"/>
      <c r="K162" s="130" t="n">
        <v>158</v>
      </c>
      <c r="L162" s="43">
        <f>IF(COUNTIF($F$5:$F$2407,F162)=1,"OK","Дубликат")</f>
        <v/>
      </c>
    </row>
    <row r="163" ht="38" customHeight="1">
      <c r="A163" s="146" t="inlineStr">
        <is>
          <t>SUB-L1-04-10</t>
        </is>
      </c>
      <c r="B163" s="39" t="inlineStr">
        <is>
          <t>1 уровень</t>
        </is>
      </c>
      <c r="C163" s="34" t="inlineStr">
        <is>
          <t>Закрытые условия на абонементы</t>
        </is>
      </c>
      <c r="D163" s="34" t="inlineStr">
        <is>
          <t>Скидка 10% на абонемент 4 занятия</t>
        </is>
      </c>
      <c r="E163" s="34" t="inlineStr">
        <is>
          <t>При покупке абонемента на 4 занятия</t>
        </is>
      </c>
      <c r="F163" s="147" t="inlineStr">
        <is>
          <t>FW-L1-LD3QZ-HVL3L</t>
        </is>
      </c>
      <c r="G163" s="39" t="inlineStr">
        <is>
          <t>Не использован</t>
        </is>
      </c>
      <c r="H163" s="148" t="n"/>
      <c r="I163" s="34" t="str"/>
      <c r="J163" s="34" t="str"/>
      <c r="K163" s="130" t="n">
        <v>159</v>
      </c>
      <c r="L163" s="43">
        <f>IF(COUNTIF($F$5:$F$2407,F163)=1,"OK","Дубликат")</f>
        <v/>
      </c>
    </row>
    <row r="164" ht="38" customHeight="1">
      <c r="A164" s="146" t="inlineStr">
        <is>
          <t>SUB-L1-04-10</t>
        </is>
      </c>
      <c r="B164" s="39" t="inlineStr">
        <is>
          <t>1 уровень</t>
        </is>
      </c>
      <c r="C164" s="34" t="inlineStr">
        <is>
          <t>Закрытые условия на абонементы</t>
        </is>
      </c>
      <c r="D164" s="34" t="inlineStr">
        <is>
          <t>Скидка 10% на абонемент 4 занятия</t>
        </is>
      </c>
      <c r="E164" s="34" t="inlineStr">
        <is>
          <t>При покупке абонемента на 4 занятия</t>
        </is>
      </c>
      <c r="F164" s="147" t="inlineStr">
        <is>
          <t>FW-L1-6Y883-2F6YT</t>
        </is>
      </c>
      <c r="G164" s="39" t="inlineStr">
        <is>
          <t>Не использован</t>
        </is>
      </c>
      <c r="H164" s="148" t="n"/>
      <c r="I164" s="34" t="str"/>
      <c r="J164" s="34" t="str"/>
      <c r="K164" s="130" t="n">
        <v>160</v>
      </c>
      <c r="L164" s="43">
        <f>IF(COUNTIF($F$5:$F$2407,F164)=1,"OK","Дубликат")</f>
        <v/>
      </c>
    </row>
    <row r="165" ht="38" customHeight="1">
      <c r="A165" s="146" t="inlineStr">
        <is>
          <t>SUB-L1-04-10</t>
        </is>
      </c>
      <c r="B165" s="39" t="inlineStr">
        <is>
          <t>1 уровень</t>
        </is>
      </c>
      <c r="C165" s="34" t="inlineStr">
        <is>
          <t>Закрытые условия на абонементы</t>
        </is>
      </c>
      <c r="D165" s="34" t="inlineStr">
        <is>
          <t>Скидка 10% на абонемент 4 занятия</t>
        </is>
      </c>
      <c r="E165" s="34" t="inlineStr">
        <is>
          <t>При покупке абонемента на 4 занятия</t>
        </is>
      </c>
      <c r="F165" s="147" t="inlineStr">
        <is>
          <t>FW-L1-FJD5V-Y935L</t>
        </is>
      </c>
      <c r="G165" s="39" t="inlineStr">
        <is>
          <t>Не использован</t>
        </is>
      </c>
      <c r="H165" s="148" t="n"/>
      <c r="I165" s="34" t="str"/>
      <c r="J165" s="34" t="str"/>
      <c r="K165" s="130" t="n">
        <v>161</v>
      </c>
      <c r="L165" s="43">
        <f>IF(COUNTIF($F$5:$F$2407,F165)=1,"OK","Дубликат")</f>
        <v/>
      </c>
    </row>
    <row r="166" ht="38" customHeight="1">
      <c r="A166" s="146" t="inlineStr">
        <is>
          <t>SUB-L1-04-10</t>
        </is>
      </c>
      <c r="B166" s="39" t="inlineStr">
        <is>
          <t>1 уровень</t>
        </is>
      </c>
      <c r="C166" s="34" t="inlineStr">
        <is>
          <t>Закрытые условия на абонементы</t>
        </is>
      </c>
      <c r="D166" s="34" t="inlineStr">
        <is>
          <t>Скидка 10% на абонемент 4 занятия</t>
        </is>
      </c>
      <c r="E166" s="34" t="inlineStr">
        <is>
          <t>При покупке абонемента на 4 занятия</t>
        </is>
      </c>
      <c r="F166" s="147" t="inlineStr">
        <is>
          <t>FW-L1-RBJ6N-CYJ6K</t>
        </is>
      </c>
      <c r="G166" s="39" t="inlineStr">
        <is>
          <t>Не использован</t>
        </is>
      </c>
      <c r="H166" s="148" t="n"/>
      <c r="I166" s="34" t="str"/>
      <c r="J166" s="34" t="str"/>
      <c r="K166" s="130" t="n">
        <v>162</v>
      </c>
      <c r="L166" s="43">
        <f>IF(COUNTIF($F$5:$F$2407,F166)=1,"OK","Дубликат")</f>
        <v/>
      </c>
    </row>
    <row r="167" ht="38" customHeight="1">
      <c r="A167" s="146" t="inlineStr">
        <is>
          <t>SUB-L1-04-10</t>
        </is>
      </c>
      <c r="B167" s="39" t="inlineStr">
        <is>
          <t>1 уровень</t>
        </is>
      </c>
      <c r="C167" s="34" t="inlineStr">
        <is>
          <t>Закрытые условия на абонементы</t>
        </is>
      </c>
      <c r="D167" s="34" t="inlineStr">
        <is>
          <t>Скидка 10% на абонемент 4 занятия</t>
        </is>
      </c>
      <c r="E167" s="34" t="inlineStr">
        <is>
          <t>При покупке абонемента на 4 занятия</t>
        </is>
      </c>
      <c r="F167" s="147" t="inlineStr">
        <is>
          <t>FW-L1-YX226-3XSWG</t>
        </is>
      </c>
      <c r="G167" s="39" t="inlineStr">
        <is>
          <t>Не использован</t>
        </is>
      </c>
      <c r="H167" s="148" t="n"/>
      <c r="I167" s="34" t="str"/>
      <c r="J167" s="34" t="str"/>
      <c r="K167" s="130" t="n">
        <v>163</v>
      </c>
      <c r="L167" s="43">
        <f>IF(COUNTIF($F$5:$F$2407,F167)=1,"OK","Дубликат")</f>
        <v/>
      </c>
    </row>
    <row r="168" ht="38" customHeight="1">
      <c r="A168" s="146" t="inlineStr">
        <is>
          <t>SUB-L1-04-10</t>
        </is>
      </c>
      <c r="B168" s="39" t="inlineStr">
        <is>
          <t>1 уровень</t>
        </is>
      </c>
      <c r="C168" s="34" t="inlineStr">
        <is>
          <t>Закрытые условия на абонементы</t>
        </is>
      </c>
      <c r="D168" s="34" t="inlineStr">
        <is>
          <t>Скидка 10% на абонемент 4 занятия</t>
        </is>
      </c>
      <c r="E168" s="34" t="inlineStr">
        <is>
          <t>При покупке абонемента на 4 занятия</t>
        </is>
      </c>
      <c r="F168" s="147" t="inlineStr">
        <is>
          <t>FW-L1-VZJ5S-Q28VS</t>
        </is>
      </c>
      <c r="G168" s="39" t="inlineStr">
        <is>
          <t>Не использован</t>
        </is>
      </c>
      <c r="H168" s="148" t="n"/>
      <c r="I168" s="34" t="str"/>
      <c r="J168" s="34" t="str"/>
      <c r="K168" s="130" t="n">
        <v>164</v>
      </c>
      <c r="L168" s="43">
        <f>IF(COUNTIF($F$5:$F$2407,F168)=1,"OK","Дубликат")</f>
        <v/>
      </c>
    </row>
    <row r="169" ht="38" customHeight="1">
      <c r="A169" s="146" t="inlineStr">
        <is>
          <t>SUB-L1-04-10</t>
        </is>
      </c>
      <c r="B169" s="39" t="inlineStr">
        <is>
          <t>1 уровень</t>
        </is>
      </c>
      <c r="C169" s="34" t="inlineStr">
        <is>
          <t>Закрытые условия на абонементы</t>
        </is>
      </c>
      <c r="D169" s="34" t="inlineStr">
        <is>
          <t>Скидка 10% на абонемент 4 занятия</t>
        </is>
      </c>
      <c r="E169" s="34" t="inlineStr">
        <is>
          <t>При покупке абонемента на 4 занятия</t>
        </is>
      </c>
      <c r="F169" s="147" t="inlineStr">
        <is>
          <t>FW-L1-XQPYM-JFR5B</t>
        </is>
      </c>
      <c r="G169" s="39" t="inlineStr">
        <is>
          <t>Не использован</t>
        </is>
      </c>
      <c r="H169" s="148" t="n"/>
      <c r="I169" s="34" t="str"/>
      <c r="J169" s="34" t="str"/>
      <c r="K169" s="130" t="n">
        <v>165</v>
      </c>
      <c r="L169" s="43">
        <f>IF(COUNTIF($F$5:$F$2407,F169)=1,"OK","Дубликат")</f>
        <v/>
      </c>
    </row>
    <row r="170" ht="38" customHeight="1">
      <c r="A170" s="146" t="inlineStr">
        <is>
          <t>SUB-L1-04-10</t>
        </is>
      </c>
      <c r="B170" s="39" t="inlineStr">
        <is>
          <t>1 уровень</t>
        </is>
      </c>
      <c r="C170" s="34" t="inlineStr">
        <is>
          <t>Закрытые условия на абонементы</t>
        </is>
      </c>
      <c r="D170" s="34" t="inlineStr">
        <is>
          <t>Скидка 10% на абонемент 4 занятия</t>
        </is>
      </c>
      <c r="E170" s="34" t="inlineStr">
        <is>
          <t>При покупке абонемента на 4 занятия</t>
        </is>
      </c>
      <c r="F170" s="147" t="inlineStr">
        <is>
          <t>FW-L1-7J8Q9-WWDWG</t>
        </is>
      </c>
      <c r="G170" s="39" t="inlineStr">
        <is>
          <t>Не использован</t>
        </is>
      </c>
      <c r="H170" s="148" t="n"/>
      <c r="I170" s="34" t="str"/>
      <c r="J170" s="34" t="str"/>
      <c r="K170" s="130" t="n">
        <v>166</v>
      </c>
      <c r="L170" s="43">
        <f>IF(COUNTIF($F$5:$F$2407,F170)=1,"OK","Дубликат")</f>
        <v/>
      </c>
    </row>
    <row r="171" ht="38" customHeight="1">
      <c r="A171" s="146" t="inlineStr">
        <is>
          <t>SUB-L1-04-10</t>
        </is>
      </c>
      <c r="B171" s="39" t="inlineStr">
        <is>
          <t>1 уровень</t>
        </is>
      </c>
      <c r="C171" s="34" t="inlineStr">
        <is>
          <t>Закрытые условия на абонементы</t>
        </is>
      </c>
      <c r="D171" s="34" t="inlineStr">
        <is>
          <t>Скидка 10% на абонемент 4 занятия</t>
        </is>
      </c>
      <c r="E171" s="34" t="inlineStr">
        <is>
          <t>При покупке абонемента на 4 занятия</t>
        </is>
      </c>
      <c r="F171" s="147" t="inlineStr">
        <is>
          <t>FW-L1-8RE2A-JA2GH</t>
        </is>
      </c>
      <c r="G171" s="39" t="inlineStr">
        <is>
          <t>Не использован</t>
        </is>
      </c>
      <c r="H171" s="148" t="n"/>
      <c r="I171" s="34" t="str"/>
      <c r="J171" s="34" t="str"/>
      <c r="K171" s="130" t="n">
        <v>167</v>
      </c>
      <c r="L171" s="43">
        <f>IF(COUNTIF($F$5:$F$2407,F171)=1,"OK","Дубликат")</f>
        <v/>
      </c>
    </row>
    <row r="172" ht="38" customHeight="1">
      <c r="A172" s="146" t="inlineStr">
        <is>
          <t>SUB-L1-04-10</t>
        </is>
      </c>
      <c r="B172" s="39" t="inlineStr">
        <is>
          <t>1 уровень</t>
        </is>
      </c>
      <c r="C172" s="34" t="inlineStr">
        <is>
          <t>Закрытые условия на абонементы</t>
        </is>
      </c>
      <c r="D172" s="34" t="inlineStr">
        <is>
          <t>Скидка 10% на абонемент 4 занятия</t>
        </is>
      </c>
      <c r="E172" s="34" t="inlineStr">
        <is>
          <t>При покупке абонемента на 4 занятия</t>
        </is>
      </c>
      <c r="F172" s="147" t="inlineStr">
        <is>
          <t>FW-L1-XZV4M-JWZAP</t>
        </is>
      </c>
      <c r="G172" s="39" t="inlineStr">
        <is>
          <t>Не использован</t>
        </is>
      </c>
      <c r="H172" s="148" t="n"/>
      <c r="I172" s="34" t="str"/>
      <c r="J172" s="34" t="str"/>
      <c r="K172" s="130" t="n">
        <v>168</v>
      </c>
      <c r="L172" s="43">
        <f>IF(COUNTIF($F$5:$F$2407,F172)=1,"OK","Дубликат")</f>
        <v/>
      </c>
    </row>
    <row r="173" ht="38" customHeight="1">
      <c r="A173" s="146" t="inlineStr">
        <is>
          <t>SUB-L1-04-10</t>
        </is>
      </c>
      <c r="B173" s="39" t="inlineStr">
        <is>
          <t>1 уровень</t>
        </is>
      </c>
      <c r="C173" s="34" t="inlineStr">
        <is>
          <t>Закрытые условия на абонементы</t>
        </is>
      </c>
      <c r="D173" s="34" t="inlineStr">
        <is>
          <t>Скидка 10% на абонемент 4 занятия</t>
        </is>
      </c>
      <c r="E173" s="34" t="inlineStr">
        <is>
          <t>При покупке абонемента на 4 занятия</t>
        </is>
      </c>
      <c r="F173" s="147" t="inlineStr">
        <is>
          <t>FW-L1-9ZJ2V-MR33F</t>
        </is>
      </c>
      <c r="G173" s="39" t="inlineStr">
        <is>
          <t>Не использован</t>
        </is>
      </c>
      <c r="H173" s="148" t="n"/>
      <c r="I173" s="34" t="str"/>
      <c r="J173" s="34" t="str"/>
      <c r="K173" s="130" t="n">
        <v>169</v>
      </c>
      <c r="L173" s="43">
        <f>IF(COUNTIF($F$5:$F$2407,F173)=1,"OK","Дубликат")</f>
        <v/>
      </c>
    </row>
    <row r="174" ht="38" customHeight="1">
      <c r="A174" s="146" t="inlineStr">
        <is>
          <t>SUB-L1-04-10</t>
        </is>
      </c>
      <c r="B174" s="39" t="inlineStr">
        <is>
          <t>1 уровень</t>
        </is>
      </c>
      <c r="C174" s="34" t="inlineStr">
        <is>
          <t>Закрытые условия на абонементы</t>
        </is>
      </c>
      <c r="D174" s="34" t="inlineStr">
        <is>
          <t>Скидка 10% на абонемент 4 занятия</t>
        </is>
      </c>
      <c r="E174" s="34" t="inlineStr">
        <is>
          <t>При покупке абонемента на 4 занятия</t>
        </is>
      </c>
      <c r="F174" s="147" t="inlineStr">
        <is>
          <t>FW-L1-J3RMJ-6MF6K</t>
        </is>
      </c>
      <c r="G174" s="39" t="inlineStr">
        <is>
          <t>Не использован</t>
        </is>
      </c>
      <c r="H174" s="148" t="n"/>
      <c r="I174" s="34" t="str"/>
      <c r="J174" s="34" t="str"/>
      <c r="K174" s="130" t="n">
        <v>170</v>
      </c>
      <c r="L174" s="43">
        <f>IF(COUNTIF($F$5:$F$2407,F174)=1,"OK","Дубликат")</f>
        <v/>
      </c>
    </row>
    <row r="175" ht="38" customHeight="1">
      <c r="A175" s="146" t="inlineStr">
        <is>
          <t>SUB-L1-04-10</t>
        </is>
      </c>
      <c r="B175" s="39" t="inlineStr">
        <is>
          <t>1 уровень</t>
        </is>
      </c>
      <c r="C175" s="34" t="inlineStr">
        <is>
          <t>Закрытые условия на абонементы</t>
        </is>
      </c>
      <c r="D175" s="34" t="inlineStr">
        <is>
          <t>Скидка 10% на абонемент 4 занятия</t>
        </is>
      </c>
      <c r="E175" s="34" t="inlineStr">
        <is>
          <t>При покупке абонемента на 4 занятия</t>
        </is>
      </c>
      <c r="F175" s="147" t="inlineStr">
        <is>
          <t>FW-L1-X4QXF-BYDWQ</t>
        </is>
      </c>
      <c r="G175" s="39" t="inlineStr">
        <is>
          <t>Не использован</t>
        </is>
      </c>
      <c r="H175" s="148" t="n"/>
      <c r="I175" s="34" t="str"/>
      <c r="J175" s="34" t="str"/>
      <c r="K175" s="130" t="n">
        <v>171</v>
      </c>
      <c r="L175" s="43">
        <f>IF(COUNTIF($F$5:$F$2407,F175)=1,"OK","Дубликат")</f>
        <v/>
      </c>
    </row>
    <row r="176" ht="38" customHeight="1">
      <c r="A176" s="146" t="inlineStr">
        <is>
          <t>SUB-L1-04-10</t>
        </is>
      </c>
      <c r="B176" s="39" t="inlineStr">
        <is>
          <t>1 уровень</t>
        </is>
      </c>
      <c r="C176" s="34" t="inlineStr">
        <is>
          <t>Закрытые условия на абонементы</t>
        </is>
      </c>
      <c r="D176" s="34" t="inlineStr">
        <is>
          <t>Скидка 10% на абонемент 4 занятия</t>
        </is>
      </c>
      <c r="E176" s="34" t="inlineStr">
        <is>
          <t>При покупке абонемента на 4 занятия</t>
        </is>
      </c>
      <c r="F176" s="147" t="inlineStr">
        <is>
          <t>FW-L1-7XTRJ-JQ5K6</t>
        </is>
      </c>
      <c r="G176" s="39" t="inlineStr">
        <is>
          <t>Не использован</t>
        </is>
      </c>
      <c r="H176" s="148" t="n"/>
      <c r="I176" s="34" t="str"/>
      <c r="J176" s="34" t="str"/>
      <c r="K176" s="130" t="n">
        <v>172</v>
      </c>
      <c r="L176" s="43">
        <f>IF(COUNTIF($F$5:$F$2407,F176)=1,"OK","Дубликат")</f>
        <v/>
      </c>
    </row>
    <row r="177" ht="38" customHeight="1">
      <c r="A177" s="146" t="inlineStr">
        <is>
          <t>SUB-L1-04-10</t>
        </is>
      </c>
      <c r="B177" s="39" t="inlineStr">
        <is>
          <t>1 уровень</t>
        </is>
      </c>
      <c r="C177" s="34" t="inlineStr">
        <is>
          <t>Закрытые условия на абонементы</t>
        </is>
      </c>
      <c r="D177" s="34" t="inlineStr">
        <is>
          <t>Скидка 10% на абонемент 4 занятия</t>
        </is>
      </c>
      <c r="E177" s="34" t="inlineStr">
        <is>
          <t>При покупке абонемента на 4 занятия</t>
        </is>
      </c>
      <c r="F177" s="147" t="inlineStr">
        <is>
          <t>FW-L1-SPMAG-82CG9</t>
        </is>
      </c>
      <c r="G177" s="39" t="inlineStr">
        <is>
          <t>Не использован</t>
        </is>
      </c>
      <c r="H177" s="148" t="n"/>
      <c r="I177" s="34" t="str"/>
      <c r="J177" s="34" t="str"/>
      <c r="K177" s="130" t="n">
        <v>173</v>
      </c>
      <c r="L177" s="43">
        <f>IF(COUNTIF($F$5:$F$2407,F177)=1,"OK","Дубликат")</f>
        <v/>
      </c>
    </row>
    <row r="178" ht="38" customHeight="1">
      <c r="A178" s="146" t="inlineStr">
        <is>
          <t>SUB-L1-04-10</t>
        </is>
      </c>
      <c r="B178" s="39" t="inlineStr">
        <is>
          <t>1 уровень</t>
        </is>
      </c>
      <c r="C178" s="34" t="inlineStr">
        <is>
          <t>Закрытые условия на абонементы</t>
        </is>
      </c>
      <c r="D178" s="34" t="inlineStr">
        <is>
          <t>Скидка 10% на абонемент 4 занятия</t>
        </is>
      </c>
      <c r="E178" s="34" t="inlineStr">
        <is>
          <t>При покупке абонемента на 4 занятия</t>
        </is>
      </c>
      <c r="F178" s="147" t="inlineStr">
        <is>
          <t>FW-L1-THFJT-CMC7L</t>
        </is>
      </c>
      <c r="G178" s="39" t="inlineStr">
        <is>
          <t>Не использован</t>
        </is>
      </c>
      <c r="H178" s="148" t="n"/>
      <c r="I178" s="34" t="str"/>
      <c r="J178" s="34" t="str"/>
      <c r="K178" s="130" t="n">
        <v>174</v>
      </c>
      <c r="L178" s="43">
        <f>IF(COUNTIF($F$5:$F$2407,F178)=1,"OK","Дубликат")</f>
        <v/>
      </c>
    </row>
    <row r="179" ht="38" customHeight="1">
      <c r="A179" s="146" t="inlineStr">
        <is>
          <t>SUB-L1-04-10</t>
        </is>
      </c>
      <c r="B179" s="39" t="inlineStr">
        <is>
          <t>1 уровень</t>
        </is>
      </c>
      <c r="C179" s="34" t="inlineStr">
        <is>
          <t>Закрытые условия на абонементы</t>
        </is>
      </c>
      <c r="D179" s="34" t="inlineStr">
        <is>
          <t>Скидка 10% на абонемент 4 занятия</t>
        </is>
      </c>
      <c r="E179" s="34" t="inlineStr">
        <is>
          <t>При покупке абонемента на 4 занятия</t>
        </is>
      </c>
      <c r="F179" s="147" t="inlineStr">
        <is>
          <t>FW-L1-X5C6L-3ZX4G</t>
        </is>
      </c>
      <c r="G179" s="39" t="inlineStr">
        <is>
          <t>Не использован</t>
        </is>
      </c>
      <c r="H179" s="148" t="n"/>
      <c r="I179" s="34" t="str"/>
      <c r="J179" s="34" t="str"/>
      <c r="K179" s="130" t="n">
        <v>175</v>
      </c>
      <c r="L179" s="43">
        <f>IF(COUNTIF($F$5:$F$2407,F179)=1,"OK","Дубликат")</f>
        <v/>
      </c>
    </row>
    <row r="180" ht="38" customHeight="1">
      <c r="A180" s="146" t="inlineStr">
        <is>
          <t>SUB-L1-04-10</t>
        </is>
      </c>
      <c r="B180" s="39" t="inlineStr">
        <is>
          <t>1 уровень</t>
        </is>
      </c>
      <c r="C180" s="34" t="inlineStr">
        <is>
          <t>Закрытые условия на абонементы</t>
        </is>
      </c>
      <c r="D180" s="34" t="inlineStr">
        <is>
          <t>Скидка 10% на абонемент 4 занятия</t>
        </is>
      </c>
      <c r="E180" s="34" t="inlineStr">
        <is>
          <t>При покупке абонемента на 4 занятия</t>
        </is>
      </c>
      <c r="F180" s="147" t="inlineStr">
        <is>
          <t>FW-L1-E9ZUQ-BR5ZD</t>
        </is>
      </c>
      <c r="G180" s="39" t="inlineStr">
        <is>
          <t>Не использован</t>
        </is>
      </c>
      <c r="H180" s="148" t="n"/>
      <c r="I180" s="34" t="str"/>
      <c r="J180" s="34" t="str"/>
      <c r="K180" s="130" t="n">
        <v>176</v>
      </c>
      <c r="L180" s="43">
        <f>IF(COUNTIF($F$5:$F$2407,F180)=1,"OK","Дубликат")</f>
        <v/>
      </c>
    </row>
    <row r="181" ht="38" customHeight="1">
      <c r="A181" s="146" t="inlineStr">
        <is>
          <t>SUB-L1-04-10</t>
        </is>
      </c>
      <c r="B181" s="39" t="inlineStr">
        <is>
          <t>1 уровень</t>
        </is>
      </c>
      <c r="C181" s="34" t="inlineStr">
        <is>
          <t>Закрытые условия на абонементы</t>
        </is>
      </c>
      <c r="D181" s="34" t="inlineStr">
        <is>
          <t>Скидка 10% на абонемент 4 занятия</t>
        </is>
      </c>
      <c r="E181" s="34" t="inlineStr">
        <is>
          <t>При покупке абонемента на 4 занятия</t>
        </is>
      </c>
      <c r="F181" s="147" t="inlineStr">
        <is>
          <t>FW-L1-BP6QX-TZMTU</t>
        </is>
      </c>
      <c r="G181" s="39" t="inlineStr">
        <is>
          <t>Не использован</t>
        </is>
      </c>
      <c r="H181" s="148" t="n"/>
      <c r="I181" s="34" t="str"/>
      <c r="J181" s="34" t="str"/>
      <c r="K181" s="130" t="n">
        <v>177</v>
      </c>
      <c r="L181" s="43">
        <f>IF(COUNTIF($F$5:$F$2407,F181)=1,"OK","Дубликат")</f>
        <v/>
      </c>
    </row>
    <row r="182" ht="38" customHeight="1">
      <c r="A182" s="146" t="inlineStr">
        <is>
          <t>SUB-L1-04-10</t>
        </is>
      </c>
      <c r="B182" s="39" t="inlineStr">
        <is>
          <t>1 уровень</t>
        </is>
      </c>
      <c r="C182" s="34" t="inlineStr">
        <is>
          <t>Закрытые условия на абонементы</t>
        </is>
      </c>
      <c r="D182" s="34" t="inlineStr">
        <is>
          <t>Скидка 10% на абонемент 4 занятия</t>
        </is>
      </c>
      <c r="E182" s="34" t="inlineStr">
        <is>
          <t>При покупке абонемента на 4 занятия</t>
        </is>
      </c>
      <c r="F182" s="147" t="inlineStr">
        <is>
          <t>FW-L1-85ZZE-HM8NY</t>
        </is>
      </c>
      <c r="G182" s="39" t="inlineStr">
        <is>
          <t>Не использован</t>
        </is>
      </c>
      <c r="H182" s="148" t="n"/>
      <c r="I182" s="34" t="str"/>
      <c r="J182" s="34" t="str"/>
      <c r="K182" s="130" t="n">
        <v>178</v>
      </c>
      <c r="L182" s="43">
        <f>IF(COUNTIF($F$5:$F$2407,F182)=1,"OK","Дубликат")</f>
        <v/>
      </c>
    </row>
    <row r="183" ht="38" customHeight="1">
      <c r="A183" s="146" t="inlineStr">
        <is>
          <t>SUB-L1-04-10</t>
        </is>
      </c>
      <c r="B183" s="39" t="inlineStr">
        <is>
          <t>1 уровень</t>
        </is>
      </c>
      <c r="C183" s="34" t="inlineStr">
        <is>
          <t>Закрытые условия на абонементы</t>
        </is>
      </c>
      <c r="D183" s="34" t="inlineStr">
        <is>
          <t>Скидка 10% на абонемент 4 занятия</t>
        </is>
      </c>
      <c r="E183" s="34" t="inlineStr">
        <is>
          <t>При покупке абонемента на 4 занятия</t>
        </is>
      </c>
      <c r="F183" s="147" t="inlineStr">
        <is>
          <t>FW-L1-58THM-F5NPT</t>
        </is>
      </c>
      <c r="G183" s="39" t="inlineStr">
        <is>
          <t>Не использован</t>
        </is>
      </c>
      <c r="H183" s="148" t="n"/>
      <c r="I183" s="34" t="str"/>
      <c r="J183" s="34" t="str"/>
      <c r="K183" s="130" t="n">
        <v>179</v>
      </c>
      <c r="L183" s="43">
        <f>IF(COUNTIF($F$5:$F$2407,F183)=1,"OK","Дубликат")</f>
        <v/>
      </c>
    </row>
    <row r="184" ht="38" customHeight="1">
      <c r="A184" s="146" t="inlineStr">
        <is>
          <t>SUB-L1-04-10</t>
        </is>
      </c>
      <c r="B184" s="39" t="inlineStr">
        <is>
          <t>1 уровень</t>
        </is>
      </c>
      <c r="C184" s="34" t="inlineStr">
        <is>
          <t>Закрытые условия на абонементы</t>
        </is>
      </c>
      <c r="D184" s="34" t="inlineStr">
        <is>
          <t>Скидка 10% на абонемент 4 занятия</t>
        </is>
      </c>
      <c r="E184" s="34" t="inlineStr">
        <is>
          <t>При покупке абонемента на 4 занятия</t>
        </is>
      </c>
      <c r="F184" s="147" t="inlineStr">
        <is>
          <t>FW-L1-W8F4N-MA4QR</t>
        </is>
      </c>
      <c r="G184" s="39" t="inlineStr">
        <is>
          <t>Не использован</t>
        </is>
      </c>
      <c r="H184" s="148" t="n"/>
      <c r="I184" s="34" t="str"/>
      <c r="J184" s="34" t="str"/>
      <c r="K184" s="130" t="n">
        <v>180</v>
      </c>
      <c r="L184" s="43">
        <f>IF(COUNTIF($F$5:$F$2407,F184)=1,"OK","Дубликат")</f>
        <v/>
      </c>
    </row>
    <row r="185" ht="38" customHeight="1">
      <c r="A185" s="146" t="inlineStr">
        <is>
          <t>SUB-L1-04-10</t>
        </is>
      </c>
      <c r="B185" s="39" t="inlineStr">
        <is>
          <t>1 уровень</t>
        </is>
      </c>
      <c r="C185" s="34" t="inlineStr">
        <is>
          <t>Закрытые условия на абонементы</t>
        </is>
      </c>
      <c r="D185" s="34" t="inlineStr">
        <is>
          <t>Скидка 10% на абонемент 4 занятия</t>
        </is>
      </c>
      <c r="E185" s="34" t="inlineStr">
        <is>
          <t>При покупке абонемента на 4 занятия</t>
        </is>
      </c>
      <c r="F185" s="147" t="inlineStr">
        <is>
          <t>FW-L1-7MR7A-Q5Z39</t>
        </is>
      </c>
      <c r="G185" s="39" t="inlineStr">
        <is>
          <t>Не использован</t>
        </is>
      </c>
      <c r="H185" s="148" t="n"/>
      <c r="I185" s="34" t="str"/>
      <c r="J185" s="34" t="str"/>
      <c r="K185" s="130" t="n">
        <v>181</v>
      </c>
      <c r="L185" s="43">
        <f>IF(COUNTIF($F$5:$F$2407,F185)=1,"OK","Дубликат")</f>
        <v/>
      </c>
    </row>
    <row r="186" ht="38" customHeight="1">
      <c r="A186" s="146" t="inlineStr">
        <is>
          <t>SUB-L1-04-10</t>
        </is>
      </c>
      <c r="B186" s="39" t="inlineStr">
        <is>
          <t>1 уровень</t>
        </is>
      </c>
      <c r="C186" s="34" t="inlineStr">
        <is>
          <t>Закрытые условия на абонементы</t>
        </is>
      </c>
      <c r="D186" s="34" t="inlineStr">
        <is>
          <t>Скидка 10% на абонемент 4 занятия</t>
        </is>
      </c>
      <c r="E186" s="34" t="inlineStr">
        <is>
          <t>При покупке абонемента на 4 занятия</t>
        </is>
      </c>
      <c r="F186" s="147" t="inlineStr">
        <is>
          <t>FW-L1-9QAGP-4AZNH</t>
        </is>
      </c>
      <c r="G186" s="39" t="inlineStr">
        <is>
          <t>Не использован</t>
        </is>
      </c>
      <c r="H186" s="148" t="n"/>
      <c r="I186" s="34" t="str"/>
      <c r="J186" s="34" t="str"/>
      <c r="K186" s="130" t="n">
        <v>182</v>
      </c>
      <c r="L186" s="43">
        <f>IF(COUNTIF($F$5:$F$2407,F186)=1,"OK","Дубликат")</f>
        <v/>
      </c>
    </row>
    <row r="187" ht="38" customHeight="1">
      <c r="A187" s="146" t="inlineStr">
        <is>
          <t>SUB-L1-04-10</t>
        </is>
      </c>
      <c r="B187" s="39" t="inlineStr">
        <is>
          <t>1 уровень</t>
        </is>
      </c>
      <c r="C187" s="34" t="inlineStr">
        <is>
          <t>Закрытые условия на абонементы</t>
        </is>
      </c>
      <c r="D187" s="34" t="inlineStr">
        <is>
          <t>Скидка 10% на абонемент 4 занятия</t>
        </is>
      </c>
      <c r="E187" s="34" t="inlineStr">
        <is>
          <t>При покупке абонемента на 4 занятия</t>
        </is>
      </c>
      <c r="F187" s="147" t="inlineStr">
        <is>
          <t>FW-L1-K8JXF-LKCCU</t>
        </is>
      </c>
      <c r="G187" s="39" t="inlineStr">
        <is>
          <t>Не использован</t>
        </is>
      </c>
      <c r="H187" s="148" t="n"/>
      <c r="I187" s="34" t="str"/>
      <c r="J187" s="34" t="str"/>
      <c r="K187" s="130" t="n">
        <v>183</v>
      </c>
      <c r="L187" s="43">
        <f>IF(COUNTIF($F$5:$F$2407,F187)=1,"OK","Дубликат")</f>
        <v/>
      </c>
    </row>
    <row r="188" ht="38" customHeight="1">
      <c r="A188" s="146" t="inlineStr">
        <is>
          <t>SUB-L1-04-10</t>
        </is>
      </c>
      <c r="B188" s="39" t="inlineStr">
        <is>
          <t>1 уровень</t>
        </is>
      </c>
      <c r="C188" s="34" t="inlineStr">
        <is>
          <t>Закрытые условия на абонементы</t>
        </is>
      </c>
      <c r="D188" s="34" t="inlineStr">
        <is>
          <t>Скидка 10% на абонемент 4 занятия</t>
        </is>
      </c>
      <c r="E188" s="34" t="inlineStr">
        <is>
          <t>При покупке абонемента на 4 занятия</t>
        </is>
      </c>
      <c r="F188" s="147" t="inlineStr">
        <is>
          <t>FW-L1-E3YGE-8WFTZ</t>
        </is>
      </c>
      <c r="G188" s="39" t="inlineStr">
        <is>
          <t>Не использован</t>
        </is>
      </c>
      <c r="H188" s="148" t="n"/>
      <c r="I188" s="34" t="str"/>
      <c r="J188" s="34" t="str"/>
      <c r="K188" s="130" t="n">
        <v>184</v>
      </c>
      <c r="L188" s="43">
        <f>IF(COUNTIF($F$5:$F$2407,F188)=1,"OK","Дубликат")</f>
        <v/>
      </c>
    </row>
    <row r="189" ht="38" customHeight="1">
      <c r="A189" s="146" t="inlineStr">
        <is>
          <t>SUB-L1-04-10</t>
        </is>
      </c>
      <c r="B189" s="39" t="inlineStr">
        <is>
          <t>1 уровень</t>
        </is>
      </c>
      <c r="C189" s="34" t="inlineStr">
        <is>
          <t>Закрытые условия на абонементы</t>
        </is>
      </c>
      <c r="D189" s="34" t="inlineStr">
        <is>
          <t>Скидка 10% на абонемент 4 занятия</t>
        </is>
      </c>
      <c r="E189" s="34" t="inlineStr">
        <is>
          <t>При покупке абонемента на 4 занятия</t>
        </is>
      </c>
      <c r="F189" s="147" t="inlineStr">
        <is>
          <t>FW-L1-WYNKM-NEYLB</t>
        </is>
      </c>
      <c r="G189" s="39" t="inlineStr">
        <is>
          <t>Не использован</t>
        </is>
      </c>
      <c r="H189" s="148" t="n"/>
      <c r="I189" s="34" t="str"/>
      <c r="J189" s="34" t="str"/>
      <c r="K189" s="130" t="n">
        <v>185</v>
      </c>
      <c r="L189" s="43">
        <f>IF(COUNTIF($F$5:$F$2407,F189)=1,"OK","Дубликат")</f>
        <v/>
      </c>
    </row>
    <row r="190" ht="38" customHeight="1">
      <c r="A190" s="146" t="inlineStr">
        <is>
          <t>SUB-L1-04-10</t>
        </is>
      </c>
      <c r="B190" s="39" t="inlineStr">
        <is>
          <t>1 уровень</t>
        </is>
      </c>
      <c r="C190" s="34" t="inlineStr">
        <is>
          <t>Закрытые условия на абонементы</t>
        </is>
      </c>
      <c r="D190" s="34" t="inlineStr">
        <is>
          <t>Скидка 10% на абонемент 4 занятия</t>
        </is>
      </c>
      <c r="E190" s="34" t="inlineStr">
        <is>
          <t>При покупке абонемента на 4 занятия</t>
        </is>
      </c>
      <c r="F190" s="147" t="inlineStr">
        <is>
          <t>FW-L1-YUJPJ-Q7ERD</t>
        </is>
      </c>
      <c r="G190" s="39" t="inlineStr">
        <is>
          <t>Не использован</t>
        </is>
      </c>
      <c r="H190" s="148" t="n"/>
      <c r="I190" s="34" t="str"/>
      <c r="J190" s="34" t="str"/>
      <c r="K190" s="130" t="n">
        <v>186</v>
      </c>
      <c r="L190" s="43">
        <f>IF(COUNTIF($F$5:$F$2407,F190)=1,"OK","Дубликат")</f>
        <v/>
      </c>
    </row>
    <row r="191" ht="38" customHeight="1">
      <c r="A191" s="146" t="inlineStr">
        <is>
          <t>SUB-L1-04-10</t>
        </is>
      </c>
      <c r="B191" s="39" t="inlineStr">
        <is>
          <t>1 уровень</t>
        </is>
      </c>
      <c r="C191" s="34" t="inlineStr">
        <is>
          <t>Закрытые условия на абонементы</t>
        </is>
      </c>
      <c r="D191" s="34" t="inlineStr">
        <is>
          <t>Скидка 10% на абонемент 4 занятия</t>
        </is>
      </c>
      <c r="E191" s="34" t="inlineStr">
        <is>
          <t>При покупке абонемента на 4 занятия</t>
        </is>
      </c>
      <c r="F191" s="147" t="inlineStr">
        <is>
          <t>FW-L1-UXKMQ-N4VY5</t>
        </is>
      </c>
      <c r="G191" s="39" t="inlineStr">
        <is>
          <t>Не использован</t>
        </is>
      </c>
      <c r="H191" s="148" t="n"/>
      <c r="I191" s="34" t="str"/>
      <c r="J191" s="34" t="str"/>
      <c r="K191" s="130" t="n">
        <v>187</v>
      </c>
      <c r="L191" s="43">
        <f>IF(COUNTIF($F$5:$F$2407,F191)=1,"OK","Дубликат")</f>
        <v/>
      </c>
    </row>
    <row r="192" ht="38" customHeight="1">
      <c r="A192" s="146" t="inlineStr">
        <is>
          <t>SUB-L1-04-10</t>
        </is>
      </c>
      <c r="B192" s="39" t="inlineStr">
        <is>
          <t>1 уровень</t>
        </is>
      </c>
      <c r="C192" s="34" t="inlineStr">
        <is>
          <t>Закрытые условия на абонементы</t>
        </is>
      </c>
      <c r="D192" s="34" t="inlineStr">
        <is>
          <t>Скидка 10% на абонемент 4 занятия</t>
        </is>
      </c>
      <c r="E192" s="34" t="inlineStr">
        <is>
          <t>При покупке абонемента на 4 занятия</t>
        </is>
      </c>
      <c r="F192" s="147" t="inlineStr">
        <is>
          <t>FW-L1-DN9SA-PQAEP</t>
        </is>
      </c>
      <c r="G192" s="39" t="inlineStr">
        <is>
          <t>Не использован</t>
        </is>
      </c>
      <c r="H192" s="148" t="n"/>
      <c r="I192" s="34" t="str"/>
      <c r="J192" s="34" t="str"/>
      <c r="K192" s="130" t="n">
        <v>188</v>
      </c>
      <c r="L192" s="43">
        <f>IF(COUNTIF($F$5:$F$2407,F192)=1,"OK","Дубликат")</f>
        <v/>
      </c>
    </row>
    <row r="193" ht="38" customHeight="1">
      <c r="A193" s="146" t="inlineStr">
        <is>
          <t>SUB-L1-04-10</t>
        </is>
      </c>
      <c r="B193" s="39" t="inlineStr">
        <is>
          <t>1 уровень</t>
        </is>
      </c>
      <c r="C193" s="34" t="inlineStr">
        <is>
          <t>Закрытые условия на абонементы</t>
        </is>
      </c>
      <c r="D193" s="34" t="inlineStr">
        <is>
          <t>Скидка 10% на абонемент 4 занятия</t>
        </is>
      </c>
      <c r="E193" s="34" t="inlineStr">
        <is>
          <t>При покупке абонемента на 4 занятия</t>
        </is>
      </c>
      <c r="F193" s="147" t="inlineStr">
        <is>
          <t>FW-L1-YX4HQ-Q76CP</t>
        </is>
      </c>
      <c r="G193" s="39" t="inlineStr">
        <is>
          <t>Не использован</t>
        </is>
      </c>
      <c r="H193" s="148" t="n"/>
      <c r="I193" s="34" t="str"/>
      <c r="J193" s="34" t="str"/>
      <c r="K193" s="130" t="n">
        <v>189</v>
      </c>
      <c r="L193" s="43">
        <f>IF(COUNTIF($F$5:$F$2407,F193)=1,"OK","Дубликат")</f>
        <v/>
      </c>
    </row>
    <row r="194" ht="38" customHeight="1">
      <c r="A194" s="146" t="inlineStr">
        <is>
          <t>SUB-L1-04-10</t>
        </is>
      </c>
      <c r="B194" s="39" t="inlineStr">
        <is>
          <t>1 уровень</t>
        </is>
      </c>
      <c r="C194" s="34" t="inlineStr">
        <is>
          <t>Закрытые условия на абонементы</t>
        </is>
      </c>
      <c r="D194" s="34" t="inlineStr">
        <is>
          <t>Скидка 10% на абонемент 4 занятия</t>
        </is>
      </c>
      <c r="E194" s="34" t="inlineStr">
        <is>
          <t>При покупке абонемента на 4 занятия</t>
        </is>
      </c>
      <c r="F194" s="147" t="inlineStr">
        <is>
          <t>FW-L1-MC2DF-VTZWJ</t>
        </is>
      </c>
      <c r="G194" s="39" t="inlineStr">
        <is>
          <t>Не использован</t>
        </is>
      </c>
      <c r="H194" s="148" t="n"/>
      <c r="I194" s="34" t="str"/>
      <c r="J194" s="34" t="str"/>
      <c r="K194" s="130" t="n">
        <v>190</v>
      </c>
      <c r="L194" s="43">
        <f>IF(COUNTIF($F$5:$F$2407,F194)=1,"OK","Дубликат")</f>
        <v/>
      </c>
    </row>
    <row r="195" ht="38" customHeight="1">
      <c r="A195" s="146" t="inlineStr">
        <is>
          <t>SUB-L1-04-10</t>
        </is>
      </c>
      <c r="B195" s="39" t="inlineStr">
        <is>
          <t>1 уровень</t>
        </is>
      </c>
      <c r="C195" s="34" t="inlineStr">
        <is>
          <t>Закрытые условия на абонементы</t>
        </is>
      </c>
      <c r="D195" s="34" t="inlineStr">
        <is>
          <t>Скидка 10% на абонемент 4 занятия</t>
        </is>
      </c>
      <c r="E195" s="34" t="inlineStr">
        <is>
          <t>При покупке абонемента на 4 занятия</t>
        </is>
      </c>
      <c r="F195" s="147" t="inlineStr">
        <is>
          <t>FW-L1-6ZPSE-QETU8</t>
        </is>
      </c>
      <c r="G195" s="39" t="inlineStr">
        <is>
          <t>Не использован</t>
        </is>
      </c>
      <c r="H195" s="148" t="n"/>
      <c r="I195" s="34" t="str"/>
      <c r="J195" s="34" t="str"/>
      <c r="K195" s="130" t="n">
        <v>191</v>
      </c>
      <c r="L195" s="43">
        <f>IF(COUNTIF($F$5:$F$2407,F195)=1,"OK","Дубликат")</f>
        <v/>
      </c>
    </row>
    <row r="196" ht="38" customHeight="1">
      <c r="A196" s="146" t="inlineStr">
        <is>
          <t>SUB-L1-04-10</t>
        </is>
      </c>
      <c r="B196" s="39" t="inlineStr">
        <is>
          <t>1 уровень</t>
        </is>
      </c>
      <c r="C196" s="34" t="inlineStr">
        <is>
          <t>Закрытые условия на абонементы</t>
        </is>
      </c>
      <c r="D196" s="34" t="inlineStr">
        <is>
          <t>Скидка 10% на абонемент 4 занятия</t>
        </is>
      </c>
      <c r="E196" s="34" t="inlineStr">
        <is>
          <t>При покупке абонемента на 4 занятия</t>
        </is>
      </c>
      <c r="F196" s="147" t="inlineStr">
        <is>
          <t>FW-L1-HUG5G-68GXS</t>
        </is>
      </c>
      <c r="G196" s="39" t="inlineStr">
        <is>
          <t>Не использован</t>
        </is>
      </c>
      <c r="H196" s="148" t="n"/>
      <c r="I196" s="34" t="str"/>
      <c r="J196" s="34" t="str"/>
      <c r="K196" s="130" t="n">
        <v>192</v>
      </c>
      <c r="L196" s="43">
        <f>IF(COUNTIF($F$5:$F$2407,F196)=1,"OK","Дубликат")</f>
        <v/>
      </c>
    </row>
    <row r="197" ht="38" customHeight="1">
      <c r="A197" s="146" t="inlineStr">
        <is>
          <t>SUB-L1-04-10</t>
        </is>
      </c>
      <c r="B197" s="39" t="inlineStr">
        <is>
          <t>1 уровень</t>
        </is>
      </c>
      <c r="C197" s="34" t="inlineStr">
        <is>
          <t>Закрытые условия на абонементы</t>
        </is>
      </c>
      <c r="D197" s="34" t="inlineStr">
        <is>
          <t>Скидка 10% на абонемент 4 занятия</t>
        </is>
      </c>
      <c r="E197" s="34" t="inlineStr">
        <is>
          <t>При покупке абонемента на 4 занятия</t>
        </is>
      </c>
      <c r="F197" s="147" t="inlineStr">
        <is>
          <t>FW-L1-WWVXR-VMPQV</t>
        </is>
      </c>
      <c r="G197" s="39" t="inlineStr">
        <is>
          <t>Не использован</t>
        </is>
      </c>
      <c r="H197" s="148" t="n"/>
      <c r="I197" s="34" t="str"/>
      <c r="J197" s="34" t="str"/>
      <c r="K197" s="130" t="n">
        <v>193</v>
      </c>
      <c r="L197" s="43">
        <f>IF(COUNTIF($F$5:$F$2407,F197)=1,"OK","Дубликат")</f>
        <v/>
      </c>
    </row>
    <row r="198" ht="38" customHeight="1">
      <c r="A198" s="146" t="inlineStr">
        <is>
          <t>SUB-L1-04-10</t>
        </is>
      </c>
      <c r="B198" s="39" t="inlineStr">
        <is>
          <t>1 уровень</t>
        </is>
      </c>
      <c r="C198" s="34" t="inlineStr">
        <is>
          <t>Закрытые условия на абонементы</t>
        </is>
      </c>
      <c r="D198" s="34" t="inlineStr">
        <is>
          <t>Скидка 10% на абонемент 4 занятия</t>
        </is>
      </c>
      <c r="E198" s="34" t="inlineStr">
        <is>
          <t>При покупке абонемента на 4 занятия</t>
        </is>
      </c>
      <c r="F198" s="147" t="inlineStr">
        <is>
          <t>FW-L1-J6MCL-8NUCK</t>
        </is>
      </c>
      <c r="G198" s="39" t="inlineStr">
        <is>
          <t>Не использован</t>
        </is>
      </c>
      <c r="H198" s="148" t="n"/>
      <c r="I198" s="34" t="str"/>
      <c r="J198" s="34" t="str"/>
      <c r="K198" s="130" t="n">
        <v>194</v>
      </c>
      <c r="L198" s="43">
        <f>IF(COUNTIF($F$5:$F$2407,F198)=1,"OK","Дубликат")</f>
        <v/>
      </c>
    </row>
    <row r="199" ht="38" customHeight="1">
      <c r="A199" s="146" t="inlineStr">
        <is>
          <t>SUB-L1-04-10</t>
        </is>
      </c>
      <c r="B199" s="39" t="inlineStr">
        <is>
          <t>1 уровень</t>
        </is>
      </c>
      <c r="C199" s="34" t="inlineStr">
        <is>
          <t>Закрытые условия на абонементы</t>
        </is>
      </c>
      <c r="D199" s="34" t="inlineStr">
        <is>
          <t>Скидка 10% на абонемент 4 занятия</t>
        </is>
      </c>
      <c r="E199" s="34" t="inlineStr">
        <is>
          <t>При покупке абонемента на 4 занятия</t>
        </is>
      </c>
      <c r="F199" s="147" t="inlineStr">
        <is>
          <t>FW-L1-2P2RL-5G6PC</t>
        </is>
      </c>
      <c r="G199" s="39" t="inlineStr">
        <is>
          <t>Не использован</t>
        </is>
      </c>
      <c r="H199" s="148" t="n"/>
      <c r="I199" s="34" t="str"/>
      <c r="J199" s="34" t="str"/>
      <c r="K199" s="130" t="n">
        <v>195</v>
      </c>
      <c r="L199" s="43">
        <f>IF(COUNTIF($F$5:$F$2407,F199)=1,"OK","Дубликат")</f>
        <v/>
      </c>
    </row>
    <row r="200" ht="38" customHeight="1">
      <c r="A200" s="146" t="inlineStr">
        <is>
          <t>SUB-L1-04-10</t>
        </is>
      </c>
      <c r="B200" s="39" t="inlineStr">
        <is>
          <t>1 уровень</t>
        </is>
      </c>
      <c r="C200" s="34" t="inlineStr">
        <is>
          <t>Закрытые условия на абонементы</t>
        </is>
      </c>
      <c r="D200" s="34" t="inlineStr">
        <is>
          <t>Скидка 10% на абонемент 4 занятия</t>
        </is>
      </c>
      <c r="E200" s="34" t="inlineStr">
        <is>
          <t>При покупке абонемента на 4 занятия</t>
        </is>
      </c>
      <c r="F200" s="147" t="inlineStr">
        <is>
          <t>FW-L1-NHFXF-CTV4N</t>
        </is>
      </c>
      <c r="G200" s="39" t="inlineStr">
        <is>
          <t>Не использован</t>
        </is>
      </c>
      <c r="H200" s="148" t="n"/>
      <c r="I200" s="34" t="str"/>
      <c r="J200" s="34" t="str"/>
      <c r="K200" s="130" t="n">
        <v>196</v>
      </c>
      <c r="L200" s="43">
        <f>IF(COUNTIF($F$5:$F$2407,F200)=1,"OK","Дубликат")</f>
        <v/>
      </c>
    </row>
    <row r="201" ht="38" customHeight="1">
      <c r="A201" s="146" t="inlineStr">
        <is>
          <t>SUB-L1-04-10</t>
        </is>
      </c>
      <c r="B201" s="39" t="inlineStr">
        <is>
          <t>1 уровень</t>
        </is>
      </c>
      <c r="C201" s="34" t="inlineStr">
        <is>
          <t>Закрытые условия на абонементы</t>
        </is>
      </c>
      <c r="D201" s="34" t="inlineStr">
        <is>
          <t>Скидка 10% на абонемент 4 занятия</t>
        </is>
      </c>
      <c r="E201" s="34" t="inlineStr">
        <is>
          <t>При покупке абонемента на 4 занятия</t>
        </is>
      </c>
      <c r="F201" s="147" t="inlineStr">
        <is>
          <t>FW-L1-5UHCC-GV326</t>
        </is>
      </c>
      <c r="G201" s="39" t="inlineStr">
        <is>
          <t>Не использован</t>
        </is>
      </c>
      <c r="H201" s="148" t="n"/>
      <c r="I201" s="34" t="str"/>
      <c r="J201" s="34" t="str"/>
      <c r="K201" s="130" t="n">
        <v>197</v>
      </c>
      <c r="L201" s="43">
        <f>IF(COUNTIF($F$5:$F$2407,F201)=1,"OK","Дубликат")</f>
        <v/>
      </c>
    </row>
    <row r="202" ht="38" customHeight="1">
      <c r="A202" s="146" t="inlineStr">
        <is>
          <t>SUB-L1-04-10</t>
        </is>
      </c>
      <c r="B202" s="39" t="inlineStr">
        <is>
          <t>1 уровень</t>
        </is>
      </c>
      <c r="C202" s="34" t="inlineStr">
        <is>
          <t>Закрытые условия на абонементы</t>
        </is>
      </c>
      <c r="D202" s="34" t="inlineStr">
        <is>
          <t>Скидка 10% на абонемент 4 занятия</t>
        </is>
      </c>
      <c r="E202" s="34" t="inlineStr">
        <is>
          <t>При покупке абонемента на 4 занятия</t>
        </is>
      </c>
      <c r="F202" s="147" t="inlineStr">
        <is>
          <t>FW-L1-AYM6Z-NE5GR</t>
        </is>
      </c>
      <c r="G202" s="39" t="inlineStr">
        <is>
          <t>Не использован</t>
        </is>
      </c>
      <c r="H202" s="148" t="n"/>
      <c r="I202" s="34" t="str"/>
      <c r="J202" s="34" t="str"/>
      <c r="K202" s="130" t="n">
        <v>198</v>
      </c>
      <c r="L202" s="43">
        <f>IF(COUNTIF($F$5:$F$2407,F202)=1,"OK","Дубликат")</f>
        <v/>
      </c>
    </row>
    <row r="203" ht="38" customHeight="1">
      <c r="A203" s="146" t="inlineStr">
        <is>
          <t>SUB-L1-04-10</t>
        </is>
      </c>
      <c r="B203" s="39" t="inlineStr">
        <is>
          <t>1 уровень</t>
        </is>
      </c>
      <c r="C203" s="34" t="inlineStr">
        <is>
          <t>Закрытые условия на абонементы</t>
        </is>
      </c>
      <c r="D203" s="34" t="inlineStr">
        <is>
          <t>Скидка 10% на абонемент 4 занятия</t>
        </is>
      </c>
      <c r="E203" s="34" t="inlineStr">
        <is>
          <t>При покупке абонемента на 4 занятия</t>
        </is>
      </c>
      <c r="F203" s="147" t="inlineStr">
        <is>
          <t>FW-L1-CZ2SD-5XY24</t>
        </is>
      </c>
      <c r="G203" s="39" t="inlineStr">
        <is>
          <t>Не использован</t>
        </is>
      </c>
      <c r="H203" s="148" t="n"/>
      <c r="I203" s="34" t="str"/>
      <c r="J203" s="34" t="str"/>
      <c r="K203" s="130" t="n">
        <v>199</v>
      </c>
      <c r="L203" s="43">
        <f>IF(COUNTIF($F$5:$F$2407,F203)=1,"OK","Дубликат")</f>
        <v/>
      </c>
    </row>
    <row r="204" ht="38" customHeight="1">
      <c r="A204" s="146" t="inlineStr">
        <is>
          <t>SUB-L1-04-10</t>
        </is>
      </c>
      <c r="B204" s="39" t="inlineStr">
        <is>
          <t>1 уровень</t>
        </is>
      </c>
      <c r="C204" s="34" t="inlineStr">
        <is>
          <t>Закрытые условия на абонементы</t>
        </is>
      </c>
      <c r="D204" s="34" t="inlineStr">
        <is>
          <t>Скидка 10% на абонемент 4 занятия</t>
        </is>
      </c>
      <c r="E204" s="34" t="inlineStr">
        <is>
          <t>При покупке абонемента на 4 занятия</t>
        </is>
      </c>
      <c r="F204" s="147" t="inlineStr">
        <is>
          <t>FW-L1-WX2C3-M6A7A</t>
        </is>
      </c>
      <c r="G204" s="39" t="inlineStr">
        <is>
          <t>Не использован</t>
        </is>
      </c>
      <c r="H204" s="148" t="n"/>
      <c r="I204" s="34" t="str"/>
      <c r="J204" s="34" t="str"/>
      <c r="K204" s="130" t="n">
        <v>200</v>
      </c>
      <c r="L204" s="43">
        <f>IF(COUNTIF($F$5:$F$2407,F204)=1,"OK","Дубликат")</f>
        <v/>
      </c>
    </row>
    <row r="205" ht="38" customHeight="1">
      <c r="A205" s="146" t="inlineStr">
        <is>
          <t>SUB-L1-08-10</t>
        </is>
      </c>
      <c r="B205" s="39" t="inlineStr">
        <is>
          <t>1 уровень</t>
        </is>
      </c>
      <c r="C205" s="34" t="inlineStr">
        <is>
          <t>Закрытые условия на абонементы</t>
        </is>
      </c>
      <c r="D205" s="34" t="inlineStr">
        <is>
          <t>Скидка 10% на абонемент 8 занятий</t>
        </is>
      </c>
      <c r="E205" s="34" t="inlineStr">
        <is>
          <t>При покупке абонемента на 8 занятий</t>
        </is>
      </c>
      <c r="F205" s="147" t="inlineStr">
        <is>
          <t>FW-L1-EJ95W-46EQD</t>
        </is>
      </c>
      <c r="G205" s="39" t="inlineStr">
        <is>
          <t>Не использован</t>
        </is>
      </c>
      <c r="H205" s="148" t="n"/>
      <c r="I205" s="34" t="str"/>
      <c r="J205" s="34" t="str"/>
      <c r="K205" s="130" t="n">
        <v>1</v>
      </c>
      <c r="L205" s="43">
        <f>IF(COUNTIF($F$5:$F$2407,F205)=1,"OK","Дубликат")</f>
        <v/>
      </c>
    </row>
    <row r="206" ht="38" customHeight="1">
      <c r="A206" s="146" t="inlineStr">
        <is>
          <t>SUB-L1-08-10</t>
        </is>
      </c>
      <c r="B206" s="39" t="inlineStr">
        <is>
          <t>1 уровень</t>
        </is>
      </c>
      <c r="C206" s="34" t="inlineStr">
        <is>
          <t>Закрытые условия на абонементы</t>
        </is>
      </c>
      <c r="D206" s="34" t="inlineStr">
        <is>
          <t>Скидка 10% на абонемент 8 занятий</t>
        </is>
      </c>
      <c r="E206" s="34" t="inlineStr">
        <is>
          <t>При покупке абонемента на 8 занятий</t>
        </is>
      </c>
      <c r="F206" s="147" t="inlineStr">
        <is>
          <t>FW-L1-RD3ZG-TANCG</t>
        </is>
      </c>
      <c r="G206" s="39" t="inlineStr">
        <is>
          <t>Не использован</t>
        </is>
      </c>
      <c r="H206" s="148" t="n"/>
      <c r="I206" s="34" t="str"/>
      <c r="J206" s="34" t="str"/>
      <c r="K206" s="130" t="n">
        <v>2</v>
      </c>
      <c r="L206" s="43">
        <f>IF(COUNTIF($F$5:$F$2407,F206)=1,"OK","Дубликат")</f>
        <v/>
      </c>
    </row>
    <row r="207" ht="38" customHeight="1">
      <c r="A207" s="146" t="inlineStr">
        <is>
          <t>SUB-L1-08-10</t>
        </is>
      </c>
      <c r="B207" s="39" t="inlineStr">
        <is>
          <t>1 уровень</t>
        </is>
      </c>
      <c r="C207" s="34" t="inlineStr">
        <is>
          <t>Закрытые условия на абонементы</t>
        </is>
      </c>
      <c r="D207" s="34" t="inlineStr">
        <is>
          <t>Скидка 10% на абонемент 8 занятий</t>
        </is>
      </c>
      <c r="E207" s="34" t="inlineStr">
        <is>
          <t>При покупке абонемента на 8 занятий</t>
        </is>
      </c>
      <c r="F207" s="147" t="inlineStr">
        <is>
          <t>FW-L1-CZEL9-UPXJQ</t>
        </is>
      </c>
      <c r="G207" s="39" t="inlineStr">
        <is>
          <t>Не использован</t>
        </is>
      </c>
      <c r="H207" s="148" t="n"/>
      <c r="I207" s="34" t="str"/>
      <c r="J207" s="34" t="str"/>
      <c r="K207" s="130" t="n">
        <v>3</v>
      </c>
      <c r="L207" s="43">
        <f>IF(COUNTIF($F$5:$F$2407,F207)=1,"OK","Дубликат")</f>
        <v/>
      </c>
    </row>
    <row r="208" ht="38" customHeight="1">
      <c r="A208" s="146" t="inlineStr">
        <is>
          <t>SUB-L1-08-10</t>
        </is>
      </c>
      <c r="B208" s="39" t="inlineStr">
        <is>
          <t>1 уровень</t>
        </is>
      </c>
      <c r="C208" s="34" t="inlineStr">
        <is>
          <t>Закрытые условия на абонементы</t>
        </is>
      </c>
      <c r="D208" s="34" t="inlineStr">
        <is>
          <t>Скидка 10% на абонемент 8 занятий</t>
        </is>
      </c>
      <c r="E208" s="34" t="inlineStr">
        <is>
          <t>При покупке абонемента на 8 занятий</t>
        </is>
      </c>
      <c r="F208" s="147" t="inlineStr">
        <is>
          <t>FW-L1-F9L94-93KZZ</t>
        </is>
      </c>
      <c r="G208" s="39" t="inlineStr">
        <is>
          <t>Не использован</t>
        </is>
      </c>
      <c r="H208" s="148" t="n"/>
      <c r="I208" s="34" t="str"/>
      <c r="J208" s="34" t="str"/>
      <c r="K208" s="130" t="n">
        <v>4</v>
      </c>
      <c r="L208" s="43">
        <f>IF(COUNTIF($F$5:$F$2407,F208)=1,"OK","Дубликат")</f>
        <v/>
      </c>
    </row>
    <row r="209" ht="38" customHeight="1">
      <c r="A209" s="146" t="inlineStr">
        <is>
          <t>SUB-L1-08-10</t>
        </is>
      </c>
      <c r="B209" s="39" t="inlineStr">
        <is>
          <t>1 уровень</t>
        </is>
      </c>
      <c r="C209" s="34" t="inlineStr">
        <is>
          <t>Закрытые условия на абонементы</t>
        </is>
      </c>
      <c r="D209" s="34" t="inlineStr">
        <is>
          <t>Скидка 10% на абонемент 8 занятий</t>
        </is>
      </c>
      <c r="E209" s="34" t="inlineStr">
        <is>
          <t>При покупке абонемента на 8 занятий</t>
        </is>
      </c>
      <c r="F209" s="147" t="inlineStr">
        <is>
          <t>FW-L1-UWN6C-V63JW</t>
        </is>
      </c>
      <c r="G209" s="39" t="inlineStr">
        <is>
          <t>Не использован</t>
        </is>
      </c>
      <c r="H209" s="148" t="n"/>
      <c r="I209" s="34" t="str"/>
      <c r="J209" s="34" t="str"/>
      <c r="K209" s="130" t="n">
        <v>5</v>
      </c>
      <c r="L209" s="43">
        <f>IF(COUNTIF($F$5:$F$2407,F209)=1,"OK","Дубликат")</f>
        <v/>
      </c>
    </row>
    <row r="210" ht="38" customHeight="1">
      <c r="A210" s="146" t="inlineStr">
        <is>
          <t>SUB-L1-08-10</t>
        </is>
      </c>
      <c r="B210" s="39" t="inlineStr">
        <is>
          <t>1 уровень</t>
        </is>
      </c>
      <c r="C210" s="34" t="inlineStr">
        <is>
          <t>Закрытые условия на абонементы</t>
        </is>
      </c>
      <c r="D210" s="34" t="inlineStr">
        <is>
          <t>Скидка 10% на абонемент 8 занятий</t>
        </is>
      </c>
      <c r="E210" s="34" t="inlineStr">
        <is>
          <t>При покупке абонемента на 8 занятий</t>
        </is>
      </c>
      <c r="F210" s="147" t="inlineStr">
        <is>
          <t>FW-L1-6UC5J-RYCRB</t>
        </is>
      </c>
      <c r="G210" s="39" t="inlineStr">
        <is>
          <t>Не использован</t>
        </is>
      </c>
      <c r="H210" s="148" t="n"/>
      <c r="I210" s="34" t="str"/>
      <c r="J210" s="34" t="str"/>
      <c r="K210" s="130" t="n">
        <v>6</v>
      </c>
      <c r="L210" s="43">
        <f>IF(COUNTIF($F$5:$F$2407,F210)=1,"OK","Дубликат")</f>
        <v/>
      </c>
    </row>
    <row r="211" ht="38" customHeight="1">
      <c r="A211" s="146" t="inlineStr">
        <is>
          <t>SUB-L1-08-10</t>
        </is>
      </c>
      <c r="B211" s="39" t="inlineStr">
        <is>
          <t>1 уровень</t>
        </is>
      </c>
      <c r="C211" s="34" t="inlineStr">
        <is>
          <t>Закрытые условия на абонементы</t>
        </is>
      </c>
      <c r="D211" s="34" t="inlineStr">
        <is>
          <t>Скидка 10% на абонемент 8 занятий</t>
        </is>
      </c>
      <c r="E211" s="34" t="inlineStr">
        <is>
          <t>При покупке абонемента на 8 занятий</t>
        </is>
      </c>
      <c r="F211" s="147" t="inlineStr">
        <is>
          <t>FW-L1-Q8PEQ-DLS7G</t>
        </is>
      </c>
      <c r="G211" s="39" t="inlineStr">
        <is>
          <t>Не использован</t>
        </is>
      </c>
      <c r="H211" s="148" t="n"/>
      <c r="I211" s="34" t="str"/>
      <c r="J211" s="34" t="str"/>
      <c r="K211" s="130" t="n">
        <v>7</v>
      </c>
      <c r="L211" s="43">
        <f>IF(COUNTIF($F$5:$F$2407,F211)=1,"OK","Дубликат")</f>
        <v/>
      </c>
    </row>
    <row r="212" ht="38" customHeight="1">
      <c r="A212" s="146" t="inlineStr">
        <is>
          <t>SUB-L1-08-10</t>
        </is>
      </c>
      <c r="B212" s="39" t="inlineStr">
        <is>
          <t>1 уровень</t>
        </is>
      </c>
      <c r="C212" s="34" t="inlineStr">
        <is>
          <t>Закрытые условия на абонементы</t>
        </is>
      </c>
      <c r="D212" s="34" t="inlineStr">
        <is>
          <t>Скидка 10% на абонемент 8 занятий</t>
        </is>
      </c>
      <c r="E212" s="34" t="inlineStr">
        <is>
          <t>При покупке абонемента на 8 занятий</t>
        </is>
      </c>
      <c r="F212" s="147" t="inlineStr">
        <is>
          <t>FW-L1-79PY5-N6SKF</t>
        </is>
      </c>
      <c r="G212" s="39" t="inlineStr">
        <is>
          <t>Не использован</t>
        </is>
      </c>
      <c r="H212" s="148" t="n"/>
      <c r="I212" s="34" t="str"/>
      <c r="J212" s="34" t="str"/>
      <c r="K212" s="130" t="n">
        <v>8</v>
      </c>
      <c r="L212" s="43">
        <f>IF(COUNTIF($F$5:$F$2407,F212)=1,"OK","Дубликат")</f>
        <v/>
      </c>
    </row>
    <row r="213" ht="38" customHeight="1">
      <c r="A213" s="146" t="inlineStr">
        <is>
          <t>SUB-L1-08-10</t>
        </is>
      </c>
      <c r="B213" s="39" t="inlineStr">
        <is>
          <t>1 уровень</t>
        </is>
      </c>
      <c r="C213" s="34" t="inlineStr">
        <is>
          <t>Закрытые условия на абонементы</t>
        </is>
      </c>
      <c r="D213" s="34" t="inlineStr">
        <is>
          <t>Скидка 10% на абонемент 8 занятий</t>
        </is>
      </c>
      <c r="E213" s="34" t="inlineStr">
        <is>
          <t>При покупке абонемента на 8 занятий</t>
        </is>
      </c>
      <c r="F213" s="147" t="inlineStr">
        <is>
          <t>FW-L1-BU87T-YRKP3</t>
        </is>
      </c>
      <c r="G213" s="39" t="inlineStr">
        <is>
          <t>Не использован</t>
        </is>
      </c>
      <c r="H213" s="148" t="n"/>
      <c r="I213" s="34" t="str"/>
      <c r="J213" s="34" t="str"/>
      <c r="K213" s="130" t="n">
        <v>9</v>
      </c>
      <c r="L213" s="43">
        <f>IF(COUNTIF($F$5:$F$2407,F213)=1,"OK","Дубликат")</f>
        <v/>
      </c>
    </row>
    <row r="214" ht="38" customHeight="1">
      <c r="A214" s="146" t="inlineStr">
        <is>
          <t>SUB-L1-08-10</t>
        </is>
      </c>
      <c r="B214" s="39" t="inlineStr">
        <is>
          <t>1 уровень</t>
        </is>
      </c>
      <c r="C214" s="34" t="inlineStr">
        <is>
          <t>Закрытые условия на абонементы</t>
        </is>
      </c>
      <c r="D214" s="34" t="inlineStr">
        <is>
          <t>Скидка 10% на абонемент 8 занятий</t>
        </is>
      </c>
      <c r="E214" s="34" t="inlineStr">
        <is>
          <t>При покупке абонемента на 8 занятий</t>
        </is>
      </c>
      <c r="F214" s="147" t="inlineStr">
        <is>
          <t>FW-L1-VSJR5-Q3C6B</t>
        </is>
      </c>
      <c r="G214" s="39" t="inlineStr">
        <is>
          <t>Не использован</t>
        </is>
      </c>
      <c r="H214" s="148" t="n"/>
      <c r="I214" s="34" t="str"/>
      <c r="J214" s="34" t="str"/>
      <c r="K214" s="130" t="n">
        <v>10</v>
      </c>
      <c r="L214" s="43">
        <f>IF(COUNTIF($F$5:$F$2407,F214)=1,"OK","Дубликат")</f>
        <v/>
      </c>
    </row>
    <row r="215" ht="38" customHeight="1">
      <c r="A215" s="146" t="inlineStr">
        <is>
          <t>SUB-L1-08-10</t>
        </is>
      </c>
      <c r="B215" s="39" t="inlineStr">
        <is>
          <t>1 уровень</t>
        </is>
      </c>
      <c r="C215" s="34" t="inlineStr">
        <is>
          <t>Закрытые условия на абонементы</t>
        </is>
      </c>
      <c r="D215" s="34" t="inlineStr">
        <is>
          <t>Скидка 10% на абонемент 8 занятий</t>
        </is>
      </c>
      <c r="E215" s="34" t="inlineStr">
        <is>
          <t>При покупке абонемента на 8 занятий</t>
        </is>
      </c>
      <c r="F215" s="147" t="inlineStr">
        <is>
          <t>FW-L1-NNFYR-KZ9T7</t>
        </is>
      </c>
      <c r="G215" s="39" t="inlineStr">
        <is>
          <t>Не использован</t>
        </is>
      </c>
      <c r="H215" s="148" t="n"/>
      <c r="I215" s="34" t="str"/>
      <c r="J215" s="34" t="str"/>
      <c r="K215" s="130" t="n">
        <v>11</v>
      </c>
      <c r="L215" s="43">
        <f>IF(COUNTIF($F$5:$F$2407,F215)=1,"OK","Дубликат")</f>
        <v/>
      </c>
    </row>
    <row r="216" ht="38" customHeight="1">
      <c r="A216" s="146" t="inlineStr">
        <is>
          <t>SUB-L1-08-10</t>
        </is>
      </c>
      <c r="B216" s="39" t="inlineStr">
        <is>
          <t>1 уровень</t>
        </is>
      </c>
      <c r="C216" s="34" t="inlineStr">
        <is>
          <t>Закрытые условия на абонементы</t>
        </is>
      </c>
      <c r="D216" s="34" t="inlineStr">
        <is>
          <t>Скидка 10% на абонемент 8 занятий</t>
        </is>
      </c>
      <c r="E216" s="34" t="inlineStr">
        <is>
          <t>При покупке абонемента на 8 занятий</t>
        </is>
      </c>
      <c r="F216" s="147" t="inlineStr">
        <is>
          <t>FW-L1-P4JCT-ZN9LU</t>
        </is>
      </c>
      <c r="G216" s="39" t="inlineStr">
        <is>
          <t>Не использован</t>
        </is>
      </c>
      <c r="H216" s="148" t="n"/>
      <c r="I216" s="34" t="str"/>
      <c r="J216" s="34" t="str"/>
      <c r="K216" s="130" t="n">
        <v>12</v>
      </c>
      <c r="L216" s="43">
        <f>IF(COUNTIF($F$5:$F$2407,F216)=1,"OK","Дубликат")</f>
        <v/>
      </c>
    </row>
    <row r="217" ht="38" customHeight="1">
      <c r="A217" s="146" t="inlineStr">
        <is>
          <t>SUB-L1-08-10</t>
        </is>
      </c>
      <c r="B217" s="39" t="inlineStr">
        <is>
          <t>1 уровень</t>
        </is>
      </c>
      <c r="C217" s="34" t="inlineStr">
        <is>
          <t>Закрытые условия на абонементы</t>
        </is>
      </c>
      <c r="D217" s="34" t="inlineStr">
        <is>
          <t>Скидка 10% на абонемент 8 занятий</t>
        </is>
      </c>
      <c r="E217" s="34" t="inlineStr">
        <is>
          <t>При покупке абонемента на 8 занятий</t>
        </is>
      </c>
      <c r="F217" s="147" t="inlineStr">
        <is>
          <t>FW-L1-67SPS-L37FA</t>
        </is>
      </c>
      <c r="G217" s="39" t="inlineStr">
        <is>
          <t>Не использован</t>
        </is>
      </c>
      <c r="H217" s="148" t="n"/>
      <c r="I217" s="34" t="str"/>
      <c r="J217" s="34" t="str"/>
      <c r="K217" s="130" t="n">
        <v>13</v>
      </c>
      <c r="L217" s="43">
        <f>IF(COUNTIF($F$5:$F$2407,F217)=1,"OK","Дубликат")</f>
        <v/>
      </c>
    </row>
    <row r="218" ht="38" customHeight="1">
      <c r="A218" s="146" t="inlineStr">
        <is>
          <t>SUB-L1-08-10</t>
        </is>
      </c>
      <c r="B218" s="39" t="inlineStr">
        <is>
          <t>1 уровень</t>
        </is>
      </c>
      <c r="C218" s="34" t="inlineStr">
        <is>
          <t>Закрытые условия на абонементы</t>
        </is>
      </c>
      <c r="D218" s="34" t="inlineStr">
        <is>
          <t>Скидка 10% на абонемент 8 занятий</t>
        </is>
      </c>
      <c r="E218" s="34" t="inlineStr">
        <is>
          <t>При покупке абонемента на 8 занятий</t>
        </is>
      </c>
      <c r="F218" s="147" t="inlineStr">
        <is>
          <t>FW-L1-JS9N6-ZX6J9</t>
        </is>
      </c>
      <c r="G218" s="39" t="inlineStr">
        <is>
          <t>Не использован</t>
        </is>
      </c>
      <c r="H218" s="148" t="n"/>
      <c r="I218" s="34" t="str"/>
      <c r="J218" s="34" t="str"/>
      <c r="K218" s="130" t="n">
        <v>14</v>
      </c>
      <c r="L218" s="43">
        <f>IF(COUNTIF($F$5:$F$2407,F218)=1,"OK","Дубликат")</f>
        <v/>
      </c>
    </row>
    <row r="219" ht="38" customHeight="1">
      <c r="A219" s="146" t="inlineStr">
        <is>
          <t>SUB-L1-08-10</t>
        </is>
      </c>
      <c r="B219" s="39" t="inlineStr">
        <is>
          <t>1 уровень</t>
        </is>
      </c>
      <c r="C219" s="34" t="inlineStr">
        <is>
          <t>Закрытые условия на абонементы</t>
        </is>
      </c>
      <c r="D219" s="34" t="inlineStr">
        <is>
          <t>Скидка 10% на абонемент 8 занятий</t>
        </is>
      </c>
      <c r="E219" s="34" t="inlineStr">
        <is>
          <t>При покупке абонемента на 8 занятий</t>
        </is>
      </c>
      <c r="F219" s="147" t="inlineStr">
        <is>
          <t>FW-L1-JGFLZ-KJKVE</t>
        </is>
      </c>
      <c r="G219" s="39" t="inlineStr">
        <is>
          <t>Не использован</t>
        </is>
      </c>
      <c r="H219" s="148" t="n"/>
      <c r="I219" s="34" t="str"/>
      <c r="J219" s="34" t="str"/>
      <c r="K219" s="130" t="n">
        <v>15</v>
      </c>
      <c r="L219" s="43">
        <f>IF(COUNTIF($F$5:$F$2407,F219)=1,"OK","Дубликат")</f>
        <v/>
      </c>
    </row>
    <row r="220" ht="38" customHeight="1">
      <c r="A220" s="146" t="inlineStr">
        <is>
          <t>SUB-L1-08-10</t>
        </is>
      </c>
      <c r="B220" s="39" t="inlineStr">
        <is>
          <t>1 уровень</t>
        </is>
      </c>
      <c r="C220" s="34" t="inlineStr">
        <is>
          <t>Закрытые условия на абонементы</t>
        </is>
      </c>
      <c r="D220" s="34" t="inlineStr">
        <is>
          <t>Скидка 10% на абонемент 8 занятий</t>
        </is>
      </c>
      <c r="E220" s="34" t="inlineStr">
        <is>
          <t>При покупке абонемента на 8 занятий</t>
        </is>
      </c>
      <c r="F220" s="147" t="inlineStr">
        <is>
          <t>FW-L1-GA3GN-8N49F</t>
        </is>
      </c>
      <c r="G220" s="39" t="inlineStr">
        <is>
          <t>Не использован</t>
        </is>
      </c>
      <c r="H220" s="148" t="n"/>
      <c r="I220" s="34" t="str"/>
      <c r="J220" s="34" t="str"/>
      <c r="K220" s="130" t="n">
        <v>16</v>
      </c>
      <c r="L220" s="43">
        <f>IF(COUNTIF($F$5:$F$2407,F220)=1,"OK","Дубликат")</f>
        <v/>
      </c>
    </row>
    <row r="221" ht="38" customHeight="1">
      <c r="A221" s="146" t="inlineStr">
        <is>
          <t>SUB-L1-08-10</t>
        </is>
      </c>
      <c r="B221" s="39" t="inlineStr">
        <is>
          <t>1 уровень</t>
        </is>
      </c>
      <c r="C221" s="34" t="inlineStr">
        <is>
          <t>Закрытые условия на абонементы</t>
        </is>
      </c>
      <c r="D221" s="34" t="inlineStr">
        <is>
          <t>Скидка 10% на абонемент 8 занятий</t>
        </is>
      </c>
      <c r="E221" s="34" t="inlineStr">
        <is>
          <t>При покупке абонемента на 8 занятий</t>
        </is>
      </c>
      <c r="F221" s="147" t="inlineStr">
        <is>
          <t>FW-L1-ZZMMS-K8KJJ</t>
        </is>
      </c>
      <c r="G221" s="39" t="inlineStr">
        <is>
          <t>Не использован</t>
        </is>
      </c>
      <c r="H221" s="148" t="n"/>
      <c r="I221" s="34" t="str"/>
      <c r="J221" s="34" t="str"/>
      <c r="K221" s="130" t="n">
        <v>17</v>
      </c>
      <c r="L221" s="43">
        <f>IF(COUNTIF($F$5:$F$2407,F221)=1,"OK","Дубликат")</f>
        <v/>
      </c>
    </row>
    <row r="222" ht="38" customHeight="1">
      <c r="A222" s="146" t="inlineStr">
        <is>
          <t>SUB-L1-08-10</t>
        </is>
      </c>
      <c r="B222" s="39" t="inlineStr">
        <is>
          <t>1 уровень</t>
        </is>
      </c>
      <c r="C222" s="34" t="inlineStr">
        <is>
          <t>Закрытые условия на абонементы</t>
        </is>
      </c>
      <c r="D222" s="34" t="inlineStr">
        <is>
          <t>Скидка 10% на абонемент 8 занятий</t>
        </is>
      </c>
      <c r="E222" s="34" t="inlineStr">
        <is>
          <t>При покупке абонемента на 8 занятий</t>
        </is>
      </c>
      <c r="F222" s="147" t="inlineStr">
        <is>
          <t>FW-L1-9VADV-J8SR8</t>
        </is>
      </c>
      <c r="G222" s="39" t="inlineStr">
        <is>
          <t>Не использован</t>
        </is>
      </c>
      <c r="H222" s="148" t="n"/>
      <c r="I222" s="34" t="str"/>
      <c r="J222" s="34" t="str"/>
      <c r="K222" s="130" t="n">
        <v>18</v>
      </c>
      <c r="L222" s="43">
        <f>IF(COUNTIF($F$5:$F$2407,F222)=1,"OK","Дубликат")</f>
        <v/>
      </c>
    </row>
    <row r="223" ht="38" customHeight="1">
      <c r="A223" s="146" t="inlineStr">
        <is>
          <t>SUB-L1-08-10</t>
        </is>
      </c>
      <c r="B223" s="39" t="inlineStr">
        <is>
          <t>1 уровень</t>
        </is>
      </c>
      <c r="C223" s="34" t="inlineStr">
        <is>
          <t>Закрытые условия на абонементы</t>
        </is>
      </c>
      <c r="D223" s="34" t="inlineStr">
        <is>
          <t>Скидка 10% на абонемент 8 занятий</t>
        </is>
      </c>
      <c r="E223" s="34" t="inlineStr">
        <is>
          <t>При покупке абонемента на 8 занятий</t>
        </is>
      </c>
      <c r="F223" s="147" t="inlineStr">
        <is>
          <t>FW-L1-E6JZ5-HM25V</t>
        </is>
      </c>
      <c r="G223" s="39" t="inlineStr">
        <is>
          <t>Не использован</t>
        </is>
      </c>
      <c r="H223" s="148" t="n"/>
      <c r="I223" s="34" t="str"/>
      <c r="J223" s="34" t="str"/>
      <c r="K223" s="130" t="n">
        <v>19</v>
      </c>
      <c r="L223" s="43">
        <f>IF(COUNTIF($F$5:$F$2407,F223)=1,"OK","Дубликат")</f>
        <v/>
      </c>
    </row>
    <row r="224" ht="38" customHeight="1">
      <c r="A224" s="146" t="inlineStr">
        <is>
          <t>SUB-L1-08-10</t>
        </is>
      </c>
      <c r="B224" s="39" t="inlineStr">
        <is>
          <t>1 уровень</t>
        </is>
      </c>
      <c r="C224" s="34" t="inlineStr">
        <is>
          <t>Закрытые условия на абонементы</t>
        </is>
      </c>
      <c r="D224" s="34" t="inlineStr">
        <is>
          <t>Скидка 10% на абонемент 8 занятий</t>
        </is>
      </c>
      <c r="E224" s="34" t="inlineStr">
        <is>
          <t>При покупке абонемента на 8 занятий</t>
        </is>
      </c>
      <c r="F224" s="147" t="inlineStr">
        <is>
          <t>FW-L1-SFW5Q-XS2Y3</t>
        </is>
      </c>
      <c r="G224" s="39" t="inlineStr">
        <is>
          <t>Не использован</t>
        </is>
      </c>
      <c r="H224" s="148" t="n"/>
      <c r="I224" s="34" t="str"/>
      <c r="J224" s="34" t="str"/>
      <c r="K224" s="130" t="n">
        <v>20</v>
      </c>
      <c r="L224" s="43">
        <f>IF(COUNTIF($F$5:$F$2407,F224)=1,"OK","Дубликат")</f>
        <v/>
      </c>
    </row>
    <row r="225" ht="38" customHeight="1">
      <c r="A225" s="146" t="inlineStr">
        <is>
          <t>SUB-L1-08-10</t>
        </is>
      </c>
      <c r="B225" s="39" t="inlineStr">
        <is>
          <t>1 уровень</t>
        </is>
      </c>
      <c r="C225" s="34" t="inlineStr">
        <is>
          <t>Закрытые условия на абонементы</t>
        </is>
      </c>
      <c r="D225" s="34" t="inlineStr">
        <is>
          <t>Скидка 10% на абонемент 8 занятий</t>
        </is>
      </c>
      <c r="E225" s="34" t="inlineStr">
        <is>
          <t>При покупке абонемента на 8 занятий</t>
        </is>
      </c>
      <c r="F225" s="147" t="inlineStr">
        <is>
          <t>FW-L1-J8SLH-SZCRP</t>
        </is>
      </c>
      <c r="G225" s="39" t="inlineStr">
        <is>
          <t>Не использован</t>
        </is>
      </c>
      <c r="H225" s="148" t="n"/>
      <c r="I225" s="34" t="str"/>
      <c r="J225" s="34" t="str"/>
      <c r="K225" s="130" t="n">
        <v>21</v>
      </c>
      <c r="L225" s="43">
        <f>IF(COUNTIF($F$5:$F$2407,F225)=1,"OK","Дубликат")</f>
        <v/>
      </c>
    </row>
    <row r="226" ht="38" customHeight="1">
      <c r="A226" s="146" t="inlineStr">
        <is>
          <t>SUB-L1-08-10</t>
        </is>
      </c>
      <c r="B226" s="39" t="inlineStr">
        <is>
          <t>1 уровень</t>
        </is>
      </c>
      <c r="C226" s="34" t="inlineStr">
        <is>
          <t>Закрытые условия на абонементы</t>
        </is>
      </c>
      <c r="D226" s="34" t="inlineStr">
        <is>
          <t>Скидка 10% на абонемент 8 занятий</t>
        </is>
      </c>
      <c r="E226" s="34" t="inlineStr">
        <is>
          <t>При покупке абонемента на 8 занятий</t>
        </is>
      </c>
      <c r="F226" s="147" t="inlineStr">
        <is>
          <t>FW-L1-8QE8P-WZ4TF</t>
        </is>
      </c>
      <c r="G226" s="39" t="inlineStr">
        <is>
          <t>Не использован</t>
        </is>
      </c>
      <c r="H226" s="148" t="n"/>
      <c r="I226" s="34" t="str"/>
      <c r="J226" s="34" t="str"/>
      <c r="K226" s="130" t="n">
        <v>22</v>
      </c>
      <c r="L226" s="43">
        <f>IF(COUNTIF($F$5:$F$2407,F226)=1,"OK","Дубликат")</f>
        <v/>
      </c>
    </row>
    <row r="227" ht="38" customHeight="1">
      <c r="A227" s="146" t="inlineStr">
        <is>
          <t>SUB-L1-08-10</t>
        </is>
      </c>
      <c r="B227" s="39" t="inlineStr">
        <is>
          <t>1 уровень</t>
        </is>
      </c>
      <c r="C227" s="34" t="inlineStr">
        <is>
          <t>Закрытые условия на абонементы</t>
        </is>
      </c>
      <c r="D227" s="34" t="inlineStr">
        <is>
          <t>Скидка 10% на абонемент 8 занятий</t>
        </is>
      </c>
      <c r="E227" s="34" t="inlineStr">
        <is>
          <t>При покупке абонемента на 8 занятий</t>
        </is>
      </c>
      <c r="F227" s="147" t="inlineStr">
        <is>
          <t>FW-L1-H3VZ8-Y83G2</t>
        </is>
      </c>
      <c r="G227" s="39" t="inlineStr">
        <is>
          <t>Не использован</t>
        </is>
      </c>
      <c r="H227" s="148" t="n"/>
      <c r="I227" s="34" t="str"/>
      <c r="J227" s="34" t="str"/>
      <c r="K227" s="130" t="n">
        <v>23</v>
      </c>
      <c r="L227" s="43">
        <f>IF(COUNTIF($F$5:$F$2407,F227)=1,"OK","Дубликат")</f>
        <v/>
      </c>
    </row>
    <row r="228" ht="38" customHeight="1">
      <c r="A228" s="146" t="inlineStr">
        <is>
          <t>SUB-L1-08-10</t>
        </is>
      </c>
      <c r="B228" s="39" t="inlineStr">
        <is>
          <t>1 уровень</t>
        </is>
      </c>
      <c r="C228" s="34" t="inlineStr">
        <is>
          <t>Закрытые условия на абонементы</t>
        </is>
      </c>
      <c r="D228" s="34" t="inlineStr">
        <is>
          <t>Скидка 10% на абонемент 8 занятий</t>
        </is>
      </c>
      <c r="E228" s="34" t="inlineStr">
        <is>
          <t>При покупке абонемента на 8 занятий</t>
        </is>
      </c>
      <c r="F228" s="147" t="inlineStr">
        <is>
          <t>FW-L1-MHN7B-EHGLL</t>
        </is>
      </c>
      <c r="G228" s="39" t="inlineStr">
        <is>
          <t>Не использован</t>
        </is>
      </c>
      <c r="H228" s="148" t="n"/>
      <c r="I228" s="34" t="str"/>
      <c r="J228" s="34" t="str"/>
      <c r="K228" s="130" t="n">
        <v>24</v>
      </c>
      <c r="L228" s="43">
        <f>IF(COUNTIF($F$5:$F$2407,F228)=1,"OK","Дубликат")</f>
        <v/>
      </c>
    </row>
    <row r="229" ht="38" customHeight="1">
      <c r="A229" s="146" t="inlineStr">
        <is>
          <t>SUB-L1-08-10</t>
        </is>
      </c>
      <c r="B229" s="39" t="inlineStr">
        <is>
          <t>1 уровень</t>
        </is>
      </c>
      <c r="C229" s="34" t="inlineStr">
        <is>
          <t>Закрытые условия на абонементы</t>
        </is>
      </c>
      <c r="D229" s="34" t="inlineStr">
        <is>
          <t>Скидка 10% на абонемент 8 занятий</t>
        </is>
      </c>
      <c r="E229" s="34" t="inlineStr">
        <is>
          <t>При покупке абонемента на 8 занятий</t>
        </is>
      </c>
      <c r="F229" s="147" t="inlineStr">
        <is>
          <t>FW-L1-Z25ZE-EYXFG</t>
        </is>
      </c>
      <c r="G229" s="39" t="inlineStr">
        <is>
          <t>Не использован</t>
        </is>
      </c>
      <c r="H229" s="148" t="n"/>
      <c r="I229" s="34" t="str"/>
      <c r="J229" s="34" t="str"/>
      <c r="K229" s="130" t="n">
        <v>25</v>
      </c>
      <c r="L229" s="43">
        <f>IF(COUNTIF($F$5:$F$2407,F229)=1,"OK","Дубликат")</f>
        <v/>
      </c>
    </row>
    <row r="230" ht="38" customHeight="1">
      <c r="A230" s="146" t="inlineStr">
        <is>
          <t>SUB-L1-08-10</t>
        </is>
      </c>
      <c r="B230" s="39" t="inlineStr">
        <is>
          <t>1 уровень</t>
        </is>
      </c>
      <c r="C230" s="34" t="inlineStr">
        <is>
          <t>Закрытые условия на абонементы</t>
        </is>
      </c>
      <c r="D230" s="34" t="inlineStr">
        <is>
          <t>Скидка 10% на абонемент 8 занятий</t>
        </is>
      </c>
      <c r="E230" s="34" t="inlineStr">
        <is>
          <t>При покупке абонемента на 8 занятий</t>
        </is>
      </c>
      <c r="F230" s="147" t="inlineStr">
        <is>
          <t>FW-L1-ED39Q-93ET4</t>
        </is>
      </c>
      <c r="G230" s="39" t="inlineStr">
        <is>
          <t>Не использован</t>
        </is>
      </c>
      <c r="H230" s="148" t="n"/>
      <c r="I230" s="34" t="str"/>
      <c r="J230" s="34" t="str"/>
      <c r="K230" s="130" t="n">
        <v>26</v>
      </c>
      <c r="L230" s="43">
        <f>IF(COUNTIF($F$5:$F$2407,F230)=1,"OK","Дубликат")</f>
        <v/>
      </c>
    </row>
    <row r="231" ht="38" customHeight="1">
      <c r="A231" s="146" t="inlineStr">
        <is>
          <t>SUB-L1-08-10</t>
        </is>
      </c>
      <c r="B231" s="39" t="inlineStr">
        <is>
          <t>1 уровень</t>
        </is>
      </c>
      <c r="C231" s="34" t="inlineStr">
        <is>
          <t>Закрытые условия на абонементы</t>
        </is>
      </c>
      <c r="D231" s="34" t="inlineStr">
        <is>
          <t>Скидка 10% на абонемент 8 занятий</t>
        </is>
      </c>
      <c r="E231" s="34" t="inlineStr">
        <is>
          <t>При покупке абонемента на 8 занятий</t>
        </is>
      </c>
      <c r="F231" s="147" t="inlineStr">
        <is>
          <t>FW-L1-LNE9S-WT8GG</t>
        </is>
      </c>
      <c r="G231" s="39" t="inlineStr">
        <is>
          <t>Не использован</t>
        </is>
      </c>
      <c r="H231" s="148" t="n"/>
      <c r="I231" s="34" t="str"/>
      <c r="J231" s="34" t="str"/>
      <c r="K231" s="130" t="n">
        <v>27</v>
      </c>
      <c r="L231" s="43">
        <f>IF(COUNTIF($F$5:$F$2407,F231)=1,"OK","Дубликат")</f>
        <v/>
      </c>
    </row>
    <row r="232" ht="38" customHeight="1">
      <c r="A232" s="146" t="inlineStr">
        <is>
          <t>SUB-L1-08-10</t>
        </is>
      </c>
      <c r="B232" s="39" t="inlineStr">
        <is>
          <t>1 уровень</t>
        </is>
      </c>
      <c r="C232" s="34" t="inlineStr">
        <is>
          <t>Закрытые условия на абонементы</t>
        </is>
      </c>
      <c r="D232" s="34" t="inlineStr">
        <is>
          <t>Скидка 10% на абонемент 8 занятий</t>
        </is>
      </c>
      <c r="E232" s="34" t="inlineStr">
        <is>
          <t>При покупке абонемента на 8 занятий</t>
        </is>
      </c>
      <c r="F232" s="147" t="inlineStr">
        <is>
          <t>FW-L1-CTX8J-FTTDJ</t>
        </is>
      </c>
      <c r="G232" s="39" t="inlineStr">
        <is>
          <t>Не использован</t>
        </is>
      </c>
      <c r="H232" s="148" t="n"/>
      <c r="I232" s="34" t="str"/>
      <c r="J232" s="34" t="str"/>
      <c r="K232" s="130" t="n">
        <v>28</v>
      </c>
      <c r="L232" s="43">
        <f>IF(COUNTIF($F$5:$F$2407,F232)=1,"OK","Дубликат")</f>
        <v/>
      </c>
    </row>
    <row r="233" ht="38" customHeight="1">
      <c r="A233" s="146" t="inlineStr">
        <is>
          <t>SUB-L1-08-10</t>
        </is>
      </c>
      <c r="B233" s="39" t="inlineStr">
        <is>
          <t>1 уровень</t>
        </is>
      </c>
      <c r="C233" s="34" t="inlineStr">
        <is>
          <t>Закрытые условия на абонементы</t>
        </is>
      </c>
      <c r="D233" s="34" t="inlineStr">
        <is>
          <t>Скидка 10% на абонемент 8 занятий</t>
        </is>
      </c>
      <c r="E233" s="34" t="inlineStr">
        <is>
          <t>При покупке абонемента на 8 занятий</t>
        </is>
      </c>
      <c r="F233" s="147" t="inlineStr">
        <is>
          <t>FW-L1-Z7FX5-B8QXT</t>
        </is>
      </c>
      <c r="G233" s="39" t="inlineStr">
        <is>
          <t>Не использован</t>
        </is>
      </c>
      <c r="H233" s="148" t="n"/>
      <c r="I233" s="34" t="str"/>
      <c r="J233" s="34" t="str"/>
      <c r="K233" s="130" t="n">
        <v>29</v>
      </c>
      <c r="L233" s="43">
        <f>IF(COUNTIF($F$5:$F$2407,F233)=1,"OK","Дубликат")</f>
        <v/>
      </c>
    </row>
    <row r="234" ht="38" customHeight="1">
      <c r="A234" s="146" t="inlineStr">
        <is>
          <t>SUB-L1-08-10</t>
        </is>
      </c>
      <c r="B234" s="39" t="inlineStr">
        <is>
          <t>1 уровень</t>
        </is>
      </c>
      <c r="C234" s="34" t="inlineStr">
        <is>
          <t>Закрытые условия на абонементы</t>
        </is>
      </c>
      <c r="D234" s="34" t="inlineStr">
        <is>
          <t>Скидка 10% на абонемент 8 занятий</t>
        </is>
      </c>
      <c r="E234" s="34" t="inlineStr">
        <is>
          <t>При покупке абонемента на 8 занятий</t>
        </is>
      </c>
      <c r="F234" s="147" t="inlineStr">
        <is>
          <t>FW-L1-7LFXX-PA7KV</t>
        </is>
      </c>
      <c r="G234" s="39" t="inlineStr">
        <is>
          <t>Не использован</t>
        </is>
      </c>
      <c r="H234" s="148" t="n"/>
      <c r="I234" s="34" t="str"/>
      <c r="J234" s="34" t="str"/>
      <c r="K234" s="130" t="n">
        <v>30</v>
      </c>
      <c r="L234" s="43">
        <f>IF(COUNTIF($F$5:$F$2407,F234)=1,"OK","Дубликат")</f>
        <v/>
      </c>
    </row>
    <row r="235" ht="38" customHeight="1">
      <c r="A235" s="146" t="inlineStr">
        <is>
          <t>SUB-L1-08-10</t>
        </is>
      </c>
      <c r="B235" s="39" t="inlineStr">
        <is>
          <t>1 уровень</t>
        </is>
      </c>
      <c r="C235" s="34" t="inlineStr">
        <is>
          <t>Закрытые условия на абонементы</t>
        </is>
      </c>
      <c r="D235" s="34" t="inlineStr">
        <is>
          <t>Скидка 10% на абонемент 8 занятий</t>
        </is>
      </c>
      <c r="E235" s="34" t="inlineStr">
        <is>
          <t>При покупке абонемента на 8 занятий</t>
        </is>
      </c>
      <c r="F235" s="147" t="inlineStr">
        <is>
          <t>FW-L1-9QQTD-AQTCL</t>
        </is>
      </c>
      <c r="G235" s="39" t="inlineStr">
        <is>
          <t>Не использован</t>
        </is>
      </c>
      <c r="H235" s="148" t="n"/>
      <c r="I235" s="34" t="str"/>
      <c r="J235" s="34" t="str"/>
      <c r="K235" s="130" t="n">
        <v>31</v>
      </c>
      <c r="L235" s="43">
        <f>IF(COUNTIF($F$5:$F$2407,F235)=1,"OK","Дубликат")</f>
        <v/>
      </c>
    </row>
    <row r="236" ht="38" customHeight="1">
      <c r="A236" s="146" t="inlineStr">
        <is>
          <t>SUB-L1-08-10</t>
        </is>
      </c>
      <c r="B236" s="39" t="inlineStr">
        <is>
          <t>1 уровень</t>
        </is>
      </c>
      <c r="C236" s="34" t="inlineStr">
        <is>
          <t>Закрытые условия на абонементы</t>
        </is>
      </c>
      <c r="D236" s="34" t="inlineStr">
        <is>
          <t>Скидка 10% на абонемент 8 занятий</t>
        </is>
      </c>
      <c r="E236" s="34" t="inlineStr">
        <is>
          <t>При покупке абонемента на 8 занятий</t>
        </is>
      </c>
      <c r="F236" s="147" t="inlineStr">
        <is>
          <t>FW-L1-S2YAZ-PG7Q6</t>
        </is>
      </c>
      <c r="G236" s="39" t="inlineStr">
        <is>
          <t>Не использован</t>
        </is>
      </c>
      <c r="H236" s="148" t="n"/>
      <c r="I236" s="34" t="str"/>
      <c r="J236" s="34" t="str"/>
      <c r="K236" s="130" t="n">
        <v>32</v>
      </c>
      <c r="L236" s="43">
        <f>IF(COUNTIF($F$5:$F$2407,F236)=1,"OK","Дубликат")</f>
        <v/>
      </c>
    </row>
    <row r="237" ht="38" customHeight="1">
      <c r="A237" s="146" t="inlineStr">
        <is>
          <t>SUB-L1-08-10</t>
        </is>
      </c>
      <c r="B237" s="39" t="inlineStr">
        <is>
          <t>1 уровень</t>
        </is>
      </c>
      <c r="C237" s="34" t="inlineStr">
        <is>
          <t>Закрытые условия на абонементы</t>
        </is>
      </c>
      <c r="D237" s="34" t="inlineStr">
        <is>
          <t>Скидка 10% на абонемент 8 занятий</t>
        </is>
      </c>
      <c r="E237" s="34" t="inlineStr">
        <is>
          <t>При покупке абонемента на 8 занятий</t>
        </is>
      </c>
      <c r="F237" s="147" t="inlineStr">
        <is>
          <t>FW-L1-QC2LJ-JSXDU</t>
        </is>
      </c>
      <c r="G237" s="39" t="inlineStr">
        <is>
          <t>Не использован</t>
        </is>
      </c>
      <c r="H237" s="148" t="n"/>
      <c r="I237" s="34" t="str"/>
      <c r="J237" s="34" t="str"/>
      <c r="K237" s="130" t="n">
        <v>33</v>
      </c>
      <c r="L237" s="43">
        <f>IF(COUNTIF($F$5:$F$2407,F237)=1,"OK","Дубликат")</f>
        <v/>
      </c>
    </row>
    <row r="238" ht="38" customHeight="1">
      <c r="A238" s="146" t="inlineStr">
        <is>
          <t>SUB-L1-08-10</t>
        </is>
      </c>
      <c r="B238" s="39" t="inlineStr">
        <is>
          <t>1 уровень</t>
        </is>
      </c>
      <c r="C238" s="34" t="inlineStr">
        <is>
          <t>Закрытые условия на абонементы</t>
        </is>
      </c>
      <c r="D238" s="34" t="inlineStr">
        <is>
          <t>Скидка 10% на абонемент 8 занятий</t>
        </is>
      </c>
      <c r="E238" s="34" t="inlineStr">
        <is>
          <t>При покупке абонемента на 8 занятий</t>
        </is>
      </c>
      <c r="F238" s="147" t="inlineStr">
        <is>
          <t>FW-L1-UUBBZ-7S769</t>
        </is>
      </c>
      <c r="G238" s="39" t="inlineStr">
        <is>
          <t>Не использован</t>
        </is>
      </c>
      <c r="H238" s="148" t="n"/>
      <c r="I238" s="34" t="str"/>
      <c r="J238" s="34" t="str"/>
      <c r="K238" s="130" t="n">
        <v>34</v>
      </c>
      <c r="L238" s="43">
        <f>IF(COUNTIF($F$5:$F$2407,F238)=1,"OK","Дубликат")</f>
        <v/>
      </c>
    </row>
    <row r="239" ht="38" customHeight="1">
      <c r="A239" s="146" t="inlineStr">
        <is>
          <t>SUB-L1-08-10</t>
        </is>
      </c>
      <c r="B239" s="39" t="inlineStr">
        <is>
          <t>1 уровень</t>
        </is>
      </c>
      <c r="C239" s="34" t="inlineStr">
        <is>
          <t>Закрытые условия на абонементы</t>
        </is>
      </c>
      <c r="D239" s="34" t="inlineStr">
        <is>
          <t>Скидка 10% на абонемент 8 занятий</t>
        </is>
      </c>
      <c r="E239" s="34" t="inlineStr">
        <is>
          <t>При покупке абонемента на 8 занятий</t>
        </is>
      </c>
      <c r="F239" s="147" t="inlineStr">
        <is>
          <t>FW-L1-CT6RU-8A66N</t>
        </is>
      </c>
      <c r="G239" s="39" t="inlineStr">
        <is>
          <t>Не использован</t>
        </is>
      </c>
      <c r="H239" s="148" t="n"/>
      <c r="I239" s="34" t="str"/>
      <c r="J239" s="34" t="str"/>
      <c r="K239" s="130" t="n">
        <v>35</v>
      </c>
      <c r="L239" s="43">
        <f>IF(COUNTIF($F$5:$F$2407,F239)=1,"OK","Дубликат")</f>
        <v/>
      </c>
    </row>
    <row r="240" ht="38" customHeight="1">
      <c r="A240" s="146" t="inlineStr">
        <is>
          <t>SUB-L1-08-10</t>
        </is>
      </c>
      <c r="B240" s="39" t="inlineStr">
        <is>
          <t>1 уровень</t>
        </is>
      </c>
      <c r="C240" s="34" t="inlineStr">
        <is>
          <t>Закрытые условия на абонементы</t>
        </is>
      </c>
      <c r="D240" s="34" t="inlineStr">
        <is>
          <t>Скидка 10% на абонемент 8 занятий</t>
        </is>
      </c>
      <c r="E240" s="34" t="inlineStr">
        <is>
          <t>При покупке абонемента на 8 занятий</t>
        </is>
      </c>
      <c r="F240" s="147" t="inlineStr">
        <is>
          <t>FW-L1-J79HB-89PF6</t>
        </is>
      </c>
      <c r="G240" s="39" t="inlineStr">
        <is>
          <t>Не использован</t>
        </is>
      </c>
      <c r="H240" s="148" t="n"/>
      <c r="I240" s="34" t="str"/>
      <c r="J240" s="34" t="str"/>
      <c r="K240" s="130" t="n">
        <v>36</v>
      </c>
      <c r="L240" s="43">
        <f>IF(COUNTIF($F$5:$F$2407,F240)=1,"OK","Дубликат")</f>
        <v/>
      </c>
    </row>
    <row r="241" ht="38" customHeight="1">
      <c r="A241" s="146" t="inlineStr">
        <is>
          <t>SUB-L1-08-10</t>
        </is>
      </c>
      <c r="B241" s="39" t="inlineStr">
        <is>
          <t>1 уровень</t>
        </is>
      </c>
      <c r="C241" s="34" t="inlineStr">
        <is>
          <t>Закрытые условия на абонементы</t>
        </is>
      </c>
      <c r="D241" s="34" t="inlineStr">
        <is>
          <t>Скидка 10% на абонемент 8 занятий</t>
        </is>
      </c>
      <c r="E241" s="34" t="inlineStr">
        <is>
          <t>При покупке абонемента на 8 занятий</t>
        </is>
      </c>
      <c r="F241" s="147" t="inlineStr">
        <is>
          <t>FW-L1-5VGQ6-NLJSK</t>
        </is>
      </c>
      <c r="G241" s="39" t="inlineStr">
        <is>
          <t>Не использован</t>
        </is>
      </c>
      <c r="H241" s="148" t="n"/>
      <c r="I241" s="34" t="str"/>
      <c r="J241" s="34" t="str"/>
      <c r="K241" s="130" t="n">
        <v>37</v>
      </c>
      <c r="L241" s="43">
        <f>IF(COUNTIF($F$5:$F$2407,F241)=1,"OK","Дубликат")</f>
        <v/>
      </c>
    </row>
    <row r="242" ht="38" customHeight="1">
      <c r="A242" s="146" t="inlineStr">
        <is>
          <t>SUB-L1-08-10</t>
        </is>
      </c>
      <c r="B242" s="39" t="inlineStr">
        <is>
          <t>1 уровень</t>
        </is>
      </c>
      <c r="C242" s="34" t="inlineStr">
        <is>
          <t>Закрытые условия на абонементы</t>
        </is>
      </c>
      <c r="D242" s="34" t="inlineStr">
        <is>
          <t>Скидка 10% на абонемент 8 занятий</t>
        </is>
      </c>
      <c r="E242" s="34" t="inlineStr">
        <is>
          <t>При покупке абонемента на 8 занятий</t>
        </is>
      </c>
      <c r="F242" s="147" t="inlineStr">
        <is>
          <t>FW-L1-RRY5W-G49EJ</t>
        </is>
      </c>
      <c r="G242" s="39" t="inlineStr">
        <is>
          <t>Не использован</t>
        </is>
      </c>
      <c r="H242" s="148" t="n"/>
      <c r="I242" s="34" t="str"/>
      <c r="J242" s="34" t="str"/>
      <c r="K242" s="130" t="n">
        <v>38</v>
      </c>
      <c r="L242" s="43">
        <f>IF(COUNTIF($F$5:$F$2407,F242)=1,"OK","Дубликат")</f>
        <v/>
      </c>
    </row>
    <row r="243" ht="38" customHeight="1">
      <c r="A243" s="146" t="inlineStr">
        <is>
          <t>SUB-L1-08-10</t>
        </is>
      </c>
      <c r="B243" s="39" t="inlineStr">
        <is>
          <t>1 уровень</t>
        </is>
      </c>
      <c r="C243" s="34" t="inlineStr">
        <is>
          <t>Закрытые условия на абонементы</t>
        </is>
      </c>
      <c r="D243" s="34" t="inlineStr">
        <is>
          <t>Скидка 10% на абонемент 8 занятий</t>
        </is>
      </c>
      <c r="E243" s="34" t="inlineStr">
        <is>
          <t>При покупке абонемента на 8 занятий</t>
        </is>
      </c>
      <c r="F243" s="147" t="inlineStr">
        <is>
          <t>FW-L1-RANQD-JNWLX</t>
        </is>
      </c>
      <c r="G243" s="39" t="inlineStr">
        <is>
          <t>Не использован</t>
        </is>
      </c>
      <c r="H243" s="148" t="n"/>
      <c r="I243" s="34" t="str"/>
      <c r="J243" s="34" t="str"/>
      <c r="K243" s="130" t="n">
        <v>39</v>
      </c>
      <c r="L243" s="43">
        <f>IF(COUNTIF($F$5:$F$2407,F243)=1,"OK","Дубликат")</f>
        <v/>
      </c>
    </row>
    <row r="244" ht="38" customHeight="1">
      <c r="A244" s="146" t="inlineStr">
        <is>
          <t>SUB-L1-08-10</t>
        </is>
      </c>
      <c r="B244" s="39" t="inlineStr">
        <is>
          <t>1 уровень</t>
        </is>
      </c>
      <c r="C244" s="34" t="inlineStr">
        <is>
          <t>Закрытые условия на абонементы</t>
        </is>
      </c>
      <c r="D244" s="34" t="inlineStr">
        <is>
          <t>Скидка 10% на абонемент 8 занятий</t>
        </is>
      </c>
      <c r="E244" s="34" t="inlineStr">
        <is>
          <t>При покупке абонемента на 8 занятий</t>
        </is>
      </c>
      <c r="F244" s="147" t="inlineStr">
        <is>
          <t>FW-L1-QM4FQ-QAFU4</t>
        </is>
      </c>
      <c r="G244" s="39" t="inlineStr">
        <is>
          <t>Не использован</t>
        </is>
      </c>
      <c r="H244" s="148" t="n"/>
      <c r="I244" s="34" t="str"/>
      <c r="J244" s="34" t="str"/>
      <c r="K244" s="130" t="n">
        <v>40</v>
      </c>
      <c r="L244" s="43">
        <f>IF(COUNTIF($F$5:$F$2407,F244)=1,"OK","Дубликат")</f>
        <v/>
      </c>
    </row>
    <row r="245" ht="38" customHeight="1">
      <c r="A245" s="146" t="inlineStr">
        <is>
          <t>SUB-L1-08-10</t>
        </is>
      </c>
      <c r="B245" s="39" t="inlineStr">
        <is>
          <t>1 уровень</t>
        </is>
      </c>
      <c r="C245" s="34" t="inlineStr">
        <is>
          <t>Закрытые условия на абонементы</t>
        </is>
      </c>
      <c r="D245" s="34" t="inlineStr">
        <is>
          <t>Скидка 10% на абонемент 8 занятий</t>
        </is>
      </c>
      <c r="E245" s="34" t="inlineStr">
        <is>
          <t>При покупке абонемента на 8 занятий</t>
        </is>
      </c>
      <c r="F245" s="147" t="inlineStr">
        <is>
          <t>FW-L1-GTNE9-NF9CL</t>
        </is>
      </c>
      <c r="G245" s="39" t="inlineStr">
        <is>
          <t>Не использован</t>
        </is>
      </c>
      <c r="H245" s="148" t="n"/>
      <c r="I245" s="34" t="str"/>
      <c r="J245" s="34" t="str"/>
      <c r="K245" s="130" t="n">
        <v>41</v>
      </c>
      <c r="L245" s="43">
        <f>IF(COUNTIF($F$5:$F$2407,F245)=1,"OK","Дубликат")</f>
        <v/>
      </c>
    </row>
    <row r="246" ht="38" customHeight="1">
      <c r="A246" s="146" t="inlineStr">
        <is>
          <t>SUB-L1-08-10</t>
        </is>
      </c>
      <c r="B246" s="39" t="inlineStr">
        <is>
          <t>1 уровень</t>
        </is>
      </c>
      <c r="C246" s="34" t="inlineStr">
        <is>
          <t>Закрытые условия на абонементы</t>
        </is>
      </c>
      <c r="D246" s="34" t="inlineStr">
        <is>
          <t>Скидка 10% на абонемент 8 занятий</t>
        </is>
      </c>
      <c r="E246" s="34" t="inlineStr">
        <is>
          <t>При покупке абонемента на 8 занятий</t>
        </is>
      </c>
      <c r="F246" s="147" t="inlineStr">
        <is>
          <t>FW-L1-453ME-UXSG8</t>
        </is>
      </c>
      <c r="G246" s="39" t="inlineStr">
        <is>
          <t>Не использован</t>
        </is>
      </c>
      <c r="H246" s="148" t="n"/>
      <c r="I246" s="34" t="str"/>
      <c r="J246" s="34" t="str"/>
      <c r="K246" s="130" t="n">
        <v>42</v>
      </c>
      <c r="L246" s="43">
        <f>IF(COUNTIF($F$5:$F$2407,F246)=1,"OK","Дубликат")</f>
        <v/>
      </c>
    </row>
    <row r="247" ht="38" customHeight="1">
      <c r="A247" s="146" t="inlineStr">
        <is>
          <t>SUB-L1-08-10</t>
        </is>
      </c>
      <c r="B247" s="39" t="inlineStr">
        <is>
          <t>1 уровень</t>
        </is>
      </c>
      <c r="C247" s="34" t="inlineStr">
        <is>
          <t>Закрытые условия на абонементы</t>
        </is>
      </c>
      <c r="D247" s="34" t="inlineStr">
        <is>
          <t>Скидка 10% на абонемент 8 занятий</t>
        </is>
      </c>
      <c r="E247" s="34" t="inlineStr">
        <is>
          <t>При покупке абонемента на 8 занятий</t>
        </is>
      </c>
      <c r="F247" s="147" t="inlineStr">
        <is>
          <t>FW-L1-KR7KZ-QCUD6</t>
        </is>
      </c>
      <c r="G247" s="39" t="inlineStr">
        <is>
          <t>Не использован</t>
        </is>
      </c>
      <c r="H247" s="148" t="n"/>
      <c r="I247" s="34" t="str"/>
      <c r="J247" s="34" t="str"/>
      <c r="K247" s="130" t="n">
        <v>43</v>
      </c>
      <c r="L247" s="43">
        <f>IF(COUNTIF($F$5:$F$2407,F247)=1,"OK","Дубликат")</f>
        <v/>
      </c>
    </row>
    <row r="248" ht="38" customHeight="1">
      <c r="A248" s="146" t="inlineStr">
        <is>
          <t>SUB-L1-08-10</t>
        </is>
      </c>
      <c r="B248" s="39" t="inlineStr">
        <is>
          <t>1 уровень</t>
        </is>
      </c>
      <c r="C248" s="34" t="inlineStr">
        <is>
          <t>Закрытые условия на абонементы</t>
        </is>
      </c>
      <c r="D248" s="34" t="inlineStr">
        <is>
          <t>Скидка 10% на абонемент 8 занятий</t>
        </is>
      </c>
      <c r="E248" s="34" t="inlineStr">
        <is>
          <t>При покупке абонемента на 8 занятий</t>
        </is>
      </c>
      <c r="F248" s="147" t="inlineStr">
        <is>
          <t>FW-L1-RF8SU-WCN9W</t>
        </is>
      </c>
      <c r="G248" s="39" t="inlineStr">
        <is>
          <t>Не использован</t>
        </is>
      </c>
      <c r="H248" s="148" t="n"/>
      <c r="I248" s="34" t="str"/>
      <c r="J248" s="34" t="str"/>
      <c r="K248" s="130" t="n">
        <v>44</v>
      </c>
      <c r="L248" s="43">
        <f>IF(COUNTIF($F$5:$F$2407,F248)=1,"OK","Дубликат")</f>
        <v/>
      </c>
    </row>
    <row r="249" ht="38" customHeight="1">
      <c r="A249" s="146" t="inlineStr">
        <is>
          <t>SUB-L1-08-10</t>
        </is>
      </c>
      <c r="B249" s="39" t="inlineStr">
        <is>
          <t>1 уровень</t>
        </is>
      </c>
      <c r="C249" s="34" t="inlineStr">
        <is>
          <t>Закрытые условия на абонементы</t>
        </is>
      </c>
      <c r="D249" s="34" t="inlineStr">
        <is>
          <t>Скидка 10% на абонемент 8 занятий</t>
        </is>
      </c>
      <c r="E249" s="34" t="inlineStr">
        <is>
          <t>При покупке абонемента на 8 занятий</t>
        </is>
      </c>
      <c r="F249" s="147" t="inlineStr">
        <is>
          <t>FW-L1-C8YKW-8WFA7</t>
        </is>
      </c>
      <c r="G249" s="39" t="inlineStr">
        <is>
          <t>Не использован</t>
        </is>
      </c>
      <c r="H249" s="148" t="n"/>
      <c r="I249" s="34" t="str"/>
      <c r="J249" s="34" t="str"/>
      <c r="K249" s="130" t="n">
        <v>45</v>
      </c>
      <c r="L249" s="43">
        <f>IF(COUNTIF($F$5:$F$2407,F249)=1,"OK","Дубликат")</f>
        <v/>
      </c>
    </row>
    <row r="250" ht="38" customHeight="1">
      <c r="A250" s="146" t="inlineStr">
        <is>
          <t>SUB-L1-08-10</t>
        </is>
      </c>
      <c r="B250" s="39" t="inlineStr">
        <is>
          <t>1 уровень</t>
        </is>
      </c>
      <c r="C250" s="34" t="inlineStr">
        <is>
          <t>Закрытые условия на абонементы</t>
        </is>
      </c>
      <c r="D250" s="34" t="inlineStr">
        <is>
          <t>Скидка 10% на абонемент 8 занятий</t>
        </is>
      </c>
      <c r="E250" s="34" t="inlineStr">
        <is>
          <t>При покупке абонемента на 8 занятий</t>
        </is>
      </c>
      <c r="F250" s="147" t="inlineStr">
        <is>
          <t>FW-L1-YYNKH-7X89Q</t>
        </is>
      </c>
      <c r="G250" s="39" t="inlineStr">
        <is>
          <t>Не использован</t>
        </is>
      </c>
      <c r="H250" s="148" t="n"/>
      <c r="I250" s="34" t="str"/>
      <c r="J250" s="34" t="str"/>
      <c r="K250" s="130" t="n">
        <v>46</v>
      </c>
      <c r="L250" s="43">
        <f>IF(COUNTIF($F$5:$F$2407,F250)=1,"OK","Дубликат")</f>
        <v/>
      </c>
    </row>
    <row r="251" ht="38" customHeight="1">
      <c r="A251" s="146" t="inlineStr">
        <is>
          <t>SUB-L1-08-10</t>
        </is>
      </c>
      <c r="B251" s="39" t="inlineStr">
        <is>
          <t>1 уровень</t>
        </is>
      </c>
      <c r="C251" s="34" t="inlineStr">
        <is>
          <t>Закрытые условия на абонементы</t>
        </is>
      </c>
      <c r="D251" s="34" t="inlineStr">
        <is>
          <t>Скидка 10% на абонемент 8 занятий</t>
        </is>
      </c>
      <c r="E251" s="34" t="inlineStr">
        <is>
          <t>При покупке абонемента на 8 занятий</t>
        </is>
      </c>
      <c r="F251" s="147" t="inlineStr">
        <is>
          <t>FW-L1-X6AEA-ZVXM9</t>
        </is>
      </c>
      <c r="G251" s="39" t="inlineStr">
        <is>
          <t>Не использован</t>
        </is>
      </c>
      <c r="H251" s="148" t="n"/>
      <c r="I251" s="34" t="str"/>
      <c r="J251" s="34" t="str"/>
      <c r="K251" s="130" t="n">
        <v>47</v>
      </c>
      <c r="L251" s="43">
        <f>IF(COUNTIF($F$5:$F$2407,F251)=1,"OK","Дубликат")</f>
        <v/>
      </c>
    </row>
    <row r="252" ht="38" customHeight="1">
      <c r="A252" s="146" t="inlineStr">
        <is>
          <t>SUB-L1-08-10</t>
        </is>
      </c>
      <c r="B252" s="39" t="inlineStr">
        <is>
          <t>1 уровень</t>
        </is>
      </c>
      <c r="C252" s="34" t="inlineStr">
        <is>
          <t>Закрытые условия на абонементы</t>
        </is>
      </c>
      <c r="D252" s="34" t="inlineStr">
        <is>
          <t>Скидка 10% на абонемент 8 занятий</t>
        </is>
      </c>
      <c r="E252" s="34" t="inlineStr">
        <is>
          <t>При покупке абонемента на 8 занятий</t>
        </is>
      </c>
      <c r="F252" s="147" t="inlineStr">
        <is>
          <t>FW-L1-2LP3S-GXPW2</t>
        </is>
      </c>
      <c r="G252" s="39" t="inlineStr">
        <is>
          <t>Не использован</t>
        </is>
      </c>
      <c r="H252" s="148" t="n"/>
      <c r="I252" s="34" t="str"/>
      <c r="J252" s="34" t="str"/>
      <c r="K252" s="130" t="n">
        <v>48</v>
      </c>
      <c r="L252" s="43">
        <f>IF(COUNTIF($F$5:$F$2407,F252)=1,"OK","Дубликат")</f>
        <v/>
      </c>
    </row>
    <row r="253" ht="38" customHeight="1">
      <c r="A253" s="146" t="inlineStr">
        <is>
          <t>SUB-L1-08-10</t>
        </is>
      </c>
      <c r="B253" s="39" t="inlineStr">
        <is>
          <t>1 уровень</t>
        </is>
      </c>
      <c r="C253" s="34" t="inlineStr">
        <is>
          <t>Закрытые условия на абонементы</t>
        </is>
      </c>
      <c r="D253" s="34" t="inlineStr">
        <is>
          <t>Скидка 10% на абонемент 8 занятий</t>
        </is>
      </c>
      <c r="E253" s="34" t="inlineStr">
        <is>
          <t>При покупке абонемента на 8 занятий</t>
        </is>
      </c>
      <c r="F253" s="147" t="inlineStr">
        <is>
          <t>FW-L1-RA62G-G9Q7A</t>
        </is>
      </c>
      <c r="G253" s="39" t="inlineStr">
        <is>
          <t>Не использован</t>
        </is>
      </c>
      <c r="H253" s="148" t="n"/>
      <c r="I253" s="34" t="str"/>
      <c r="J253" s="34" t="str"/>
      <c r="K253" s="130" t="n">
        <v>49</v>
      </c>
      <c r="L253" s="43">
        <f>IF(COUNTIF($F$5:$F$2407,F253)=1,"OK","Дубликат")</f>
        <v/>
      </c>
    </row>
    <row r="254" ht="38" customHeight="1">
      <c r="A254" s="146" t="inlineStr">
        <is>
          <t>SUB-L1-08-10</t>
        </is>
      </c>
      <c r="B254" s="39" t="inlineStr">
        <is>
          <t>1 уровень</t>
        </is>
      </c>
      <c r="C254" s="34" t="inlineStr">
        <is>
          <t>Закрытые условия на абонементы</t>
        </is>
      </c>
      <c r="D254" s="34" t="inlineStr">
        <is>
          <t>Скидка 10% на абонемент 8 занятий</t>
        </is>
      </c>
      <c r="E254" s="34" t="inlineStr">
        <is>
          <t>При покупке абонемента на 8 занятий</t>
        </is>
      </c>
      <c r="F254" s="147" t="inlineStr">
        <is>
          <t>FW-L1-6JR3R-Z77XY</t>
        </is>
      </c>
      <c r="G254" s="39" t="inlineStr">
        <is>
          <t>Не использован</t>
        </is>
      </c>
      <c r="H254" s="148" t="n"/>
      <c r="I254" s="34" t="str"/>
      <c r="J254" s="34" t="str"/>
      <c r="K254" s="130" t="n">
        <v>50</v>
      </c>
      <c r="L254" s="43">
        <f>IF(COUNTIF($F$5:$F$2407,F254)=1,"OK","Дубликат")</f>
        <v/>
      </c>
    </row>
    <row r="255" ht="38" customHeight="1">
      <c r="A255" s="146" t="inlineStr">
        <is>
          <t>SUB-L1-08-10</t>
        </is>
      </c>
      <c r="B255" s="39" t="inlineStr">
        <is>
          <t>1 уровень</t>
        </is>
      </c>
      <c r="C255" s="34" t="inlineStr">
        <is>
          <t>Закрытые условия на абонементы</t>
        </is>
      </c>
      <c r="D255" s="34" t="inlineStr">
        <is>
          <t>Скидка 10% на абонемент 8 занятий</t>
        </is>
      </c>
      <c r="E255" s="34" t="inlineStr">
        <is>
          <t>При покупке абонемента на 8 занятий</t>
        </is>
      </c>
      <c r="F255" s="147" t="inlineStr">
        <is>
          <t>FW-L1-GTGG9-UUFFT</t>
        </is>
      </c>
      <c r="G255" s="39" t="inlineStr">
        <is>
          <t>Не использован</t>
        </is>
      </c>
      <c r="H255" s="148" t="n"/>
      <c r="I255" s="34" t="str"/>
      <c r="J255" s="34" t="str"/>
      <c r="K255" s="130" t="n">
        <v>51</v>
      </c>
      <c r="L255" s="43">
        <f>IF(COUNTIF($F$5:$F$2407,F255)=1,"OK","Дубликат")</f>
        <v/>
      </c>
    </row>
    <row r="256" ht="38" customHeight="1">
      <c r="A256" s="146" t="inlineStr">
        <is>
          <t>SUB-L1-08-10</t>
        </is>
      </c>
      <c r="B256" s="39" t="inlineStr">
        <is>
          <t>1 уровень</t>
        </is>
      </c>
      <c r="C256" s="34" t="inlineStr">
        <is>
          <t>Закрытые условия на абонементы</t>
        </is>
      </c>
      <c r="D256" s="34" t="inlineStr">
        <is>
          <t>Скидка 10% на абонемент 8 занятий</t>
        </is>
      </c>
      <c r="E256" s="34" t="inlineStr">
        <is>
          <t>При покупке абонемента на 8 занятий</t>
        </is>
      </c>
      <c r="F256" s="147" t="inlineStr">
        <is>
          <t>FW-L1-TQ2ZU-FGH94</t>
        </is>
      </c>
      <c r="G256" s="39" t="inlineStr">
        <is>
          <t>Не использован</t>
        </is>
      </c>
      <c r="H256" s="148" t="n"/>
      <c r="I256" s="34" t="str"/>
      <c r="J256" s="34" t="str"/>
      <c r="K256" s="130" t="n">
        <v>52</v>
      </c>
      <c r="L256" s="43">
        <f>IF(COUNTIF($F$5:$F$2407,F256)=1,"OK","Дубликат")</f>
        <v/>
      </c>
    </row>
    <row r="257" ht="38" customHeight="1">
      <c r="A257" s="146" t="inlineStr">
        <is>
          <t>SUB-L1-08-10</t>
        </is>
      </c>
      <c r="B257" s="39" t="inlineStr">
        <is>
          <t>1 уровень</t>
        </is>
      </c>
      <c r="C257" s="34" t="inlineStr">
        <is>
          <t>Закрытые условия на абонементы</t>
        </is>
      </c>
      <c r="D257" s="34" t="inlineStr">
        <is>
          <t>Скидка 10% на абонемент 8 занятий</t>
        </is>
      </c>
      <c r="E257" s="34" t="inlineStr">
        <is>
          <t>При покупке абонемента на 8 занятий</t>
        </is>
      </c>
      <c r="F257" s="147" t="inlineStr">
        <is>
          <t>FW-L1-F5LKS-5ZVQA</t>
        </is>
      </c>
      <c r="G257" s="39" t="inlineStr">
        <is>
          <t>Не использован</t>
        </is>
      </c>
      <c r="H257" s="148" t="n"/>
      <c r="I257" s="34" t="str"/>
      <c r="J257" s="34" t="str"/>
      <c r="K257" s="130" t="n">
        <v>53</v>
      </c>
      <c r="L257" s="43">
        <f>IF(COUNTIF($F$5:$F$2407,F257)=1,"OK","Дубликат")</f>
        <v/>
      </c>
    </row>
    <row r="258" ht="38" customHeight="1">
      <c r="A258" s="146" t="inlineStr">
        <is>
          <t>SUB-L1-08-10</t>
        </is>
      </c>
      <c r="B258" s="39" t="inlineStr">
        <is>
          <t>1 уровень</t>
        </is>
      </c>
      <c r="C258" s="34" t="inlineStr">
        <is>
          <t>Закрытые условия на абонементы</t>
        </is>
      </c>
      <c r="D258" s="34" t="inlineStr">
        <is>
          <t>Скидка 10% на абонемент 8 занятий</t>
        </is>
      </c>
      <c r="E258" s="34" t="inlineStr">
        <is>
          <t>При покупке абонемента на 8 занятий</t>
        </is>
      </c>
      <c r="F258" s="147" t="inlineStr">
        <is>
          <t>FW-L1-VSXGZ-UBXYX</t>
        </is>
      </c>
      <c r="G258" s="39" t="inlineStr">
        <is>
          <t>Не использован</t>
        </is>
      </c>
      <c r="H258" s="148" t="n"/>
      <c r="I258" s="34" t="str"/>
      <c r="J258" s="34" t="str"/>
      <c r="K258" s="130" t="n">
        <v>54</v>
      </c>
      <c r="L258" s="43">
        <f>IF(COUNTIF($F$5:$F$2407,F258)=1,"OK","Дубликат")</f>
        <v/>
      </c>
    </row>
    <row r="259" ht="38" customHeight="1">
      <c r="A259" s="146" t="inlineStr">
        <is>
          <t>SUB-L1-08-10</t>
        </is>
      </c>
      <c r="B259" s="39" t="inlineStr">
        <is>
          <t>1 уровень</t>
        </is>
      </c>
      <c r="C259" s="34" t="inlineStr">
        <is>
          <t>Закрытые условия на абонементы</t>
        </is>
      </c>
      <c r="D259" s="34" t="inlineStr">
        <is>
          <t>Скидка 10% на абонемент 8 занятий</t>
        </is>
      </c>
      <c r="E259" s="34" t="inlineStr">
        <is>
          <t>При покупке абонемента на 8 занятий</t>
        </is>
      </c>
      <c r="F259" s="147" t="inlineStr">
        <is>
          <t>FW-L1-JVU2S-HLKXD</t>
        </is>
      </c>
      <c r="G259" s="39" t="inlineStr">
        <is>
          <t>Не использован</t>
        </is>
      </c>
      <c r="H259" s="148" t="n"/>
      <c r="I259" s="34" t="str"/>
      <c r="J259" s="34" t="str"/>
      <c r="K259" s="130" t="n">
        <v>55</v>
      </c>
      <c r="L259" s="43">
        <f>IF(COUNTIF($F$5:$F$2407,F259)=1,"OK","Дубликат")</f>
        <v/>
      </c>
    </row>
    <row r="260" ht="38" customHeight="1">
      <c r="A260" s="146" t="inlineStr">
        <is>
          <t>SUB-L1-08-10</t>
        </is>
      </c>
      <c r="B260" s="39" t="inlineStr">
        <is>
          <t>1 уровень</t>
        </is>
      </c>
      <c r="C260" s="34" t="inlineStr">
        <is>
          <t>Закрытые условия на абонементы</t>
        </is>
      </c>
      <c r="D260" s="34" t="inlineStr">
        <is>
          <t>Скидка 10% на абонемент 8 занятий</t>
        </is>
      </c>
      <c r="E260" s="34" t="inlineStr">
        <is>
          <t>При покупке абонемента на 8 занятий</t>
        </is>
      </c>
      <c r="F260" s="147" t="inlineStr">
        <is>
          <t>FW-L1-GPUKG-JYEPN</t>
        </is>
      </c>
      <c r="G260" s="39" t="inlineStr">
        <is>
          <t>Не использован</t>
        </is>
      </c>
      <c r="H260" s="148" t="n"/>
      <c r="I260" s="34" t="str"/>
      <c r="J260" s="34" t="str"/>
      <c r="K260" s="130" t="n">
        <v>56</v>
      </c>
      <c r="L260" s="43">
        <f>IF(COUNTIF($F$5:$F$2407,F260)=1,"OK","Дубликат")</f>
        <v/>
      </c>
    </row>
    <row r="261" ht="38" customHeight="1">
      <c r="A261" s="146" t="inlineStr">
        <is>
          <t>SUB-L1-08-10</t>
        </is>
      </c>
      <c r="B261" s="39" t="inlineStr">
        <is>
          <t>1 уровень</t>
        </is>
      </c>
      <c r="C261" s="34" t="inlineStr">
        <is>
          <t>Закрытые условия на абонементы</t>
        </is>
      </c>
      <c r="D261" s="34" t="inlineStr">
        <is>
          <t>Скидка 10% на абонемент 8 занятий</t>
        </is>
      </c>
      <c r="E261" s="34" t="inlineStr">
        <is>
          <t>При покупке абонемента на 8 занятий</t>
        </is>
      </c>
      <c r="F261" s="147" t="inlineStr">
        <is>
          <t>FW-L1-CNNKB-S9VSL</t>
        </is>
      </c>
      <c r="G261" s="39" t="inlineStr">
        <is>
          <t>Не использован</t>
        </is>
      </c>
      <c r="H261" s="148" t="n"/>
      <c r="I261" s="34" t="str"/>
      <c r="J261" s="34" t="str"/>
      <c r="K261" s="130" t="n">
        <v>57</v>
      </c>
      <c r="L261" s="43">
        <f>IF(COUNTIF($F$5:$F$2407,F261)=1,"OK","Дубликат")</f>
        <v/>
      </c>
    </row>
    <row r="262" ht="38" customHeight="1">
      <c r="A262" s="146" t="inlineStr">
        <is>
          <t>SUB-L1-08-10</t>
        </is>
      </c>
      <c r="B262" s="39" t="inlineStr">
        <is>
          <t>1 уровень</t>
        </is>
      </c>
      <c r="C262" s="34" t="inlineStr">
        <is>
          <t>Закрытые условия на абонементы</t>
        </is>
      </c>
      <c r="D262" s="34" t="inlineStr">
        <is>
          <t>Скидка 10% на абонемент 8 занятий</t>
        </is>
      </c>
      <c r="E262" s="34" t="inlineStr">
        <is>
          <t>При покупке абонемента на 8 занятий</t>
        </is>
      </c>
      <c r="F262" s="147" t="inlineStr">
        <is>
          <t>FW-L1-4UY7D-C7WVK</t>
        </is>
      </c>
      <c r="G262" s="39" t="inlineStr">
        <is>
          <t>Не использован</t>
        </is>
      </c>
      <c r="H262" s="148" t="n"/>
      <c r="I262" s="34" t="str"/>
      <c r="J262" s="34" t="str"/>
      <c r="K262" s="130" t="n">
        <v>58</v>
      </c>
      <c r="L262" s="43">
        <f>IF(COUNTIF($F$5:$F$2407,F262)=1,"OK","Дубликат")</f>
        <v/>
      </c>
    </row>
    <row r="263" ht="38" customHeight="1">
      <c r="A263" s="146" t="inlineStr">
        <is>
          <t>SUB-L1-08-10</t>
        </is>
      </c>
      <c r="B263" s="39" t="inlineStr">
        <is>
          <t>1 уровень</t>
        </is>
      </c>
      <c r="C263" s="34" t="inlineStr">
        <is>
          <t>Закрытые условия на абонементы</t>
        </is>
      </c>
      <c r="D263" s="34" t="inlineStr">
        <is>
          <t>Скидка 10% на абонемент 8 занятий</t>
        </is>
      </c>
      <c r="E263" s="34" t="inlineStr">
        <is>
          <t>При покупке абонемента на 8 занятий</t>
        </is>
      </c>
      <c r="F263" s="147" t="inlineStr">
        <is>
          <t>FW-L1-94ANE-SE9ZV</t>
        </is>
      </c>
      <c r="G263" s="39" t="inlineStr">
        <is>
          <t>Не использован</t>
        </is>
      </c>
      <c r="H263" s="148" t="n"/>
      <c r="I263" s="34" t="str"/>
      <c r="J263" s="34" t="str"/>
      <c r="K263" s="130" t="n">
        <v>59</v>
      </c>
      <c r="L263" s="43">
        <f>IF(COUNTIF($F$5:$F$2407,F263)=1,"OK","Дубликат")</f>
        <v/>
      </c>
    </row>
    <row r="264" ht="38" customHeight="1">
      <c r="A264" s="146" t="inlineStr">
        <is>
          <t>SUB-L1-08-10</t>
        </is>
      </c>
      <c r="B264" s="39" t="inlineStr">
        <is>
          <t>1 уровень</t>
        </is>
      </c>
      <c r="C264" s="34" t="inlineStr">
        <is>
          <t>Закрытые условия на абонементы</t>
        </is>
      </c>
      <c r="D264" s="34" t="inlineStr">
        <is>
          <t>Скидка 10% на абонемент 8 занятий</t>
        </is>
      </c>
      <c r="E264" s="34" t="inlineStr">
        <is>
          <t>При покупке абонемента на 8 занятий</t>
        </is>
      </c>
      <c r="F264" s="147" t="inlineStr">
        <is>
          <t>FW-L1-C2RHC-V4C8Y</t>
        </is>
      </c>
      <c r="G264" s="39" t="inlineStr">
        <is>
          <t>Не использован</t>
        </is>
      </c>
      <c r="H264" s="148" t="n"/>
      <c r="I264" s="34" t="str"/>
      <c r="J264" s="34" t="str"/>
      <c r="K264" s="130" t="n">
        <v>60</v>
      </c>
      <c r="L264" s="43">
        <f>IF(COUNTIF($F$5:$F$2407,F264)=1,"OK","Дубликат")</f>
        <v/>
      </c>
    </row>
    <row r="265" ht="38" customHeight="1">
      <c r="A265" s="146" t="inlineStr">
        <is>
          <t>SUB-L1-08-10</t>
        </is>
      </c>
      <c r="B265" s="39" t="inlineStr">
        <is>
          <t>1 уровень</t>
        </is>
      </c>
      <c r="C265" s="34" t="inlineStr">
        <is>
          <t>Закрытые условия на абонементы</t>
        </is>
      </c>
      <c r="D265" s="34" t="inlineStr">
        <is>
          <t>Скидка 10% на абонемент 8 занятий</t>
        </is>
      </c>
      <c r="E265" s="34" t="inlineStr">
        <is>
          <t>При покупке абонемента на 8 занятий</t>
        </is>
      </c>
      <c r="F265" s="147" t="inlineStr">
        <is>
          <t>FW-L1-VWXZ4-TC4TB</t>
        </is>
      </c>
      <c r="G265" s="39" t="inlineStr">
        <is>
          <t>Не использован</t>
        </is>
      </c>
      <c r="H265" s="148" t="n"/>
      <c r="I265" s="34" t="str"/>
      <c r="J265" s="34" t="str"/>
      <c r="K265" s="130" t="n">
        <v>61</v>
      </c>
      <c r="L265" s="43">
        <f>IF(COUNTIF($F$5:$F$2407,F265)=1,"OK","Дубликат")</f>
        <v/>
      </c>
    </row>
    <row r="266" ht="38" customHeight="1">
      <c r="A266" s="146" t="inlineStr">
        <is>
          <t>SUB-L1-08-10</t>
        </is>
      </c>
      <c r="B266" s="39" t="inlineStr">
        <is>
          <t>1 уровень</t>
        </is>
      </c>
      <c r="C266" s="34" t="inlineStr">
        <is>
          <t>Закрытые условия на абонементы</t>
        </is>
      </c>
      <c r="D266" s="34" t="inlineStr">
        <is>
          <t>Скидка 10% на абонемент 8 занятий</t>
        </is>
      </c>
      <c r="E266" s="34" t="inlineStr">
        <is>
          <t>При покупке абонемента на 8 занятий</t>
        </is>
      </c>
      <c r="F266" s="147" t="inlineStr">
        <is>
          <t>FW-L1-UWMKV-64C65</t>
        </is>
      </c>
      <c r="G266" s="39" t="inlineStr">
        <is>
          <t>Не использован</t>
        </is>
      </c>
      <c r="H266" s="148" t="n"/>
      <c r="I266" s="34" t="str"/>
      <c r="J266" s="34" t="str"/>
      <c r="K266" s="130" t="n">
        <v>62</v>
      </c>
      <c r="L266" s="43">
        <f>IF(COUNTIF($F$5:$F$2407,F266)=1,"OK","Дубликат")</f>
        <v/>
      </c>
    </row>
    <row r="267" ht="38" customHeight="1">
      <c r="A267" s="146" t="inlineStr">
        <is>
          <t>SUB-L1-08-10</t>
        </is>
      </c>
      <c r="B267" s="39" t="inlineStr">
        <is>
          <t>1 уровень</t>
        </is>
      </c>
      <c r="C267" s="34" t="inlineStr">
        <is>
          <t>Закрытые условия на абонементы</t>
        </is>
      </c>
      <c r="D267" s="34" t="inlineStr">
        <is>
          <t>Скидка 10% на абонемент 8 занятий</t>
        </is>
      </c>
      <c r="E267" s="34" t="inlineStr">
        <is>
          <t>При покупке абонемента на 8 занятий</t>
        </is>
      </c>
      <c r="F267" s="147" t="inlineStr">
        <is>
          <t>FW-L1-8ZMHC-P6H4J</t>
        </is>
      </c>
      <c r="G267" s="39" t="inlineStr">
        <is>
          <t>Не использован</t>
        </is>
      </c>
      <c r="H267" s="148" t="n"/>
      <c r="I267" s="34" t="str"/>
      <c r="J267" s="34" t="str"/>
      <c r="K267" s="130" t="n">
        <v>63</v>
      </c>
      <c r="L267" s="43">
        <f>IF(COUNTIF($F$5:$F$2407,F267)=1,"OK","Дубликат")</f>
        <v/>
      </c>
    </row>
    <row r="268" ht="38" customHeight="1">
      <c r="A268" s="146" t="inlineStr">
        <is>
          <t>SUB-L1-08-10</t>
        </is>
      </c>
      <c r="B268" s="39" t="inlineStr">
        <is>
          <t>1 уровень</t>
        </is>
      </c>
      <c r="C268" s="34" t="inlineStr">
        <is>
          <t>Закрытые условия на абонементы</t>
        </is>
      </c>
      <c r="D268" s="34" t="inlineStr">
        <is>
          <t>Скидка 10% на абонемент 8 занятий</t>
        </is>
      </c>
      <c r="E268" s="34" t="inlineStr">
        <is>
          <t>При покупке абонемента на 8 занятий</t>
        </is>
      </c>
      <c r="F268" s="147" t="inlineStr">
        <is>
          <t>FW-L1-RVMPU-RXL2D</t>
        </is>
      </c>
      <c r="G268" s="39" t="inlineStr">
        <is>
          <t>Не использован</t>
        </is>
      </c>
      <c r="H268" s="148" t="n"/>
      <c r="I268" s="34" t="str"/>
      <c r="J268" s="34" t="str"/>
      <c r="K268" s="130" t="n">
        <v>64</v>
      </c>
      <c r="L268" s="43">
        <f>IF(COUNTIF($F$5:$F$2407,F268)=1,"OK","Дубликат")</f>
        <v/>
      </c>
    </row>
    <row r="269" ht="38" customHeight="1">
      <c r="A269" s="146" t="inlineStr">
        <is>
          <t>SUB-L1-08-10</t>
        </is>
      </c>
      <c r="B269" s="39" t="inlineStr">
        <is>
          <t>1 уровень</t>
        </is>
      </c>
      <c r="C269" s="34" t="inlineStr">
        <is>
          <t>Закрытые условия на абонементы</t>
        </is>
      </c>
      <c r="D269" s="34" t="inlineStr">
        <is>
          <t>Скидка 10% на абонемент 8 занятий</t>
        </is>
      </c>
      <c r="E269" s="34" t="inlineStr">
        <is>
          <t>При покупке абонемента на 8 занятий</t>
        </is>
      </c>
      <c r="F269" s="147" t="inlineStr">
        <is>
          <t>FW-L1-NSFCY-AWZPR</t>
        </is>
      </c>
      <c r="G269" s="39" t="inlineStr">
        <is>
          <t>Не использован</t>
        </is>
      </c>
      <c r="H269" s="148" t="n"/>
      <c r="I269" s="34" t="str"/>
      <c r="J269" s="34" t="str"/>
      <c r="K269" s="130" t="n">
        <v>65</v>
      </c>
      <c r="L269" s="43">
        <f>IF(COUNTIF($F$5:$F$2407,F269)=1,"OK","Дубликат")</f>
        <v/>
      </c>
    </row>
    <row r="270" ht="38" customHeight="1">
      <c r="A270" s="146" t="inlineStr">
        <is>
          <t>SUB-L1-08-10</t>
        </is>
      </c>
      <c r="B270" s="39" t="inlineStr">
        <is>
          <t>1 уровень</t>
        </is>
      </c>
      <c r="C270" s="34" t="inlineStr">
        <is>
          <t>Закрытые условия на абонементы</t>
        </is>
      </c>
      <c r="D270" s="34" t="inlineStr">
        <is>
          <t>Скидка 10% на абонемент 8 занятий</t>
        </is>
      </c>
      <c r="E270" s="34" t="inlineStr">
        <is>
          <t>При покупке абонемента на 8 занятий</t>
        </is>
      </c>
      <c r="F270" s="147" t="inlineStr">
        <is>
          <t>FW-L1-RB3X4-82RLJ</t>
        </is>
      </c>
      <c r="G270" s="39" t="inlineStr">
        <is>
          <t>Не использован</t>
        </is>
      </c>
      <c r="H270" s="148" t="n"/>
      <c r="I270" s="34" t="str"/>
      <c r="J270" s="34" t="str"/>
      <c r="K270" s="130" t="n">
        <v>66</v>
      </c>
      <c r="L270" s="43">
        <f>IF(COUNTIF($F$5:$F$2407,F270)=1,"OK","Дубликат")</f>
        <v/>
      </c>
    </row>
    <row r="271" ht="38" customHeight="1">
      <c r="A271" s="146" t="inlineStr">
        <is>
          <t>SUB-L1-08-10</t>
        </is>
      </c>
      <c r="B271" s="39" t="inlineStr">
        <is>
          <t>1 уровень</t>
        </is>
      </c>
      <c r="C271" s="34" t="inlineStr">
        <is>
          <t>Закрытые условия на абонементы</t>
        </is>
      </c>
      <c r="D271" s="34" t="inlineStr">
        <is>
          <t>Скидка 10% на абонемент 8 занятий</t>
        </is>
      </c>
      <c r="E271" s="34" t="inlineStr">
        <is>
          <t>При покупке абонемента на 8 занятий</t>
        </is>
      </c>
      <c r="F271" s="147" t="inlineStr">
        <is>
          <t>FW-L1-BAJ96-H5DZU</t>
        </is>
      </c>
      <c r="G271" s="39" t="inlineStr">
        <is>
          <t>Не использован</t>
        </is>
      </c>
      <c r="H271" s="148" t="n"/>
      <c r="I271" s="34" t="str"/>
      <c r="J271" s="34" t="str"/>
      <c r="K271" s="130" t="n">
        <v>67</v>
      </c>
      <c r="L271" s="43">
        <f>IF(COUNTIF($F$5:$F$2407,F271)=1,"OK","Дубликат")</f>
        <v/>
      </c>
    </row>
    <row r="272" ht="38" customHeight="1">
      <c r="A272" s="146" t="inlineStr">
        <is>
          <t>SUB-L1-08-10</t>
        </is>
      </c>
      <c r="B272" s="39" t="inlineStr">
        <is>
          <t>1 уровень</t>
        </is>
      </c>
      <c r="C272" s="34" t="inlineStr">
        <is>
          <t>Закрытые условия на абонементы</t>
        </is>
      </c>
      <c r="D272" s="34" t="inlineStr">
        <is>
          <t>Скидка 10% на абонемент 8 занятий</t>
        </is>
      </c>
      <c r="E272" s="34" t="inlineStr">
        <is>
          <t>При покупке абонемента на 8 занятий</t>
        </is>
      </c>
      <c r="F272" s="147" t="inlineStr">
        <is>
          <t>FW-L1-84GDK-G4D9U</t>
        </is>
      </c>
      <c r="G272" s="39" t="inlineStr">
        <is>
          <t>Не использован</t>
        </is>
      </c>
      <c r="H272" s="148" t="n"/>
      <c r="I272" s="34" t="str"/>
      <c r="J272" s="34" t="str"/>
      <c r="K272" s="130" t="n">
        <v>68</v>
      </c>
      <c r="L272" s="43">
        <f>IF(COUNTIF($F$5:$F$2407,F272)=1,"OK","Дубликат")</f>
        <v/>
      </c>
    </row>
    <row r="273" ht="38" customHeight="1">
      <c r="A273" s="146" t="inlineStr">
        <is>
          <t>SUB-L1-08-10</t>
        </is>
      </c>
      <c r="B273" s="39" t="inlineStr">
        <is>
          <t>1 уровень</t>
        </is>
      </c>
      <c r="C273" s="34" t="inlineStr">
        <is>
          <t>Закрытые условия на абонементы</t>
        </is>
      </c>
      <c r="D273" s="34" t="inlineStr">
        <is>
          <t>Скидка 10% на абонемент 8 занятий</t>
        </is>
      </c>
      <c r="E273" s="34" t="inlineStr">
        <is>
          <t>При покупке абонемента на 8 занятий</t>
        </is>
      </c>
      <c r="F273" s="147" t="inlineStr">
        <is>
          <t>FW-L1-TC746-RBLNP</t>
        </is>
      </c>
      <c r="G273" s="39" t="inlineStr">
        <is>
          <t>Не использован</t>
        </is>
      </c>
      <c r="H273" s="148" t="n"/>
      <c r="I273" s="34" t="str"/>
      <c r="J273" s="34" t="str"/>
      <c r="K273" s="130" t="n">
        <v>69</v>
      </c>
      <c r="L273" s="43">
        <f>IF(COUNTIF($F$5:$F$2407,F273)=1,"OK","Дубликат")</f>
        <v/>
      </c>
    </row>
    <row r="274" ht="38" customHeight="1">
      <c r="A274" s="146" t="inlineStr">
        <is>
          <t>SUB-L1-08-10</t>
        </is>
      </c>
      <c r="B274" s="39" t="inlineStr">
        <is>
          <t>1 уровень</t>
        </is>
      </c>
      <c r="C274" s="34" t="inlineStr">
        <is>
          <t>Закрытые условия на абонементы</t>
        </is>
      </c>
      <c r="D274" s="34" t="inlineStr">
        <is>
          <t>Скидка 10% на абонемент 8 занятий</t>
        </is>
      </c>
      <c r="E274" s="34" t="inlineStr">
        <is>
          <t>При покупке абонемента на 8 занятий</t>
        </is>
      </c>
      <c r="F274" s="147" t="inlineStr">
        <is>
          <t>FW-L1-3XXSB-HES9K</t>
        </is>
      </c>
      <c r="G274" s="39" t="inlineStr">
        <is>
          <t>Не использован</t>
        </is>
      </c>
      <c r="H274" s="148" t="n"/>
      <c r="I274" s="34" t="str"/>
      <c r="J274" s="34" t="str"/>
      <c r="K274" s="130" t="n">
        <v>70</v>
      </c>
      <c r="L274" s="43">
        <f>IF(COUNTIF($F$5:$F$2407,F274)=1,"OK","Дубликат")</f>
        <v/>
      </c>
    </row>
    <row r="275" ht="38" customHeight="1">
      <c r="A275" s="146" t="inlineStr">
        <is>
          <t>SUB-L1-08-10</t>
        </is>
      </c>
      <c r="B275" s="39" t="inlineStr">
        <is>
          <t>1 уровень</t>
        </is>
      </c>
      <c r="C275" s="34" t="inlineStr">
        <is>
          <t>Закрытые условия на абонементы</t>
        </is>
      </c>
      <c r="D275" s="34" t="inlineStr">
        <is>
          <t>Скидка 10% на абонемент 8 занятий</t>
        </is>
      </c>
      <c r="E275" s="34" t="inlineStr">
        <is>
          <t>При покупке абонемента на 8 занятий</t>
        </is>
      </c>
      <c r="F275" s="147" t="inlineStr">
        <is>
          <t>FW-L1-LSE25-5UCM9</t>
        </is>
      </c>
      <c r="G275" s="39" t="inlineStr">
        <is>
          <t>Не использован</t>
        </is>
      </c>
      <c r="H275" s="148" t="n"/>
      <c r="I275" s="34" t="str"/>
      <c r="J275" s="34" t="str"/>
      <c r="K275" s="130" t="n">
        <v>71</v>
      </c>
      <c r="L275" s="43">
        <f>IF(COUNTIF($F$5:$F$2407,F275)=1,"OK","Дубликат")</f>
        <v/>
      </c>
    </row>
    <row r="276" ht="38" customHeight="1">
      <c r="A276" s="146" t="inlineStr">
        <is>
          <t>SUB-L1-08-10</t>
        </is>
      </c>
      <c r="B276" s="39" t="inlineStr">
        <is>
          <t>1 уровень</t>
        </is>
      </c>
      <c r="C276" s="34" t="inlineStr">
        <is>
          <t>Закрытые условия на абонементы</t>
        </is>
      </c>
      <c r="D276" s="34" t="inlineStr">
        <is>
          <t>Скидка 10% на абонемент 8 занятий</t>
        </is>
      </c>
      <c r="E276" s="34" t="inlineStr">
        <is>
          <t>При покупке абонемента на 8 занятий</t>
        </is>
      </c>
      <c r="F276" s="147" t="inlineStr">
        <is>
          <t>FW-L1-ESZT8-NFZYD</t>
        </is>
      </c>
      <c r="G276" s="39" t="inlineStr">
        <is>
          <t>Не использован</t>
        </is>
      </c>
      <c r="H276" s="148" t="n"/>
      <c r="I276" s="34" t="str"/>
      <c r="J276" s="34" t="str"/>
      <c r="K276" s="130" t="n">
        <v>72</v>
      </c>
      <c r="L276" s="43">
        <f>IF(COUNTIF($F$5:$F$2407,F276)=1,"OK","Дубликат")</f>
        <v/>
      </c>
    </row>
    <row r="277" ht="38" customHeight="1">
      <c r="A277" s="146" t="inlineStr">
        <is>
          <t>SUB-L1-08-10</t>
        </is>
      </c>
      <c r="B277" s="39" t="inlineStr">
        <is>
          <t>1 уровень</t>
        </is>
      </c>
      <c r="C277" s="34" t="inlineStr">
        <is>
          <t>Закрытые условия на абонементы</t>
        </is>
      </c>
      <c r="D277" s="34" t="inlineStr">
        <is>
          <t>Скидка 10% на абонемент 8 занятий</t>
        </is>
      </c>
      <c r="E277" s="34" t="inlineStr">
        <is>
          <t>При покупке абонемента на 8 занятий</t>
        </is>
      </c>
      <c r="F277" s="147" t="inlineStr">
        <is>
          <t>FW-L1-NJGJR-PHW7X</t>
        </is>
      </c>
      <c r="G277" s="39" t="inlineStr">
        <is>
          <t>Не использован</t>
        </is>
      </c>
      <c r="H277" s="148" t="n"/>
      <c r="I277" s="34" t="str"/>
      <c r="J277" s="34" t="str"/>
      <c r="K277" s="130" t="n">
        <v>73</v>
      </c>
      <c r="L277" s="43">
        <f>IF(COUNTIF($F$5:$F$2407,F277)=1,"OK","Дубликат")</f>
        <v/>
      </c>
    </row>
    <row r="278" ht="38" customHeight="1">
      <c r="A278" s="146" t="inlineStr">
        <is>
          <t>SUB-L1-08-10</t>
        </is>
      </c>
      <c r="B278" s="39" t="inlineStr">
        <is>
          <t>1 уровень</t>
        </is>
      </c>
      <c r="C278" s="34" t="inlineStr">
        <is>
          <t>Закрытые условия на абонементы</t>
        </is>
      </c>
      <c r="D278" s="34" t="inlineStr">
        <is>
          <t>Скидка 10% на абонемент 8 занятий</t>
        </is>
      </c>
      <c r="E278" s="34" t="inlineStr">
        <is>
          <t>При покупке абонемента на 8 занятий</t>
        </is>
      </c>
      <c r="F278" s="147" t="inlineStr">
        <is>
          <t>FW-L1-CVWFC-3B8U5</t>
        </is>
      </c>
      <c r="G278" s="39" t="inlineStr">
        <is>
          <t>Не использован</t>
        </is>
      </c>
      <c r="H278" s="148" t="n"/>
      <c r="I278" s="34" t="str"/>
      <c r="J278" s="34" t="str"/>
      <c r="K278" s="130" t="n">
        <v>74</v>
      </c>
      <c r="L278" s="43">
        <f>IF(COUNTIF($F$5:$F$2407,F278)=1,"OK","Дубликат")</f>
        <v/>
      </c>
    </row>
    <row r="279" ht="38" customHeight="1">
      <c r="A279" s="146" t="inlineStr">
        <is>
          <t>SUB-L1-08-10</t>
        </is>
      </c>
      <c r="B279" s="39" t="inlineStr">
        <is>
          <t>1 уровень</t>
        </is>
      </c>
      <c r="C279" s="34" t="inlineStr">
        <is>
          <t>Закрытые условия на абонементы</t>
        </is>
      </c>
      <c r="D279" s="34" t="inlineStr">
        <is>
          <t>Скидка 10% на абонемент 8 занятий</t>
        </is>
      </c>
      <c r="E279" s="34" t="inlineStr">
        <is>
          <t>При покупке абонемента на 8 занятий</t>
        </is>
      </c>
      <c r="F279" s="147" t="inlineStr">
        <is>
          <t>FW-L1-XV2K9-FGAK6</t>
        </is>
      </c>
      <c r="G279" s="39" t="inlineStr">
        <is>
          <t>Не использован</t>
        </is>
      </c>
      <c r="H279" s="148" t="n"/>
      <c r="I279" s="34" t="str"/>
      <c r="J279" s="34" t="str"/>
      <c r="K279" s="130" t="n">
        <v>75</v>
      </c>
      <c r="L279" s="43">
        <f>IF(COUNTIF($F$5:$F$2407,F279)=1,"OK","Дубликат")</f>
        <v/>
      </c>
    </row>
    <row r="280" ht="38" customHeight="1">
      <c r="A280" s="146" t="inlineStr">
        <is>
          <t>SUB-L1-08-10</t>
        </is>
      </c>
      <c r="B280" s="39" t="inlineStr">
        <is>
          <t>1 уровень</t>
        </is>
      </c>
      <c r="C280" s="34" t="inlineStr">
        <is>
          <t>Закрытые условия на абонементы</t>
        </is>
      </c>
      <c r="D280" s="34" t="inlineStr">
        <is>
          <t>Скидка 10% на абонемент 8 занятий</t>
        </is>
      </c>
      <c r="E280" s="34" t="inlineStr">
        <is>
          <t>При покупке абонемента на 8 занятий</t>
        </is>
      </c>
      <c r="F280" s="147" t="inlineStr">
        <is>
          <t>FW-L1-NZ7K6-YYRN6</t>
        </is>
      </c>
      <c r="G280" s="39" t="inlineStr">
        <is>
          <t>Не использован</t>
        </is>
      </c>
      <c r="H280" s="148" t="n"/>
      <c r="I280" s="34" t="str"/>
      <c r="J280" s="34" t="str"/>
      <c r="K280" s="130" t="n">
        <v>76</v>
      </c>
      <c r="L280" s="43">
        <f>IF(COUNTIF($F$5:$F$2407,F280)=1,"OK","Дубликат")</f>
        <v/>
      </c>
    </row>
    <row r="281" ht="38" customHeight="1">
      <c r="A281" s="146" t="inlineStr">
        <is>
          <t>SUB-L1-08-10</t>
        </is>
      </c>
      <c r="B281" s="39" t="inlineStr">
        <is>
          <t>1 уровень</t>
        </is>
      </c>
      <c r="C281" s="34" t="inlineStr">
        <is>
          <t>Закрытые условия на абонементы</t>
        </is>
      </c>
      <c r="D281" s="34" t="inlineStr">
        <is>
          <t>Скидка 10% на абонемент 8 занятий</t>
        </is>
      </c>
      <c r="E281" s="34" t="inlineStr">
        <is>
          <t>При покупке абонемента на 8 занятий</t>
        </is>
      </c>
      <c r="F281" s="147" t="inlineStr">
        <is>
          <t>FW-L1-NA9MC-Z9HK3</t>
        </is>
      </c>
      <c r="G281" s="39" t="inlineStr">
        <is>
          <t>Не использован</t>
        </is>
      </c>
      <c r="H281" s="148" t="n"/>
      <c r="I281" s="34" t="str"/>
      <c r="J281" s="34" t="str"/>
      <c r="K281" s="130" t="n">
        <v>77</v>
      </c>
      <c r="L281" s="43">
        <f>IF(COUNTIF($F$5:$F$2407,F281)=1,"OK","Дубликат")</f>
        <v/>
      </c>
    </row>
    <row r="282" ht="38" customHeight="1">
      <c r="A282" s="146" t="inlineStr">
        <is>
          <t>SUB-L1-08-10</t>
        </is>
      </c>
      <c r="B282" s="39" t="inlineStr">
        <is>
          <t>1 уровень</t>
        </is>
      </c>
      <c r="C282" s="34" t="inlineStr">
        <is>
          <t>Закрытые условия на абонементы</t>
        </is>
      </c>
      <c r="D282" s="34" t="inlineStr">
        <is>
          <t>Скидка 10% на абонемент 8 занятий</t>
        </is>
      </c>
      <c r="E282" s="34" t="inlineStr">
        <is>
          <t>При покупке абонемента на 8 занятий</t>
        </is>
      </c>
      <c r="F282" s="147" t="inlineStr">
        <is>
          <t>FW-L1-U958N-DSK5M</t>
        </is>
      </c>
      <c r="G282" s="39" t="inlineStr">
        <is>
          <t>Не использован</t>
        </is>
      </c>
      <c r="H282" s="148" t="n"/>
      <c r="I282" s="34" t="str"/>
      <c r="J282" s="34" t="str"/>
      <c r="K282" s="130" t="n">
        <v>78</v>
      </c>
      <c r="L282" s="43">
        <f>IF(COUNTIF($F$5:$F$2407,F282)=1,"OK","Дубликат")</f>
        <v/>
      </c>
    </row>
    <row r="283" ht="38" customHeight="1">
      <c r="A283" s="146" t="inlineStr">
        <is>
          <t>SUB-L1-08-10</t>
        </is>
      </c>
      <c r="B283" s="39" t="inlineStr">
        <is>
          <t>1 уровень</t>
        </is>
      </c>
      <c r="C283" s="34" t="inlineStr">
        <is>
          <t>Закрытые условия на абонементы</t>
        </is>
      </c>
      <c r="D283" s="34" t="inlineStr">
        <is>
          <t>Скидка 10% на абонемент 8 занятий</t>
        </is>
      </c>
      <c r="E283" s="34" t="inlineStr">
        <is>
          <t>При покупке абонемента на 8 занятий</t>
        </is>
      </c>
      <c r="F283" s="147" t="inlineStr">
        <is>
          <t>FW-L1-33EAP-GRG6E</t>
        </is>
      </c>
      <c r="G283" s="39" t="inlineStr">
        <is>
          <t>Не использован</t>
        </is>
      </c>
      <c r="H283" s="148" t="n"/>
      <c r="I283" s="34" t="str"/>
      <c r="J283" s="34" t="str"/>
      <c r="K283" s="130" t="n">
        <v>79</v>
      </c>
      <c r="L283" s="43">
        <f>IF(COUNTIF($F$5:$F$2407,F283)=1,"OK","Дубликат")</f>
        <v/>
      </c>
    </row>
    <row r="284" ht="38" customHeight="1">
      <c r="A284" s="146" t="inlineStr">
        <is>
          <t>SUB-L1-08-10</t>
        </is>
      </c>
      <c r="B284" s="39" t="inlineStr">
        <is>
          <t>1 уровень</t>
        </is>
      </c>
      <c r="C284" s="34" t="inlineStr">
        <is>
          <t>Закрытые условия на абонементы</t>
        </is>
      </c>
      <c r="D284" s="34" t="inlineStr">
        <is>
          <t>Скидка 10% на абонемент 8 занятий</t>
        </is>
      </c>
      <c r="E284" s="34" t="inlineStr">
        <is>
          <t>При покупке абонемента на 8 занятий</t>
        </is>
      </c>
      <c r="F284" s="147" t="inlineStr">
        <is>
          <t>FW-L1-JFRN6-7W5PU</t>
        </is>
      </c>
      <c r="G284" s="39" t="inlineStr">
        <is>
          <t>Не использован</t>
        </is>
      </c>
      <c r="H284" s="148" t="n"/>
      <c r="I284" s="34" t="str"/>
      <c r="J284" s="34" t="str"/>
      <c r="K284" s="130" t="n">
        <v>80</v>
      </c>
      <c r="L284" s="43">
        <f>IF(COUNTIF($F$5:$F$2407,F284)=1,"OK","Дубликат")</f>
        <v/>
      </c>
    </row>
    <row r="285" ht="38" customHeight="1">
      <c r="A285" s="146" t="inlineStr">
        <is>
          <t>SUB-L1-08-10</t>
        </is>
      </c>
      <c r="B285" s="39" t="inlineStr">
        <is>
          <t>1 уровень</t>
        </is>
      </c>
      <c r="C285" s="34" t="inlineStr">
        <is>
          <t>Закрытые условия на абонементы</t>
        </is>
      </c>
      <c r="D285" s="34" t="inlineStr">
        <is>
          <t>Скидка 10% на абонемент 8 занятий</t>
        </is>
      </c>
      <c r="E285" s="34" t="inlineStr">
        <is>
          <t>При покупке абонемента на 8 занятий</t>
        </is>
      </c>
      <c r="F285" s="147" t="inlineStr">
        <is>
          <t>FW-L1-V7S5H-FTHWY</t>
        </is>
      </c>
      <c r="G285" s="39" t="inlineStr">
        <is>
          <t>Не использован</t>
        </is>
      </c>
      <c r="H285" s="148" t="n"/>
      <c r="I285" s="34" t="str"/>
      <c r="J285" s="34" t="str"/>
      <c r="K285" s="130" t="n">
        <v>81</v>
      </c>
      <c r="L285" s="43">
        <f>IF(COUNTIF($F$5:$F$2407,F285)=1,"OK","Дубликат")</f>
        <v/>
      </c>
    </row>
    <row r="286" ht="38" customHeight="1">
      <c r="A286" s="146" t="inlineStr">
        <is>
          <t>SUB-L1-08-10</t>
        </is>
      </c>
      <c r="B286" s="39" t="inlineStr">
        <is>
          <t>1 уровень</t>
        </is>
      </c>
      <c r="C286" s="34" t="inlineStr">
        <is>
          <t>Закрытые условия на абонементы</t>
        </is>
      </c>
      <c r="D286" s="34" t="inlineStr">
        <is>
          <t>Скидка 10% на абонемент 8 занятий</t>
        </is>
      </c>
      <c r="E286" s="34" t="inlineStr">
        <is>
          <t>При покупке абонемента на 8 занятий</t>
        </is>
      </c>
      <c r="F286" s="147" t="inlineStr">
        <is>
          <t>FW-L1-J3DJM-USMFG</t>
        </is>
      </c>
      <c r="G286" s="39" t="inlineStr">
        <is>
          <t>Не использован</t>
        </is>
      </c>
      <c r="H286" s="148" t="n"/>
      <c r="I286" s="34" t="str"/>
      <c r="J286" s="34" t="str"/>
      <c r="K286" s="130" t="n">
        <v>82</v>
      </c>
      <c r="L286" s="43">
        <f>IF(COUNTIF($F$5:$F$2407,F286)=1,"OK","Дубликат")</f>
        <v/>
      </c>
    </row>
    <row r="287" ht="38" customHeight="1">
      <c r="A287" s="146" t="inlineStr">
        <is>
          <t>SUB-L1-08-10</t>
        </is>
      </c>
      <c r="B287" s="39" t="inlineStr">
        <is>
          <t>1 уровень</t>
        </is>
      </c>
      <c r="C287" s="34" t="inlineStr">
        <is>
          <t>Закрытые условия на абонементы</t>
        </is>
      </c>
      <c r="D287" s="34" t="inlineStr">
        <is>
          <t>Скидка 10% на абонемент 8 занятий</t>
        </is>
      </c>
      <c r="E287" s="34" t="inlineStr">
        <is>
          <t>При покупке абонемента на 8 занятий</t>
        </is>
      </c>
      <c r="F287" s="147" t="inlineStr">
        <is>
          <t>FW-L1-WAJAC-KV47W</t>
        </is>
      </c>
      <c r="G287" s="39" t="inlineStr">
        <is>
          <t>Не использован</t>
        </is>
      </c>
      <c r="H287" s="148" t="n"/>
      <c r="I287" s="34" t="str"/>
      <c r="J287" s="34" t="str"/>
      <c r="K287" s="130" t="n">
        <v>83</v>
      </c>
      <c r="L287" s="43">
        <f>IF(COUNTIF($F$5:$F$2407,F287)=1,"OK","Дубликат")</f>
        <v/>
      </c>
    </row>
    <row r="288" ht="38" customHeight="1">
      <c r="A288" s="146" t="inlineStr">
        <is>
          <t>SUB-L1-08-10</t>
        </is>
      </c>
      <c r="B288" s="39" t="inlineStr">
        <is>
          <t>1 уровень</t>
        </is>
      </c>
      <c r="C288" s="34" t="inlineStr">
        <is>
          <t>Закрытые условия на абонементы</t>
        </is>
      </c>
      <c r="D288" s="34" t="inlineStr">
        <is>
          <t>Скидка 10% на абонемент 8 занятий</t>
        </is>
      </c>
      <c r="E288" s="34" t="inlineStr">
        <is>
          <t>При покупке абонемента на 8 занятий</t>
        </is>
      </c>
      <c r="F288" s="147" t="inlineStr">
        <is>
          <t>FW-L1-YG62K-9EKAB</t>
        </is>
      </c>
      <c r="G288" s="39" t="inlineStr">
        <is>
          <t>Не использован</t>
        </is>
      </c>
      <c r="H288" s="148" t="n"/>
      <c r="I288" s="34" t="str"/>
      <c r="J288" s="34" t="str"/>
      <c r="K288" s="130" t="n">
        <v>84</v>
      </c>
      <c r="L288" s="43">
        <f>IF(COUNTIF($F$5:$F$2407,F288)=1,"OK","Дубликат")</f>
        <v/>
      </c>
    </row>
    <row r="289" ht="38" customHeight="1">
      <c r="A289" s="146" t="inlineStr">
        <is>
          <t>SUB-L1-08-10</t>
        </is>
      </c>
      <c r="B289" s="39" t="inlineStr">
        <is>
          <t>1 уровень</t>
        </is>
      </c>
      <c r="C289" s="34" t="inlineStr">
        <is>
          <t>Закрытые условия на абонементы</t>
        </is>
      </c>
      <c r="D289" s="34" t="inlineStr">
        <is>
          <t>Скидка 10% на абонемент 8 занятий</t>
        </is>
      </c>
      <c r="E289" s="34" t="inlineStr">
        <is>
          <t>При покупке абонемента на 8 занятий</t>
        </is>
      </c>
      <c r="F289" s="147" t="inlineStr">
        <is>
          <t>FW-L1-GRXZK-W6GHF</t>
        </is>
      </c>
      <c r="G289" s="39" t="inlineStr">
        <is>
          <t>Не использован</t>
        </is>
      </c>
      <c r="H289" s="148" t="n"/>
      <c r="I289" s="34" t="str"/>
      <c r="J289" s="34" t="str"/>
      <c r="K289" s="130" t="n">
        <v>85</v>
      </c>
      <c r="L289" s="43">
        <f>IF(COUNTIF($F$5:$F$2407,F289)=1,"OK","Дубликат")</f>
        <v/>
      </c>
    </row>
    <row r="290" ht="38" customHeight="1">
      <c r="A290" s="146" t="inlineStr">
        <is>
          <t>SUB-L1-08-10</t>
        </is>
      </c>
      <c r="B290" s="39" t="inlineStr">
        <is>
          <t>1 уровень</t>
        </is>
      </c>
      <c r="C290" s="34" t="inlineStr">
        <is>
          <t>Закрытые условия на абонементы</t>
        </is>
      </c>
      <c r="D290" s="34" t="inlineStr">
        <is>
          <t>Скидка 10% на абонемент 8 занятий</t>
        </is>
      </c>
      <c r="E290" s="34" t="inlineStr">
        <is>
          <t>При покупке абонемента на 8 занятий</t>
        </is>
      </c>
      <c r="F290" s="147" t="inlineStr">
        <is>
          <t>FW-L1-UXBFJ-8AEVU</t>
        </is>
      </c>
      <c r="G290" s="39" t="inlineStr">
        <is>
          <t>Не использован</t>
        </is>
      </c>
      <c r="H290" s="148" t="n"/>
      <c r="I290" s="34" t="str"/>
      <c r="J290" s="34" t="str"/>
      <c r="K290" s="130" t="n">
        <v>86</v>
      </c>
      <c r="L290" s="43">
        <f>IF(COUNTIF($F$5:$F$2407,F290)=1,"OK","Дубликат")</f>
        <v/>
      </c>
    </row>
    <row r="291" ht="38" customHeight="1">
      <c r="A291" s="146" t="inlineStr">
        <is>
          <t>SUB-L1-08-10</t>
        </is>
      </c>
      <c r="B291" s="39" t="inlineStr">
        <is>
          <t>1 уровень</t>
        </is>
      </c>
      <c r="C291" s="34" t="inlineStr">
        <is>
          <t>Закрытые условия на абонементы</t>
        </is>
      </c>
      <c r="D291" s="34" t="inlineStr">
        <is>
          <t>Скидка 10% на абонемент 8 занятий</t>
        </is>
      </c>
      <c r="E291" s="34" t="inlineStr">
        <is>
          <t>При покупке абонемента на 8 занятий</t>
        </is>
      </c>
      <c r="F291" s="147" t="inlineStr">
        <is>
          <t>FW-L1-7NNSC-CF3NA</t>
        </is>
      </c>
      <c r="G291" s="39" t="inlineStr">
        <is>
          <t>Не использован</t>
        </is>
      </c>
      <c r="H291" s="148" t="n"/>
      <c r="I291" s="34" t="str"/>
      <c r="J291" s="34" t="str"/>
      <c r="K291" s="130" t="n">
        <v>87</v>
      </c>
      <c r="L291" s="43">
        <f>IF(COUNTIF($F$5:$F$2407,F291)=1,"OK","Дубликат")</f>
        <v/>
      </c>
    </row>
    <row r="292" ht="38" customHeight="1">
      <c r="A292" s="146" t="inlineStr">
        <is>
          <t>SUB-L1-08-10</t>
        </is>
      </c>
      <c r="B292" s="39" t="inlineStr">
        <is>
          <t>1 уровень</t>
        </is>
      </c>
      <c r="C292" s="34" t="inlineStr">
        <is>
          <t>Закрытые условия на абонементы</t>
        </is>
      </c>
      <c r="D292" s="34" t="inlineStr">
        <is>
          <t>Скидка 10% на абонемент 8 занятий</t>
        </is>
      </c>
      <c r="E292" s="34" t="inlineStr">
        <is>
          <t>При покупке абонемента на 8 занятий</t>
        </is>
      </c>
      <c r="F292" s="147" t="inlineStr">
        <is>
          <t>FW-L1-WDW3J-7KJQA</t>
        </is>
      </c>
      <c r="G292" s="39" t="inlineStr">
        <is>
          <t>Не использован</t>
        </is>
      </c>
      <c r="H292" s="148" t="n"/>
      <c r="I292" s="34" t="str"/>
      <c r="J292" s="34" t="str"/>
      <c r="K292" s="130" t="n">
        <v>88</v>
      </c>
      <c r="L292" s="43">
        <f>IF(COUNTIF($F$5:$F$2407,F292)=1,"OK","Дубликат")</f>
        <v/>
      </c>
    </row>
    <row r="293" ht="38" customHeight="1">
      <c r="A293" s="146" t="inlineStr">
        <is>
          <t>SUB-L1-08-10</t>
        </is>
      </c>
      <c r="B293" s="39" t="inlineStr">
        <is>
          <t>1 уровень</t>
        </is>
      </c>
      <c r="C293" s="34" t="inlineStr">
        <is>
          <t>Закрытые условия на абонементы</t>
        </is>
      </c>
      <c r="D293" s="34" t="inlineStr">
        <is>
          <t>Скидка 10% на абонемент 8 занятий</t>
        </is>
      </c>
      <c r="E293" s="34" t="inlineStr">
        <is>
          <t>При покупке абонемента на 8 занятий</t>
        </is>
      </c>
      <c r="F293" s="147" t="inlineStr">
        <is>
          <t>FW-L1-LWV7R-JPU3F</t>
        </is>
      </c>
      <c r="G293" s="39" t="inlineStr">
        <is>
          <t>Не использован</t>
        </is>
      </c>
      <c r="H293" s="148" t="n"/>
      <c r="I293" s="34" t="str"/>
      <c r="J293" s="34" t="str"/>
      <c r="K293" s="130" t="n">
        <v>89</v>
      </c>
      <c r="L293" s="43">
        <f>IF(COUNTIF($F$5:$F$2407,F293)=1,"OK","Дубликат")</f>
        <v/>
      </c>
    </row>
    <row r="294" ht="38" customHeight="1">
      <c r="A294" s="146" t="inlineStr">
        <is>
          <t>SUB-L1-08-10</t>
        </is>
      </c>
      <c r="B294" s="39" t="inlineStr">
        <is>
          <t>1 уровень</t>
        </is>
      </c>
      <c r="C294" s="34" t="inlineStr">
        <is>
          <t>Закрытые условия на абонементы</t>
        </is>
      </c>
      <c r="D294" s="34" t="inlineStr">
        <is>
          <t>Скидка 10% на абонемент 8 занятий</t>
        </is>
      </c>
      <c r="E294" s="34" t="inlineStr">
        <is>
          <t>При покупке абонемента на 8 занятий</t>
        </is>
      </c>
      <c r="F294" s="147" t="inlineStr">
        <is>
          <t>FW-L1-5D6HT-TVYDJ</t>
        </is>
      </c>
      <c r="G294" s="39" t="inlineStr">
        <is>
          <t>Не использован</t>
        </is>
      </c>
      <c r="H294" s="148" t="n"/>
      <c r="I294" s="34" t="str"/>
      <c r="J294" s="34" t="str"/>
      <c r="K294" s="130" t="n">
        <v>90</v>
      </c>
      <c r="L294" s="43">
        <f>IF(COUNTIF($F$5:$F$2407,F294)=1,"OK","Дубликат")</f>
        <v/>
      </c>
    </row>
    <row r="295" ht="38" customHeight="1">
      <c r="A295" s="146" t="inlineStr">
        <is>
          <t>SUB-L1-08-10</t>
        </is>
      </c>
      <c r="B295" s="39" t="inlineStr">
        <is>
          <t>1 уровень</t>
        </is>
      </c>
      <c r="C295" s="34" t="inlineStr">
        <is>
          <t>Закрытые условия на абонементы</t>
        </is>
      </c>
      <c r="D295" s="34" t="inlineStr">
        <is>
          <t>Скидка 10% на абонемент 8 занятий</t>
        </is>
      </c>
      <c r="E295" s="34" t="inlineStr">
        <is>
          <t>При покупке абонемента на 8 занятий</t>
        </is>
      </c>
      <c r="F295" s="147" t="inlineStr">
        <is>
          <t>FW-L1-8CPAK-Z6625</t>
        </is>
      </c>
      <c r="G295" s="39" t="inlineStr">
        <is>
          <t>Не использован</t>
        </is>
      </c>
      <c r="H295" s="148" t="n"/>
      <c r="I295" s="34" t="str"/>
      <c r="J295" s="34" t="str"/>
      <c r="K295" s="130" t="n">
        <v>91</v>
      </c>
      <c r="L295" s="43">
        <f>IF(COUNTIF($F$5:$F$2407,F295)=1,"OK","Дубликат")</f>
        <v/>
      </c>
    </row>
    <row r="296" ht="38" customHeight="1">
      <c r="A296" s="146" t="inlineStr">
        <is>
          <t>SUB-L1-08-10</t>
        </is>
      </c>
      <c r="B296" s="39" t="inlineStr">
        <is>
          <t>1 уровень</t>
        </is>
      </c>
      <c r="C296" s="34" t="inlineStr">
        <is>
          <t>Закрытые условия на абонементы</t>
        </is>
      </c>
      <c r="D296" s="34" t="inlineStr">
        <is>
          <t>Скидка 10% на абонемент 8 занятий</t>
        </is>
      </c>
      <c r="E296" s="34" t="inlineStr">
        <is>
          <t>При покупке абонемента на 8 занятий</t>
        </is>
      </c>
      <c r="F296" s="147" t="inlineStr">
        <is>
          <t>FW-L1-UH482-3J88X</t>
        </is>
      </c>
      <c r="G296" s="39" t="inlineStr">
        <is>
          <t>Не использован</t>
        </is>
      </c>
      <c r="H296" s="148" t="n"/>
      <c r="I296" s="34" t="str"/>
      <c r="J296" s="34" t="str"/>
      <c r="K296" s="130" t="n">
        <v>92</v>
      </c>
      <c r="L296" s="43">
        <f>IF(COUNTIF($F$5:$F$2407,F296)=1,"OK","Дубликат")</f>
        <v/>
      </c>
    </row>
    <row r="297" ht="38" customHeight="1">
      <c r="A297" s="146" t="inlineStr">
        <is>
          <t>SUB-L1-08-10</t>
        </is>
      </c>
      <c r="B297" s="39" t="inlineStr">
        <is>
          <t>1 уровень</t>
        </is>
      </c>
      <c r="C297" s="34" t="inlineStr">
        <is>
          <t>Закрытые условия на абонементы</t>
        </is>
      </c>
      <c r="D297" s="34" t="inlineStr">
        <is>
          <t>Скидка 10% на абонемент 8 занятий</t>
        </is>
      </c>
      <c r="E297" s="34" t="inlineStr">
        <is>
          <t>При покупке абонемента на 8 занятий</t>
        </is>
      </c>
      <c r="F297" s="147" t="inlineStr">
        <is>
          <t>FW-L1-AW3KA-GWW7E</t>
        </is>
      </c>
      <c r="G297" s="39" t="inlineStr">
        <is>
          <t>Не использован</t>
        </is>
      </c>
      <c r="H297" s="148" t="n"/>
      <c r="I297" s="34" t="str"/>
      <c r="J297" s="34" t="str"/>
      <c r="K297" s="130" t="n">
        <v>93</v>
      </c>
      <c r="L297" s="43">
        <f>IF(COUNTIF($F$5:$F$2407,F297)=1,"OK","Дубликат")</f>
        <v/>
      </c>
    </row>
    <row r="298" ht="38" customHeight="1">
      <c r="A298" s="146" t="inlineStr">
        <is>
          <t>SUB-L1-08-10</t>
        </is>
      </c>
      <c r="B298" s="39" t="inlineStr">
        <is>
          <t>1 уровень</t>
        </is>
      </c>
      <c r="C298" s="34" t="inlineStr">
        <is>
          <t>Закрытые условия на абонементы</t>
        </is>
      </c>
      <c r="D298" s="34" t="inlineStr">
        <is>
          <t>Скидка 10% на абонемент 8 занятий</t>
        </is>
      </c>
      <c r="E298" s="34" t="inlineStr">
        <is>
          <t>При покупке абонемента на 8 занятий</t>
        </is>
      </c>
      <c r="F298" s="147" t="inlineStr">
        <is>
          <t>FW-L1-5GRSV-JK66Z</t>
        </is>
      </c>
      <c r="G298" s="39" t="inlineStr">
        <is>
          <t>Не использован</t>
        </is>
      </c>
      <c r="H298" s="148" t="n"/>
      <c r="I298" s="34" t="str"/>
      <c r="J298" s="34" t="str"/>
      <c r="K298" s="130" t="n">
        <v>94</v>
      </c>
      <c r="L298" s="43">
        <f>IF(COUNTIF($F$5:$F$2407,F298)=1,"OK","Дубликат")</f>
        <v/>
      </c>
    </row>
    <row r="299" ht="38" customHeight="1">
      <c r="A299" s="146" t="inlineStr">
        <is>
          <t>SUB-L1-08-10</t>
        </is>
      </c>
      <c r="B299" s="39" t="inlineStr">
        <is>
          <t>1 уровень</t>
        </is>
      </c>
      <c r="C299" s="34" t="inlineStr">
        <is>
          <t>Закрытые условия на абонементы</t>
        </is>
      </c>
      <c r="D299" s="34" t="inlineStr">
        <is>
          <t>Скидка 10% на абонемент 8 занятий</t>
        </is>
      </c>
      <c r="E299" s="34" t="inlineStr">
        <is>
          <t>При покупке абонемента на 8 занятий</t>
        </is>
      </c>
      <c r="F299" s="147" t="inlineStr">
        <is>
          <t>FW-L1-W6DUG-NMMP9</t>
        </is>
      </c>
      <c r="G299" s="39" t="inlineStr">
        <is>
          <t>Не использован</t>
        </is>
      </c>
      <c r="H299" s="148" t="n"/>
      <c r="I299" s="34" t="str"/>
      <c r="J299" s="34" t="str"/>
      <c r="K299" s="130" t="n">
        <v>95</v>
      </c>
      <c r="L299" s="43">
        <f>IF(COUNTIF($F$5:$F$2407,F299)=1,"OK","Дубликат")</f>
        <v/>
      </c>
    </row>
    <row r="300" ht="38" customHeight="1">
      <c r="A300" s="146" t="inlineStr">
        <is>
          <t>SUB-L1-08-10</t>
        </is>
      </c>
      <c r="B300" s="39" t="inlineStr">
        <is>
          <t>1 уровень</t>
        </is>
      </c>
      <c r="C300" s="34" t="inlineStr">
        <is>
          <t>Закрытые условия на абонементы</t>
        </is>
      </c>
      <c r="D300" s="34" t="inlineStr">
        <is>
          <t>Скидка 10% на абонемент 8 занятий</t>
        </is>
      </c>
      <c r="E300" s="34" t="inlineStr">
        <is>
          <t>При покупке абонемента на 8 занятий</t>
        </is>
      </c>
      <c r="F300" s="147" t="inlineStr">
        <is>
          <t>FW-L1-Q5QSQ-837KU</t>
        </is>
      </c>
      <c r="G300" s="39" t="inlineStr">
        <is>
          <t>Не использован</t>
        </is>
      </c>
      <c r="H300" s="148" t="n"/>
      <c r="I300" s="34" t="str"/>
      <c r="J300" s="34" t="str"/>
      <c r="K300" s="130" t="n">
        <v>96</v>
      </c>
      <c r="L300" s="43">
        <f>IF(COUNTIF($F$5:$F$2407,F300)=1,"OK","Дубликат")</f>
        <v/>
      </c>
    </row>
    <row r="301" ht="38" customHeight="1">
      <c r="A301" s="146" t="inlineStr">
        <is>
          <t>SUB-L1-08-10</t>
        </is>
      </c>
      <c r="B301" s="39" t="inlineStr">
        <is>
          <t>1 уровень</t>
        </is>
      </c>
      <c r="C301" s="34" t="inlineStr">
        <is>
          <t>Закрытые условия на абонементы</t>
        </is>
      </c>
      <c r="D301" s="34" t="inlineStr">
        <is>
          <t>Скидка 10% на абонемент 8 занятий</t>
        </is>
      </c>
      <c r="E301" s="34" t="inlineStr">
        <is>
          <t>При покупке абонемента на 8 занятий</t>
        </is>
      </c>
      <c r="F301" s="147" t="inlineStr">
        <is>
          <t>FW-L1-43ARF-SQZJ8</t>
        </is>
      </c>
      <c r="G301" s="39" t="inlineStr">
        <is>
          <t>Не использован</t>
        </is>
      </c>
      <c r="H301" s="148" t="n"/>
      <c r="I301" s="34" t="str"/>
      <c r="J301" s="34" t="str"/>
      <c r="K301" s="130" t="n">
        <v>97</v>
      </c>
      <c r="L301" s="43">
        <f>IF(COUNTIF($F$5:$F$2407,F301)=1,"OK","Дубликат")</f>
        <v/>
      </c>
    </row>
    <row r="302" ht="38" customHeight="1">
      <c r="A302" s="146" t="inlineStr">
        <is>
          <t>SUB-L1-08-10</t>
        </is>
      </c>
      <c r="B302" s="39" t="inlineStr">
        <is>
          <t>1 уровень</t>
        </is>
      </c>
      <c r="C302" s="34" t="inlineStr">
        <is>
          <t>Закрытые условия на абонементы</t>
        </is>
      </c>
      <c r="D302" s="34" t="inlineStr">
        <is>
          <t>Скидка 10% на абонемент 8 занятий</t>
        </is>
      </c>
      <c r="E302" s="34" t="inlineStr">
        <is>
          <t>При покупке абонемента на 8 занятий</t>
        </is>
      </c>
      <c r="F302" s="147" t="inlineStr">
        <is>
          <t>FW-L1-ZXSMK-Y5GPC</t>
        </is>
      </c>
      <c r="G302" s="39" t="inlineStr">
        <is>
          <t>Не использован</t>
        </is>
      </c>
      <c r="H302" s="148" t="n"/>
      <c r="I302" s="34" t="str"/>
      <c r="J302" s="34" t="str"/>
      <c r="K302" s="130" t="n">
        <v>98</v>
      </c>
      <c r="L302" s="43">
        <f>IF(COUNTIF($F$5:$F$2407,F302)=1,"OK","Дубликат")</f>
        <v/>
      </c>
    </row>
    <row r="303" ht="38" customHeight="1">
      <c r="A303" s="146" t="inlineStr">
        <is>
          <t>SUB-L1-08-10</t>
        </is>
      </c>
      <c r="B303" s="39" t="inlineStr">
        <is>
          <t>1 уровень</t>
        </is>
      </c>
      <c r="C303" s="34" t="inlineStr">
        <is>
          <t>Закрытые условия на абонементы</t>
        </is>
      </c>
      <c r="D303" s="34" t="inlineStr">
        <is>
          <t>Скидка 10% на абонемент 8 занятий</t>
        </is>
      </c>
      <c r="E303" s="34" t="inlineStr">
        <is>
          <t>При покупке абонемента на 8 занятий</t>
        </is>
      </c>
      <c r="F303" s="147" t="inlineStr">
        <is>
          <t>FW-L1-WAY7N-W8Y2V</t>
        </is>
      </c>
      <c r="G303" s="39" t="inlineStr">
        <is>
          <t>Не использован</t>
        </is>
      </c>
      <c r="H303" s="148" t="n"/>
      <c r="I303" s="34" t="str"/>
      <c r="J303" s="34" t="str"/>
      <c r="K303" s="130" t="n">
        <v>99</v>
      </c>
      <c r="L303" s="43">
        <f>IF(COUNTIF($F$5:$F$2407,F303)=1,"OK","Дубликат")</f>
        <v/>
      </c>
    </row>
    <row r="304" ht="38" customHeight="1">
      <c r="A304" s="146" t="inlineStr">
        <is>
          <t>SUB-L1-08-10</t>
        </is>
      </c>
      <c r="B304" s="39" t="inlineStr">
        <is>
          <t>1 уровень</t>
        </is>
      </c>
      <c r="C304" s="34" t="inlineStr">
        <is>
          <t>Закрытые условия на абонементы</t>
        </is>
      </c>
      <c r="D304" s="34" t="inlineStr">
        <is>
          <t>Скидка 10% на абонемент 8 занятий</t>
        </is>
      </c>
      <c r="E304" s="34" t="inlineStr">
        <is>
          <t>При покупке абонемента на 8 занятий</t>
        </is>
      </c>
      <c r="F304" s="147" t="inlineStr">
        <is>
          <t>FW-L1-AN75S-YWQ8T</t>
        </is>
      </c>
      <c r="G304" s="39" t="inlineStr">
        <is>
          <t>Не использован</t>
        </is>
      </c>
      <c r="H304" s="148" t="n"/>
      <c r="I304" s="34" t="str"/>
      <c r="J304" s="34" t="str"/>
      <c r="K304" s="130" t="n">
        <v>100</v>
      </c>
      <c r="L304" s="43">
        <f>IF(COUNTIF($F$5:$F$2407,F304)=1,"OK","Дубликат")</f>
        <v/>
      </c>
    </row>
    <row r="305" ht="38" customHeight="1">
      <c r="A305" s="146" t="inlineStr">
        <is>
          <t>SUB-L1-08-10</t>
        </is>
      </c>
      <c r="B305" s="39" t="inlineStr">
        <is>
          <t>1 уровень</t>
        </is>
      </c>
      <c r="C305" s="34" t="inlineStr">
        <is>
          <t>Закрытые условия на абонементы</t>
        </is>
      </c>
      <c r="D305" s="34" t="inlineStr">
        <is>
          <t>Скидка 10% на абонемент 8 занятий</t>
        </is>
      </c>
      <c r="E305" s="34" t="inlineStr">
        <is>
          <t>При покупке абонемента на 8 занятий</t>
        </is>
      </c>
      <c r="F305" s="147" t="inlineStr">
        <is>
          <t>FW-L1-7JD58-RE2AG</t>
        </is>
      </c>
      <c r="G305" s="39" t="inlineStr">
        <is>
          <t>Не использован</t>
        </is>
      </c>
      <c r="H305" s="148" t="n"/>
      <c r="I305" s="34" t="str"/>
      <c r="J305" s="34" t="str"/>
      <c r="K305" s="130" t="n">
        <v>101</v>
      </c>
      <c r="L305" s="43">
        <f>IF(COUNTIF($F$5:$F$2407,F305)=1,"OK","Дубликат")</f>
        <v/>
      </c>
    </row>
    <row r="306" ht="38" customHeight="1">
      <c r="A306" s="146" t="inlineStr">
        <is>
          <t>SUB-L1-08-10</t>
        </is>
      </c>
      <c r="B306" s="39" t="inlineStr">
        <is>
          <t>1 уровень</t>
        </is>
      </c>
      <c r="C306" s="34" t="inlineStr">
        <is>
          <t>Закрытые условия на абонементы</t>
        </is>
      </c>
      <c r="D306" s="34" t="inlineStr">
        <is>
          <t>Скидка 10% на абонемент 8 занятий</t>
        </is>
      </c>
      <c r="E306" s="34" t="inlineStr">
        <is>
          <t>При покупке абонемента на 8 занятий</t>
        </is>
      </c>
      <c r="F306" s="147" t="inlineStr">
        <is>
          <t>FW-L1-7ANTP-ZQVAM</t>
        </is>
      </c>
      <c r="G306" s="39" t="inlineStr">
        <is>
          <t>Не использован</t>
        </is>
      </c>
      <c r="H306" s="148" t="n"/>
      <c r="I306" s="34" t="str"/>
      <c r="J306" s="34" t="str"/>
      <c r="K306" s="130" t="n">
        <v>102</v>
      </c>
      <c r="L306" s="43">
        <f>IF(COUNTIF($F$5:$F$2407,F306)=1,"OK","Дубликат")</f>
        <v/>
      </c>
    </row>
    <row r="307" ht="38" customHeight="1">
      <c r="A307" s="146" t="inlineStr">
        <is>
          <t>SUB-L1-08-10</t>
        </is>
      </c>
      <c r="B307" s="39" t="inlineStr">
        <is>
          <t>1 уровень</t>
        </is>
      </c>
      <c r="C307" s="34" t="inlineStr">
        <is>
          <t>Закрытые условия на абонементы</t>
        </is>
      </c>
      <c r="D307" s="34" t="inlineStr">
        <is>
          <t>Скидка 10% на абонемент 8 занятий</t>
        </is>
      </c>
      <c r="E307" s="34" t="inlineStr">
        <is>
          <t>При покупке абонемента на 8 занятий</t>
        </is>
      </c>
      <c r="F307" s="147" t="inlineStr">
        <is>
          <t>FW-L1-RHNER-SRB3J</t>
        </is>
      </c>
      <c r="G307" s="39" t="inlineStr">
        <is>
          <t>Не использован</t>
        </is>
      </c>
      <c r="H307" s="148" t="n"/>
      <c r="I307" s="34" t="str"/>
      <c r="J307" s="34" t="str"/>
      <c r="K307" s="130" t="n">
        <v>103</v>
      </c>
      <c r="L307" s="43">
        <f>IF(COUNTIF($F$5:$F$2407,F307)=1,"OK","Дубликат")</f>
        <v/>
      </c>
    </row>
    <row r="308" ht="38" customHeight="1">
      <c r="A308" s="146" t="inlineStr">
        <is>
          <t>SUB-L1-08-10</t>
        </is>
      </c>
      <c r="B308" s="39" t="inlineStr">
        <is>
          <t>1 уровень</t>
        </is>
      </c>
      <c r="C308" s="34" t="inlineStr">
        <is>
          <t>Закрытые условия на абонементы</t>
        </is>
      </c>
      <c r="D308" s="34" t="inlineStr">
        <is>
          <t>Скидка 10% на абонемент 8 занятий</t>
        </is>
      </c>
      <c r="E308" s="34" t="inlineStr">
        <is>
          <t>При покупке абонемента на 8 занятий</t>
        </is>
      </c>
      <c r="F308" s="147" t="inlineStr">
        <is>
          <t>FW-L1-ETEXM-MGLR2</t>
        </is>
      </c>
      <c r="G308" s="39" t="inlineStr">
        <is>
          <t>Не использован</t>
        </is>
      </c>
      <c r="H308" s="148" t="n"/>
      <c r="I308" s="34" t="str"/>
      <c r="J308" s="34" t="str"/>
      <c r="K308" s="130" t="n">
        <v>104</v>
      </c>
      <c r="L308" s="43">
        <f>IF(COUNTIF($F$5:$F$2407,F308)=1,"OK","Дубликат")</f>
        <v/>
      </c>
    </row>
    <row r="309" ht="38" customHeight="1">
      <c r="A309" s="146" t="inlineStr">
        <is>
          <t>SUB-L1-08-10</t>
        </is>
      </c>
      <c r="B309" s="39" t="inlineStr">
        <is>
          <t>1 уровень</t>
        </is>
      </c>
      <c r="C309" s="34" t="inlineStr">
        <is>
          <t>Закрытые условия на абонементы</t>
        </is>
      </c>
      <c r="D309" s="34" t="inlineStr">
        <is>
          <t>Скидка 10% на абонемент 8 занятий</t>
        </is>
      </c>
      <c r="E309" s="34" t="inlineStr">
        <is>
          <t>При покупке абонемента на 8 занятий</t>
        </is>
      </c>
      <c r="F309" s="147" t="inlineStr">
        <is>
          <t>FW-L1-QKX7F-Y6MFR</t>
        </is>
      </c>
      <c r="G309" s="39" t="inlineStr">
        <is>
          <t>Не использован</t>
        </is>
      </c>
      <c r="H309" s="148" t="n"/>
      <c r="I309" s="34" t="str"/>
      <c r="J309" s="34" t="str"/>
      <c r="K309" s="130" t="n">
        <v>105</v>
      </c>
      <c r="L309" s="43">
        <f>IF(COUNTIF($F$5:$F$2407,F309)=1,"OK","Дубликат")</f>
        <v/>
      </c>
    </row>
    <row r="310" ht="38" customHeight="1">
      <c r="A310" s="146" t="inlineStr">
        <is>
          <t>SUB-L1-08-10</t>
        </is>
      </c>
      <c r="B310" s="39" t="inlineStr">
        <is>
          <t>1 уровень</t>
        </is>
      </c>
      <c r="C310" s="34" t="inlineStr">
        <is>
          <t>Закрытые условия на абонементы</t>
        </is>
      </c>
      <c r="D310" s="34" t="inlineStr">
        <is>
          <t>Скидка 10% на абонемент 8 занятий</t>
        </is>
      </c>
      <c r="E310" s="34" t="inlineStr">
        <is>
          <t>При покупке абонемента на 8 занятий</t>
        </is>
      </c>
      <c r="F310" s="147" t="inlineStr">
        <is>
          <t>FW-L1-PMC57-MJZTP</t>
        </is>
      </c>
      <c r="G310" s="39" t="inlineStr">
        <is>
          <t>Не использован</t>
        </is>
      </c>
      <c r="H310" s="148" t="n"/>
      <c r="I310" s="34" t="str"/>
      <c r="J310" s="34" t="str"/>
      <c r="K310" s="130" t="n">
        <v>106</v>
      </c>
      <c r="L310" s="43">
        <f>IF(COUNTIF($F$5:$F$2407,F310)=1,"OK","Дубликат")</f>
        <v/>
      </c>
    </row>
    <row r="311" ht="38" customHeight="1">
      <c r="A311" s="146" t="inlineStr">
        <is>
          <t>SUB-L1-08-10</t>
        </is>
      </c>
      <c r="B311" s="39" t="inlineStr">
        <is>
          <t>1 уровень</t>
        </is>
      </c>
      <c r="C311" s="34" t="inlineStr">
        <is>
          <t>Закрытые условия на абонементы</t>
        </is>
      </c>
      <c r="D311" s="34" t="inlineStr">
        <is>
          <t>Скидка 10% на абонемент 8 занятий</t>
        </is>
      </c>
      <c r="E311" s="34" t="inlineStr">
        <is>
          <t>При покупке абонемента на 8 занятий</t>
        </is>
      </c>
      <c r="F311" s="147" t="inlineStr">
        <is>
          <t>FW-L1-VSV9S-3MR4K</t>
        </is>
      </c>
      <c r="G311" s="39" t="inlineStr">
        <is>
          <t>Не использован</t>
        </is>
      </c>
      <c r="H311" s="148" t="n"/>
      <c r="I311" s="34" t="str"/>
      <c r="J311" s="34" t="str"/>
      <c r="K311" s="130" t="n">
        <v>107</v>
      </c>
      <c r="L311" s="43">
        <f>IF(COUNTIF($F$5:$F$2407,F311)=1,"OK","Дубликат")</f>
        <v/>
      </c>
    </row>
    <row r="312" ht="38" customHeight="1">
      <c r="A312" s="146" t="inlineStr">
        <is>
          <t>SUB-L1-08-10</t>
        </is>
      </c>
      <c r="B312" s="39" t="inlineStr">
        <is>
          <t>1 уровень</t>
        </is>
      </c>
      <c r="C312" s="34" t="inlineStr">
        <is>
          <t>Закрытые условия на абонементы</t>
        </is>
      </c>
      <c r="D312" s="34" t="inlineStr">
        <is>
          <t>Скидка 10% на абонемент 8 занятий</t>
        </is>
      </c>
      <c r="E312" s="34" t="inlineStr">
        <is>
          <t>При покупке абонемента на 8 занятий</t>
        </is>
      </c>
      <c r="F312" s="147" t="inlineStr">
        <is>
          <t>FW-L1-N6TM4-7A95F</t>
        </is>
      </c>
      <c r="G312" s="39" t="inlineStr">
        <is>
          <t>Не использован</t>
        </is>
      </c>
      <c r="H312" s="148" t="n"/>
      <c r="I312" s="34" t="str"/>
      <c r="J312" s="34" t="str"/>
      <c r="K312" s="130" t="n">
        <v>108</v>
      </c>
      <c r="L312" s="43">
        <f>IF(COUNTIF($F$5:$F$2407,F312)=1,"OK","Дубликат")</f>
        <v/>
      </c>
    </row>
    <row r="313" ht="38" customHeight="1">
      <c r="A313" s="146" t="inlineStr">
        <is>
          <t>SUB-L1-08-10</t>
        </is>
      </c>
      <c r="B313" s="39" t="inlineStr">
        <is>
          <t>1 уровень</t>
        </is>
      </c>
      <c r="C313" s="34" t="inlineStr">
        <is>
          <t>Закрытые условия на абонементы</t>
        </is>
      </c>
      <c r="D313" s="34" t="inlineStr">
        <is>
          <t>Скидка 10% на абонемент 8 занятий</t>
        </is>
      </c>
      <c r="E313" s="34" t="inlineStr">
        <is>
          <t>При покупке абонемента на 8 занятий</t>
        </is>
      </c>
      <c r="F313" s="147" t="inlineStr">
        <is>
          <t>FW-L1-WEYNW-S8Z5D</t>
        </is>
      </c>
      <c r="G313" s="39" t="inlineStr">
        <is>
          <t>Не использован</t>
        </is>
      </c>
      <c r="H313" s="148" t="n"/>
      <c r="I313" s="34" t="str"/>
      <c r="J313" s="34" t="str"/>
      <c r="K313" s="130" t="n">
        <v>109</v>
      </c>
      <c r="L313" s="43">
        <f>IF(COUNTIF($F$5:$F$2407,F313)=1,"OK","Дубликат")</f>
        <v/>
      </c>
    </row>
    <row r="314" ht="38" customHeight="1">
      <c r="A314" s="146" t="inlineStr">
        <is>
          <t>SUB-L1-08-10</t>
        </is>
      </c>
      <c r="B314" s="39" t="inlineStr">
        <is>
          <t>1 уровень</t>
        </is>
      </c>
      <c r="C314" s="34" t="inlineStr">
        <is>
          <t>Закрытые условия на абонементы</t>
        </is>
      </c>
      <c r="D314" s="34" t="inlineStr">
        <is>
          <t>Скидка 10% на абонемент 8 занятий</t>
        </is>
      </c>
      <c r="E314" s="34" t="inlineStr">
        <is>
          <t>При покупке абонемента на 8 занятий</t>
        </is>
      </c>
      <c r="F314" s="147" t="inlineStr">
        <is>
          <t>FW-L1-M6B9Q-PZKQD</t>
        </is>
      </c>
      <c r="G314" s="39" t="inlineStr">
        <is>
          <t>Не использован</t>
        </is>
      </c>
      <c r="H314" s="148" t="n"/>
      <c r="I314" s="34" t="str"/>
      <c r="J314" s="34" t="str"/>
      <c r="K314" s="130" t="n">
        <v>110</v>
      </c>
      <c r="L314" s="43">
        <f>IF(COUNTIF($F$5:$F$2407,F314)=1,"OK","Дубликат")</f>
        <v/>
      </c>
    </row>
    <row r="315" ht="38" customHeight="1">
      <c r="A315" s="146" t="inlineStr">
        <is>
          <t>SUB-L1-08-10</t>
        </is>
      </c>
      <c r="B315" s="39" t="inlineStr">
        <is>
          <t>1 уровень</t>
        </is>
      </c>
      <c r="C315" s="34" t="inlineStr">
        <is>
          <t>Закрытые условия на абонементы</t>
        </is>
      </c>
      <c r="D315" s="34" t="inlineStr">
        <is>
          <t>Скидка 10% на абонемент 8 занятий</t>
        </is>
      </c>
      <c r="E315" s="34" t="inlineStr">
        <is>
          <t>При покупке абонемента на 8 занятий</t>
        </is>
      </c>
      <c r="F315" s="147" t="inlineStr">
        <is>
          <t>FW-L1-S8LLC-82DGB</t>
        </is>
      </c>
      <c r="G315" s="39" t="inlineStr">
        <is>
          <t>Не использован</t>
        </is>
      </c>
      <c r="H315" s="148" t="n"/>
      <c r="I315" s="34" t="str"/>
      <c r="J315" s="34" t="str"/>
      <c r="K315" s="130" t="n">
        <v>111</v>
      </c>
      <c r="L315" s="43">
        <f>IF(COUNTIF($F$5:$F$2407,F315)=1,"OK","Дубликат")</f>
        <v/>
      </c>
    </row>
    <row r="316" ht="38" customHeight="1">
      <c r="A316" s="146" t="inlineStr">
        <is>
          <t>SUB-L1-08-10</t>
        </is>
      </c>
      <c r="B316" s="39" t="inlineStr">
        <is>
          <t>1 уровень</t>
        </is>
      </c>
      <c r="C316" s="34" t="inlineStr">
        <is>
          <t>Закрытые условия на абонементы</t>
        </is>
      </c>
      <c r="D316" s="34" t="inlineStr">
        <is>
          <t>Скидка 10% на абонемент 8 занятий</t>
        </is>
      </c>
      <c r="E316" s="34" t="inlineStr">
        <is>
          <t>При покупке абонемента на 8 занятий</t>
        </is>
      </c>
      <c r="F316" s="147" t="inlineStr">
        <is>
          <t>FW-L1-QFETD-D7LU9</t>
        </is>
      </c>
      <c r="G316" s="39" t="inlineStr">
        <is>
          <t>Не использован</t>
        </is>
      </c>
      <c r="H316" s="148" t="n"/>
      <c r="I316" s="34" t="str"/>
      <c r="J316" s="34" t="str"/>
      <c r="K316" s="130" t="n">
        <v>112</v>
      </c>
      <c r="L316" s="43">
        <f>IF(COUNTIF($F$5:$F$2407,F316)=1,"OK","Дубликат")</f>
        <v/>
      </c>
    </row>
    <row r="317" ht="38" customHeight="1">
      <c r="A317" s="146" t="inlineStr">
        <is>
          <t>SUB-L1-08-10</t>
        </is>
      </c>
      <c r="B317" s="39" t="inlineStr">
        <is>
          <t>1 уровень</t>
        </is>
      </c>
      <c r="C317" s="34" t="inlineStr">
        <is>
          <t>Закрытые условия на абонементы</t>
        </is>
      </c>
      <c r="D317" s="34" t="inlineStr">
        <is>
          <t>Скидка 10% на абонемент 8 занятий</t>
        </is>
      </c>
      <c r="E317" s="34" t="inlineStr">
        <is>
          <t>При покупке абонемента на 8 занятий</t>
        </is>
      </c>
      <c r="F317" s="147" t="inlineStr">
        <is>
          <t>FW-L1-XXFTB-A87UB</t>
        </is>
      </c>
      <c r="G317" s="39" t="inlineStr">
        <is>
          <t>Не использован</t>
        </is>
      </c>
      <c r="H317" s="148" t="n"/>
      <c r="I317" s="34" t="str"/>
      <c r="J317" s="34" t="str"/>
      <c r="K317" s="130" t="n">
        <v>113</v>
      </c>
      <c r="L317" s="43">
        <f>IF(COUNTIF($F$5:$F$2407,F317)=1,"OK","Дубликат")</f>
        <v/>
      </c>
    </row>
    <row r="318" ht="38" customHeight="1">
      <c r="A318" s="146" t="inlineStr">
        <is>
          <t>SUB-L1-08-10</t>
        </is>
      </c>
      <c r="B318" s="39" t="inlineStr">
        <is>
          <t>1 уровень</t>
        </is>
      </c>
      <c r="C318" s="34" t="inlineStr">
        <is>
          <t>Закрытые условия на абонементы</t>
        </is>
      </c>
      <c r="D318" s="34" t="inlineStr">
        <is>
          <t>Скидка 10% на абонемент 8 занятий</t>
        </is>
      </c>
      <c r="E318" s="34" t="inlineStr">
        <is>
          <t>При покупке абонемента на 8 занятий</t>
        </is>
      </c>
      <c r="F318" s="147" t="inlineStr">
        <is>
          <t>FW-L1-MFLJY-FXD6E</t>
        </is>
      </c>
      <c r="G318" s="39" t="inlineStr">
        <is>
          <t>Не использован</t>
        </is>
      </c>
      <c r="H318" s="148" t="n"/>
      <c r="I318" s="34" t="str"/>
      <c r="J318" s="34" t="str"/>
      <c r="K318" s="130" t="n">
        <v>114</v>
      </c>
      <c r="L318" s="43">
        <f>IF(COUNTIF($F$5:$F$2407,F318)=1,"OK","Дубликат")</f>
        <v/>
      </c>
    </row>
    <row r="319" ht="38" customHeight="1">
      <c r="A319" s="146" t="inlineStr">
        <is>
          <t>SUB-L1-08-10</t>
        </is>
      </c>
      <c r="B319" s="39" t="inlineStr">
        <is>
          <t>1 уровень</t>
        </is>
      </c>
      <c r="C319" s="34" t="inlineStr">
        <is>
          <t>Закрытые условия на абонементы</t>
        </is>
      </c>
      <c r="D319" s="34" t="inlineStr">
        <is>
          <t>Скидка 10% на абонемент 8 занятий</t>
        </is>
      </c>
      <c r="E319" s="34" t="inlineStr">
        <is>
          <t>При покупке абонемента на 8 занятий</t>
        </is>
      </c>
      <c r="F319" s="147" t="inlineStr">
        <is>
          <t>FW-L1-STEG2-A3U48</t>
        </is>
      </c>
      <c r="G319" s="39" t="inlineStr">
        <is>
          <t>Не использован</t>
        </is>
      </c>
      <c r="H319" s="148" t="n"/>
      <c r="I319" s="34" t="str"/>
      <c r="J319" s="34" t="str"/>
      <c r="K319" s="130" t="n">
        <v>115</v>
      </c>
      <c r="L319" s="43">
        <f>IF(COUNTIF($F$5:$F$2407,F319)=1,"OK","Дубликат")</f>
        <v/>
      </c>
    </row>
    <row r="320" ht="38" customHeight="1">
      <c r="A320" s="146" t="inlineStr">
        <is>
          <t>SUB-L1-08-10</t>
        </is>
      </c>
      <c r="B320" s="39" t="inlineStr">
        <is>
          <t>1 уровень</t>
        </is>
      </c>
      <c r="C320" s="34" t="inlineStr">
        <is>
          <t>Закрытые условия на абонементы</t>
        </is>
      </c>
      <c r="D320" s="34" t="inlineStr">
        <is>
          <t>Скидка 10% на абонемент 8 занятий</t>
        </is>
      </c>
      <c r="E320" s="34" t="inlineStr">
        <is>
          <t>При покупке абонемента на 8 занятий</t>
        </is>
      </c>
      <c r="F320" s="147" t="inlineStr">
        <is>
          <t>FW-L1-YH4HZ-47BZ3</t>
        </is>
      </c>
      <c r="G320" s="39" t="inlineStr">
        <is>
          <t>Не использован</t>
        </is>
      </c>
      <c r="H320" s="148" t="n"/>
      <c r="I320" s="34" t="str"/>
      <c r="J320" s="34" t="str"/>
      <c r="K320" s="130" t="n">
        <v>116</v>
      </c>
      <c r="L320" s="43">
        <f>IF(COUNTIF($F$5:$F$2407,F320)=1,"OK","Дубликат")</f>
        <v/>
      </c>
    </row>
    <row r="321" ht="38" customHeight="1">
      <c r="A321" s="146" t="inlineStr">
        <is>
          <t>SUB-L1-08-10</t>
        </is>
      </c>
      <c r="B321" s="39" t="inlineStr">
        <is>
          <t>1 уровень</t>
        </is>
      </c>
      <c r="C321" s="34" t="inlineStr">
        <is>
          <t>Закрытые условия на абонементы</t>
        </is>
      </c>
      <c r="D321" s="34" t="inlineStr">
        <is>
          <t>Скидка 10% на абонемент 8 занятий</t>
        </is>
      </c>
      <c r="E321" s="34" t="inlineStr">
        <is>
          <t>При покупке абонемента на 8 занятий</t>
        </is>
      </c>
      <c r="F321" s="147" t="inlineStr">
        <is>
          <t>FW-L1-J4RDA-PYMMU</t>
        </is>
      </c>
      <c r="G321" s="39" t="inlineStr">
        <is>
          <t>Не использован</t>
        </is>
      </c>
      <c r="H321" s="148" t="n"/>
      <c r="I321" s="34" t="str"/>
      <c r="J321" s="34" t="str"/>
      <c r="K321" s="130" t="n">
        <v>117</v>
      </c>
      <c r="L321" s="43">
        <f>IF(COUNTIF($F$5:$F$2407,F321)=1,"OK","Дубликат")</f>
        <v/>
      </c>
    </row>
    <row r="322" ht="38" customHeight="1">
      <c r="A322" s="146" t="inlineStr">
        <is>
          <t>SUB-L1-08-10</t>
        </is>
      </c>
      <c r="B322" s="39" t="inlineStr">
        <is>
          <t>1 уровень</t>
        </is>
      </c>
      <c r="C322" s="34" t="inlineStr">
        <is>
          <t>Закрытые условия на абонементы</t>
        </is>
      </c>
      <c r="D322" s="34" t="inlineStr">
        <is>
          <t>Скидка 10% на абонемент 8 занятий</t>
        </is>
      </c>
      <c r="E322" s="34" t="inlineStr">
        <is>
          <t>При покупке абонемента на 8 занятий</t>
        </is>
      </c>
      <c r="F322" s="147" t="inlineStr">
        <is>
          <t>FW-L1-BSWNR-AF58Z</t>
        </is>
      </c>
      <c r="G322" s="39" t="inlineStr">
        <is>
          <t>Не использован</t>
        </is>
      </c>
      <c r="H322" s="148" t="n"/>
      <c r="I322" s="34" t="str"/>
      <c r="J322" s="34" t="str"/>
      <c r="K322" s="130" t="n">
        <v>118</v>
      </c>
      <c r="L322" s="43">
        <f>IF(COUNTIF($F$5:$F$2407,F322)=1,"OK","Дубликат")</f>
        <v/>
      </c>
    </row>
    <row r="323" ht="38" customHeight="1">
      <c r="A323" s="146" t="inlineStr">
        <is>
          <t>SUB-L1-08-10</t>
        </is>
      </c>
      <c r="B323" s="39" t="inlineStr">
        <is>
          <t>1 уровень</t>
        </is>
      </c>
      <c r="C323" s="34" t="inlineStr">
        <is>
          <t>Закрытые условия на абонементы</t>
        </is>
      </c>
      <c r="D323" s="34" t="inlineStr">
        <is>
          <t>Скидка 10% на абонемент 8 занятий</t>
        </is>
      </c>
      <c r="E323" s="34" t="inlineStr">
        <is>
          <t>При покупке абонемента на 8 занятий</t>
        </is>
      </c>
      <c r="F323" s="147" t="inlineStr">
        <is>
          <t>FW-L1-4QVCV-XPCJN</t>
        </is>
      </c>
      <c r="G323" s="39" t="inlineStr">
        <is>
          <t>Не использован</t>
        </is>
      </c>
      <c r="H323" s="148" t="n"/>
      <c r="I323" s="34" t="str"/>
      <c r="J323" s="34" t="str"/>
      <c r="K323" s="130" t="n">
        <v>119</v>
      </c>
      <c r="L323" s="43">
        <f>IF(COUNTIF($F$5:$F$2407,F323)=1,"OK","Дубликат")</f>
        <v/>
      </c>
    </row>
    <row r="324" ht="38" customHeight="1">
      <c r="A324" s="146" t="inlineStr">
        <is>
          <t>SUB-L1-08-10</t>
        </is>
      </c>
      <c r="B324" s="39" t="inlineStr">
        <is>
          <t>1 уровень</t>
        </is>
      </c>
      <c r="C324" s="34" t="inlineStr">
        <is>
          <t>Закрытые условия на абонементы</t>
        </is>
      </c>
      <c r="D324" s="34" t="inlineStr">
        <is>
          <t>Скидка 10% на абонемент 8 занятий</t>
        </is>
      </c>
      <c r="E324" s="34" t="inlineStr">
        <is>
          <t>При покупке абонемента на 8 занятий</t>
        </is>
      </c>
      <c r="F324" s="147" t="inlineStr">
        <is>
          <t>FW-L1-DK25R-A5QSV</t>
        </is>
      </c>
      <c r="G324" s="39" t="inlineStr">
        <is>
          <t>Не использован</t>
        </is>
      </c>
      <c r="H324" s="148" t="n"/>
      <c r="I324" s="34" t="str"/>
      <c r="J324" s="34" t="str"/>
      <c r="K324" s="130" t="n">
        <v>120</v>
      </c>
      <c r="L324" s="43">
        <f>IF(COUNTIF($F$5:$F$2407,F324)=1,"OK","Дубликат")</f>
        <v/>
      </c>
    </row>
    <row r="325" ht="38" customHeight="1">
      <c r="A325" s="146" t="inlineStr">
        <is>
          <t>SUB-L1-08-10</t>
        </is>
      </c>
      <c r="B325" s="39" t="inlineStr">
        <is>
          <t>1 уровень</t>
        </is>
      </c>
      <c r="C325" s="34" t="inlineStr">
        <is>
          <t>Закрытые условия на абонементы</t>
        </is>
      </c>
      <c r="D325" s="34" t="inlineStr">
        <is>
          <t>Скидка 10% на абонемент 8 занятий</t>
        </is>
      </c>
      <c r="E325" s="34" t="inlineStr">
        <is>
          <t>При покупке абонемента на 8 занятий</t>
        </is>
      </c>
      <c r="F325" s="147" t="inlineStr">
        <is>
          <t>FW-L1-4GJXW-3JCKV</t>
        </is>
      </c>
      <c r="G325" s="39" t="inlineStr">
        <is>
          <t>Не использован</t>
        </is>
      </c>
      <c r="H325" s="148" t="n"/>
      <c r="I325" s="34" t="str"/>
      <c r="J325" s="34" t="str"/>
      <c r="K325" s="130" t="n">
        <v>121</v>
      </c>
      <c r="L325" s="43">
        <f>IF(COUNTIF($F$5:$F$2407,F325)=1,"OK","Дубликат")</f>
        <v/>
      </c>
    </row>
    <row r="326" ht="38" customHeight="1">
      <c r="A326" s="146" t="inlineStr">
        <is>
          <t>SUB-L1-08-10</t>
        </is>
      </c>
      <c r="B326" s="39" t="inlineStr">
        <is>
          <t>1 уровень</t>
        </is>
      </c>
      <c r="C326" s="34" t="inlineStr">
        <is>
          <t>Закрытые условия на абонементы</t>
        </is>
      </c>
      <c r="D326" s="34" t="inlineStr">
        <is>
          <t>Скидка 10% на абонемент 8 занятий</t>
        </is>
      </c>
      <c r="E326" s="34" t="inlineStr">
        <is>
          <t>При покупке абонемента на 8 занятий</t>
        </is>
      </c>
      <c r="F326" s="147" t="inlineStr">
        <is>
          <t>FW-L1-ZHHHD-74R46</t>
        </is>
      </c>
      <c r="G326" s="39" t="inlineStr">
        <is>
          <t>Не использован</t>
        </is>
      </c>
      <c r="H326" s="148" t="n"/>
      <c r="I326" s="34" t="str"/>
      <c r="J326" s="34" t="str"/>
      <c r="K326" s="130" t="n">
        <v>122</v>
      </c>
      <c r="L326" s="43">
        <f>IF(COUNTIF($F$5:$F$2407,F326)=1,"OK","Дубликат")</f>
        <v/>
      </c>
    </row>
    <row r="327" ht="38" customHeight="1">
      <c r="A327" s="146" t="inlineStr">
        <is>
          <t>SUB-L1-08-10</t>
        </is>
      </c>
      <c r="B327" s="39" t="inlineStr">
        <is>
          <t>1 уровень</t>
        </is>
      </c>
      <c r="C327" s="34" t="inlineStr">
        <is>
          <t>Закрытые условия на абонементы</t>
        </is>
      </c>
      <c r="D327" s="34" t="inlineStr">
        <is>
          <t>Скидка 10% на абонемент 8 занятий</t>
        </is>
      </c>
      <c r="E327" s="34" t="inlineStr">
        <is>
          <t>При покупке абонемента на 8 занятий</t>
        </is>
      </c>
      <c r="F327" s="147" t="inlineStr">
        <is>
          <t>FW-L1-UQKYJ-CGYT8</t>
        </is>
      </c>
      <c r="G327" s="39" t="inlineStr">
        <is>
          <t>Не использован</t>
        </is>
      </c>
      <c r="H327" s="148" t="n"/>
      <c r="I327" s="34" t="str"/>
      <c r="J327" s="34" t="str"/>
      <c r="K327" s="130" t="n">
        <v>123</v>
      </c>
      <c r="L327" s="43">
        <f>IF(COUNTIF($F$5:$F$2407,F327)=1,"OK","Дубликат")</f>
        <v/>
      </c>
    </row>
    <row r="328" ht="38" customHeight="1">
      <c r="A328" s="146" t="inlineStr">
        <is>
          <t>SUB-L1-08-10</t>
        </is>
      </c>
      <c r="B328" s="39" t="inlineStr">
        <is>
          <t>1 уровень</t>
        </is>
      </c>
      <c r="C328" s="34" t="inlineStr">
        <is>
          <t>Закрытые условия на абонементы</t>
        </is>
      </c>
      <c r="D328" s="34" t="inlineStr">
        <is>
          <t>Скидка 10% на абонемент 8 занятий</t>
        </is>
      </c>
      <c r="E328" s="34" t="inlineStr">
        <is>
          <t>При покупке абонемента на 8 занятий</t>
        </is>
      </c>
      <c r="F328" s="147" t="inlineStr">
        <is>
          <t>FW-L1-E3QCP-N9K59</t>
        </is>
      </c>
      <c r="G328" s="39" t="inlineStr">
        <is>
          <t>Не использован</t>
        </is>
      </c>
      <c r="H328" s="148" t="n"/>
      <c r="I328" s="34" t="str"/>
      <c r="J328" s="34" t="str"/>
      <c r="K328" s="130" t="n">
        <v>124</v>
      </c>
      <c r="L328" s="43">
        <f>IF(COUNTIF($F$5:$F$2407,F328)=1,"OK","Дубликат")</f>
        <v/>
      </c>
    </row>
    <row r="329" ht="38" customHeight="1">
      <c r="A329" s="146" t="inlineStr">
        <is>
          <t>SUB-L1-08-10</t>
        </is>
      </c>
      <c r="B329" s="39" t="inlineStr">
        <is>
          <t>1 уровень</t>
        </is>
      </c>
      <c r="C329" s="34" t="inlineStr">
        <is>
          <t>Закрытые условия на абонементы</t>
        </is>
      </c>
      <c r="D329" s="34" t="inlineStr">
        <is>
          <t>Скидка 10% на абонемент 8 занятий</t>
        </is>
      </c>
      <c r="E329" s="34" t="inlineStr">
        <is>
          <t>При покупке абонемента на 8 занятий</t>
        </is>
      </c>
      <c r="F329" s="147" t="inlineStr">
        <is>
          <t>FW-L1-B2YPX-5DX48</t>
        </is>
      </c>
      <c r="G329" s="39" t="inlineStr">
        <is>
          <t>Не использован</t>
        </is>
      </c>
      <c r="H329" s="148" t="n"/>
      <c r="I329" s="34" t="str"/>
      <c r="J329" s="34" t="str"/>
      <c r="K329" s="130" t="n">
        <v>125</v>
      </c>
      <c r="L329" s="43">
        <f>IF(COUNTIF($F$5:$F$2407,F329)=1,"OK","Дубликат")</f>
        <v/>
      </c>
    </row>
    <row r="330" ht="38" customHeight="1">
      <c r="A330" s="146" t="inlineStr">
        <is>
          <t>SUB-L1-08-10</t>
        </is>
      </c>
      <c r="B330" s="39" t="inlineStr">
        <is>
          <t>1 уровень</t>
        </is>
      </c>
      <c r="C330" s="34" t="inlineStr">
        <is>
          <t>Закрытые условия на абонементы</t>
        </is>
      </c>
      <c r="D330" s="34" t="inlineStr">
        <is>
          <t>Скидка 10% на абонемент 8 занятий</t>
        </is>
      </c>
      <c r="E330" s="34" t="inlineStr">
        <is>
          <t>При покупке абонемента на 8 занятий</t>
        </is>
      </c>
      <c r="F330" s="147" t="inlineStr">
        <is>
          <t>FW-L1-59ZSY-W825Y</t>
        </is>
      </c>
      <c r="G330" s="39" t="inlineStr">
        <is>
          <t>Не использован</t>
        </is>
      </c>
      <c r="H330" s="148" t="n"/>
      <c r="I330" s="34" t="str"/>
      <c r="J330" s="34" t="str"/>
      <c r="K330" s="130" t="n">
        <v>126</v>
      </c>
      <c r="L330" s="43">
        <f>IF(COUNTIF($F$5:$F$2407,F330)=1,"OK","Дубликат")</f>
        <v/>
      </c>
    </row>
    <row r="331" ht="38" customHeight="1">
      <c r="A331" s="146" t="inlineStr">
        <is>
          <t>SUB-L1-08-10</t>
        </is>
      </c>
      <c r="B331" s="39" t="inlineStr">
        <is>
          <t>1 уровень</t>
        </is>
      </c>
      <c r="C331" s="34" t="inlineStr">
        <is>
          <t>Закрытые условия на абонементы</t>
        </is>
      </c>
      <c r="D331" s="34" t="inlineStr">
        <is>
          <t>Скидка 10% на абонемент 8 занятий</t>
        </is>
      </c>
      <c r="E331" s="34" t="inlineStr">
        <is>
          <t>При покупке абонемента на 8 занятий</t>
        </is>
      </c>
      <c r="F331" s="147" t="inlineStr">
        <is>
          <t>FW-L1-LPS4E-RFXPZ</t>
        </is>
      </c>
      <c r="G331" s="39" t="inlineStr">
        <is>
          <t>Не использован</t>
        </is>
      </c>
      <c r="H331" s="148" t="n"/>
      <c r="I331" s="34" t="str"/>
      <c r="J331" s="34" t="str"/>
      <c r="K331" s="130" t="n">
        <v>127</v>
      </c>
      <c r="L331" s="43">
        <f>IF(COUNTIF($F$5:$F$2407,F331)=1,"OK","Дубликат")</f>
        <v/>
      </c>
    </row>
    <row r="332" ht="38" customHeight="1">
      <c r="A332" s="146" t="inlineStr">
        <is>
          <t>SUB-L1-08-10</t>
        </is>
      </c>
      <c r="B332" s="39" t="inlineStr">
        <is>
          <t>1 уровень</t>
        </is>
      </c>
      <c r="C332" s="34" t="inlineStr">
        <is>
          <t>Закрытые условия на абонементы</t>
        </is>
      </c>
      <c r="D332" s="34" t="inlineStr">
        <is>
          <t>Скидка 10% на абонемент 8 занятий</t>
        </is>
      </c>
      <c r="E332" s="34" t="inlineStr">
        <is>
          <t>При покупке абонемента на 8 занятий</t>
        </is>
      </c>
      <c r="F332" s="147" t="inlineStr">
        <is>
          <t>FW-L1-W7ZNW-C6F36</t>
        </is>
      </c>
      <c r="G332" s="39" t="inlineStr">
        <is>
          <t>Не использован</t>
        </is>
      </c>
      <c r="H332" s="148" t="n"/>
      <c r="I332" s="34" t="str"/>
      <c r="J332" s="34" t="str"/>
      <c r="K332" s="130" t="n">
        <v>128</v>
      </c>
      <c r="L332" s="43">
        <f>IF(COUNTIF($F$5:$F$2407,F332)=1,"OK","Дубликат")</f>
        <v/>
      </c>
    </row>
    <row r="333" ht="38" customHeight="1">
      <c r="A333" s="146" t="inlineStr">
        <is>
          <t>SUB-L1-08-10</t>
        </is>
      </c>
      <c r="B333" s="39" t="inlineStr">
        <is>
          <t>1 уровень</t>
        </is>
      </c>
      <c r="C333" s="34" t="inlineStr">
        <is>
          <t>Закрытые условия на абонементы</t>
        </is>
      </c>
      <c r="D333" s="34" t="inlineStr">
        <is>
          <t>Скидка 10% на абонемент 8 занятий</t>
        </is>
      </c>
      <c r="E333" s="34" t="inlineStr">
        <is>
          <t>При покупке абонемента на 8 занятий</t>
        </is>
      </c>
      <c r="F333" s="147" t="inlineStr">
        <is>
          <t>FW-L1-5EQXW-8L3B3</t>
        </is>
      </c>
      <c r="G333" s="39" t="inlineStr">
        <is>
          <t>Не использован</t>
        </is>
      </c>
      <c r="H333" s="148" t="n"/>
      <c r="I333" s="34" t="str"/>
      <c r="J333" s="34" t="str"/>
      <c r="K333" s="130" t="n">
        <v>129</v>
      </c>
      <c r="L333" s="43">
        <f>IF(COUNTIF($F$5:$F$2407,F333)=1,"OK","Дубликат")</f>
        <v/>
      </c>
    </row>
    <row r="334" ht="38" customHeight="1">
      <c r="A334" s="146" t="inlineStr">
        <is>
          <t>SUB-L1-08-10</t>
        </is>
      </c>
      <c r="B334" s="39" t="inlineStr">
        <is>
          <t>1 уровень</t>
        </is>
      </c>
      <c r="C334" s="34" t="inlineStr">
        <is>
          <t>Закрытые условия на абонементы</t>
        </is>
      </c>
      <c r="D334" s="34" t="inlineStr">
        <is>
          <t>Скидка 10% на абонемент 8 занятий</t>
        </is>
      </c>
      <c r="E334" s="34" t="inlineStr">
        <is>
          <t>При покупке абонемента на 8 занятий</t>
        </is>
      </c>
      <c r="F334" s="147" t="inlineStr">
        <is>
          <t>FW-L1-PBTW4-NTQLQ</t>
        </is>
      </c>
      <c r="G334" s="39" t="inlineStr">
        <is>
          <t>Не использован</t>
        </is>
      </c>
      <c r="H334" s="148" t="n"/>
      <c r="I334" s="34" t="str"/>
      <c r="J334" s="34" t="str"/>
      <c r="K334" s="130" t="n">
        <v>130</v>
      </c>
      <c r="L334" s="43">
        <f>IF(COUNTIF($F$5:$F$2407,F334)=1,"OK","Дубликат")</f>
        <v/>
      </c>
    </row>
    <row r="335" ht="38" customHeight="1">
      <c r="A335" s="146" t="inlineStr">
        <is>
          <t>SUB-L1-08-10</t>
        </is>
      </c>
      <c r="B335" s="39" t="inlineStr">
        <is>
          <t>1 уровень</t>
        </is>
      </c>
      <c r="C335" s="34" t="inlineStr">
        <is>
          <t>Закрытые условия на абонементы</t>
        </is>
      </c>
      <c r="D335" s="34" t="inlineStr">
        <is>
          <t>Скидка 10% на абонемент 8 занятий</t>
        </is>
      </c>
      <c r="E335" s="34" t="inlineStr">
        <is>
          <t>При покупке абонемента на 8 занятий</t>
        </is>
      </c>
      <c r="F335" s="147" t="inlineStr">
        <is>
          <t>FW-L1-Y5LGV-YGN8C</t>
        </is>
      </c>
      <c r="G335" s="39" t="inlineStr">
        <is>
          <t>Не использован</t>
        </is>
      </c>
      <c r="H335" s="148" t="n"/>
      <c r="I335" s="34" t="str"/>
      <c r="J335" s="34" t="str"/>
      <c r="K335" s="130" t="n">
        <v>131</v>
      </c>
      <c r="L335" s="43">
        <f>IF(COUNTIF($F$5:$F$2407,F335)=1,"OK","Дубликат")</f>
        <v/>
      </c>
    </row>
    <row r="336" ht="38" customHeight="1">
      <c r="A336" s="146" t="inlineStr">
        <is>
          <t>SUB-L1-08-10</t>
        </is>
      </c>
      <c r="B336" s="39" t="inlineStr">
        <is>
          <t>1 уровень</t>
        </is>
      </c>
      <c r="C336" s="34" t="inlineStr">
        <is>
          <t>Закрытые условия на абонементы</t>
        </is>
      </c>
      <c r="D336" s="34" t="inlineStr">
        <is>
          <t>Скидка 10% на абонемент 8 занятий</t>
        </is>
      </c>
      <c r="E336" s="34" t="inlineStr">
        <is>
          <t>При покупке абонемента на 8 занятий</t>
        </is>
      </c>
      <c r="F336" s="147" t="inlineStr">
        <is>
          <t>FW-L1-5BZD2-FNR3J</t>
        </is>
      </c>
      <c r="G336" s="39" t="inlineStr">
        <is>
          <t>Не использован</t>
        </is>
      </c>
      <c r="H336" s="148" t="n"/>
      <c r="I336" s="34" t="str"/>
      <c r="J336" s="34" t="str"/>
      <c r="K336" s="130" t="n">
        <v>132</v>
      </c>
      <c r="L336" s="43">
        <f>IF(COUNTIF($F$5:$F$2407,F336)=1,"OK","Дубликат")</f>
        <v/>
      </c>
    </row>
    <row r="337" ht="38" customHeight="1">
      <c r="A337" s="146" t="inlineStr">
        <is>
          <t>SUB-L1-08-10</t>
        </is>
      </c>
      <c r="B337" s="39" t="inlineStr">
        <is>
          <t>1 уровень</t>
        </is>
      </c>
      <c r="C337" s="34" t="inlineStr">
        <is>
          <t>Закрытые условия на абонементы</t>
        </is>
      </c>
      <c r="D337" s="34" t="inlineStr">
        <is>
          <t>Скидка 10% на абонемент 8 занятий</t>
        </is>
      </c>
      <c r="E337" s="34" t="inlineStr">
        <is>
          <t>При покупке абонемента на 8 занятий</t>
        </is>
      </c>
      <c r="F337" s="147" t="inlineStr">
        <is>
          <t>FW-L1-FLWUR-HFNGU</t>
        </is>
      </c>
      <c r="G337" s="39" t="inlineStr">
        <is>
          <t>Не использован</t>
        </is>
      </c>
      <c r="H337" s="148" t="n"/>
      <c r="I337" s="34" t="str"/>
      <c r="J337" s="34" t="str"/>
      <c r="K337" s="130" t="n">
        <v>133</v>
      </c>
      <c r="L337" s="43">
        <f>IF(COUNTIF($F$5:$F$2407,F337)=1,"OK","Дубликат")</f>
        <v/>
      </c>
    </row>
    <row r="338" ht="38" customHeight="1">
      <c r="A338" s="146" t="inlineStr">
        <is>
          <t>SUB-L1-08-10</t>
        </is>
      </c>
      <c r="B338" s="39" t="inlineStr">
        <is>
          <t>1 уровень</t>
        </is>
      </c>
      <c r="C338" s="34" t="inlineStr">
        <is>
          <t>Закрытые условия на абонементы</t>
        </is>
      </c>
      <c r="D338" s="34" t="inlineStr">
        <is>
          <t>Скидка 10% на абонемент 8 занятий</t>
        </is>
      </c>
      <c r="E338" s="34" t="inlineStr">
        <is>
          <t>При покупке абонемента на 8 занятий</t>
        </is>
      </c>
      <c r="F338" s="147" t="inlineStr">
        <is>
          <t>FW-L1-8HCWT-R9QFM</t>
        </is>
      </c>
      <c r="G338" s="39" t="inlineStr">
        <is>
          <t>Не использован</t>
        </is>
      </c>
      <c r="H338" s="148" t="n"/>
      <c r="I338" s="34" t="str"/>
      <c r="J338" s="34" t="str"/>
      <c r="K338" s="130" t="n">
        <v>134</v>
      </c>
      <c r="L338" s="43">
        <f>IF(COUNTIF($F$5:$F$2407,F338)=1,"OK","Дубликат")</f>
        <v/>
      </c>
    </row>
    <row r="339" ht="38" customHeight="1">
      <c r="A339" s="146" t="inlineStr">
        <is>
          <t>SUB-L1-08-10</t>
        </is>
      </c>
      <c r="B339" s="39" t="inlineStr">
        <is>
          <t>1 уровень</t>
        </is>
      </c>
      <c r="C339" s="34" t="inlineStr">
        <is>
          <t>Закрытые условия на абонементы</t>
        </is>
      </c>
      <c r="D339" s="34" t="inlineStr">
        <is>
          <t>Скидка 10% на абонемент 8 занятий</t>
        </is>
      </c>
      <c r="E339" s="34" t="inlineStr">
        <is>
          <t>При покупке абонемента на 8 занятий</t>
        </is>
      </c>
      <c r="F339" s="147" t="inlineStr">
        <is>
          <t>FW-L1-3BFC4-8EXZ2</t>
        </is>
      </c>
      <c r="G339" s="39" t="inlineStr">
        <is>
          <t>Не использован</t>
        </is>
      </c>
      <c r="H339" s="148" t="n"/>
      <c r="I339" s="34" t="str"/>
      <c r="J339" s="34" t="str"/>
      <c r="K339" s="130" t="n">
        <v>135</v>
      </c>
      <c r="L339" s="43">
        <f>IF(COUNTIF($F$5:$F$2407,F339)=1,"OK","Дубликат")</f>
        <v/>
      </c>
    </row>
    <row r="340" ht="38" customHeight="1">
      <c r="A340" s="146" t="inlineStr">
        <is>
          <t>SUB-L1-08-10</t>
        </is>
      </c>
      <c r="B340" s="39" t="inlineStr">
        <is>
          <t>1 уровень</t>
        </is>
      </c>
      <c r="C340" s="34" t="inlineStr">
        <is>
          <t>Закрытые условия на абонементы</t>
        </is>
      </c>
      <c r="D340" s="34" t="inlineStr">
        <is>
          <t>Скидка 10% на абонемент 8 занятий</t>
        </is>
      </c>
      <c r="E340" s="34" t="inlineStr">
        <is>
          <t>При покупке абонемента на 8 занятий</t>
        </is>
      </c>
      <c r="F340" s="147" t="inlineStr">
        <is>
          <t>FW-L1-JWTF6-PF4LJ</t>
        </is>
      </c>
      <c r="G340" s="39" t="inlineStr">
        <is>
          <t>Не использован</t>
        </is>
      </c>
      <c r="H340" s="148" t="n"/>
      <c r="I340" s="34" t="str"/>
      <c r="J340" s="34" t="str"/>
      <c r="K340" s="130" t="n">
        <v>136</v>
      </c>
      <c r="L340" s="43">
        <f>IF(COUNTIF($F$5:$F$2407,F340)=1,"OK","Дубликат")</f>
        <v/>
      </c>
    </row>
    <row r="341" ht="38" customHeight="1">
      <c r="A341" s="146" t="inlineStr">
        <is>
          <t>SUB-L1-08-10</t>
        </is>
      </c>
      <c r="B341" s="39" t="inlineStr">
        <is>
          <t>1 уровень</t>
        </is>
      </c>
      <c r="C341" s="34" t="inlineStr">
        <is>
          <t>Закрытые условия на абонементы</t>
        </is>
      </c>
      <c r="D341" s="34" t="inlineStr">
        <is>
          <t>Скидка 10% на абонемент 8 занятий</t>
        </is>
      </c>
      <c r="E341" s="34" t="inlineStr">
        <is>
          <t>При покупке абонемента на 8 занятий</t>
        </is>
      </c>
      <c r="F341" s="147" t="inlineStr">
        <is>
          <t>FW-L1-X427H-G7HLD</t>
        </is>
      </c>
      <c r="G341" s="39" t="inlineStr">
        <is>
          <t>Не использован</t>
        </is>
      </c>
      <c r="H341" s="148" t="n"/>
      <c r="I341" s="34" t="str"/>
      <c r="J341" s="34" t="str"/>
      <c r="K341" s="130" t="n">
        <v>137</v>
      </c>
      <c r="L341" s="43">
        <f>IF(COUNTIF($F$5:$F$2407,F341)=1,"OK","Дубликат")</f>
        <v/>
      </c>
    </row>
    <row r="342" ht="38" customHeight="1">
      <c r="A342" s="146" t="inlineStr">
        <is>
          <t>SUB-L1-08-10</t>
        </is>
      </c>
      <c r="B342" s="39" t="inlineStr">
        <is>
          <t>1 уровень</t>
        </is>
      </c>
      <c r="C342" s="34" t="inlineStr">
        <is>
          <t>Закрытые условия на абонементы</t>
        </is>
      </c>
      <c r="D342" s="34" t="inlineStr">
        <is>
          <t>Скидка 10% на абонемент 8 занятий</t>
        </is>
      </c>
      <c r="E342" s="34" t="inlineStr">
        <is>
          <t>При покупке абонемента на 8 занятий</t>
        </is>
      </c>
      <c r="F342" s="147" t="inlineStr">
        <is>
          <t>FW-L1-XR4NP-3FURU</t>
        </is>
      </c>
      <c r="G342" s="39" t="inlineStr">
        <is>
          <t>Не использован</t>
        </is>
      </c>
      <c r="H342" s="148" t="n"/>
      <c r="I342" s="34" t="str"/>
      <c r="J342" s="34" t="str"/>
      <c r="K342" s="130" t="n">
        <v>138</v>
      </c>
      <c r="L342" s="43">
        <f>IF(COUNTIF($F$5:$F$2407,F342)=1,"OK","Дубликат")</f>
        <v/>
      </c>
    </row>
    <row r="343" ht="38" customHeight="1">
      <c r="A343" s="146" t="inlineStr">
        <is>
          <t>SUB-L1-08-10</t>
        </is>
      </c>
      <c r="B343" s="39" t="inlineStr">
        <is>
          <t>1 уровень</t>
        </is>
      </c>
      <c r="C343" s="34" t="inlineStr">
        <is>
          <t>Закрытые условия на абонементы</t>
        </is>
      </c>
      <c r="D343" s="34" t="inlineStr">
        <is>
          <t>Скидка 10% на абонемент 8 занятий</t>
        </is>
      </c>
      <c r="E343" s="34" t="inlineStr">
        <is>
          <t>При покупке абонемента на 8 занятий</t>
        </is>
      </c>
      <c r="F343" s="147" t="inlineStr">
        <is>
          <t>FW-L1-PGKKS-RG9YW</t>
        </is>
      </c>
      <c r="G343" s="39" t="inlineStr">
        <is>
          <t>Не использован</t>
        </is>
      </c>
      <c r="H343" s="148" t="n"/>
      <c r="I343" s="34" t="str"/>
      <c r="J343" s="34" t="str"/>
      <c r="K343" s="130" t="n">
        <v>139</v>
      </c>
      <c r="L343" s="43">
        <f>IF(COUNTIF($F$5:$F$2407,F343)=1,"OK","Дубликат")</f>
        <v/>
      </c>
    </row>
    <row r="344" ht="38" customHeight="1">
      <c r="A344" s="146" t="inlineStr">
        <is>
          <t>SUB-L1-08-10</t>
        </is>
      </c>
      <c r="B344" s="39" t="inlineStr">
        <is>
          <t>1 уровень</t>
        </is>
      </c>
      <c r="C344" s="34" t="inlineStr">
        <is>
          <t>Закрытые условия на абонементы</t>
        </is>
      </c>
      <c r="D344" s="34" t="inlineStr">
        <is>
          <t>Скидка 10% на абонемент 8 занятий</t>
        </is>
      </c>
      <c r="E344" s="34" t="inlineStr">
        <is>
          <t>При покупке абонемента на 8 занятий</t>
        </is>
      </c>
      <c r="F344" s="147" t="inlineStr">
        <is>
          <t>FW-L1-XHPXF-SZLXT</t>
        </is>
      </c>
      <c r="G344" s="39" t="inlineStr">
        <is>
          <t>Не использован</t>
        </is>
      </c>
      <c r="H344" s="148" t="n"/>
      <c r="I344" s="34" t="str"/>
      <c r="J344" s="34" t="str"/>
      <c r="K344" s="130" t="n">
        <v>140</v>
      </c>
      <c r="L344" s="43">
        <f>IF(COUNTIF($F$5:$F$2407,F344)=1,"OK","Дубликат")</f>
        <v/>
      </c>
    </row>
    <row r="345" ht="38" customHeight="1">
      <c r="A345" s="146" t="inlineStr">
        <is>
          <t>SUB-L1-08-10</t>
        </is>
      </c>
      <c r="B345" s="39" t="inlineStr">
        <is>
          <t>1 уровень</t>
        </is>
      </c>
      <c r="C345" s="34" t="inlineStr">
        <is>
          <t>Закрытые условия на абонементы</t>
        </is>
      </c>
      <c r="D345" s="34" t="inlineStr">
        <is>
          <t>Скидка 10% на абонемент 8 занятий</t>
        </is>
      </c>
      <c r="E345" s="34" t="inlineStr">
        <is>
          <t>При покупке абонемента на 8 занятий</t>
        </is>
      </c>
      <c r="F345" s="147" t="inlineStr">
        <is>
          <t>FW-L1-BW2KX-93TD4</t>
        </is>
      </c>
      <c r="G345" s="39" t="inlineStr">
        <is>
          <t>Не использован</t>
        </is>
      </c>
      <c r="H345" s="148" t="n"/>
      <c r="I345" s="34" t="str"/>
      <c r="J345" s="34" t="str"/>
      <c r="K345" s="130" t="n">
        <v>141</v>
      </c>
      <c r="L345" s="43">
        <f>IF(COUNTIF($F$5:$F$2407,F345)=1,"OK","Дубликат")</f>
        <v/>
      </c>
    </row>
    <row r="346" ht="38" customHeight="1">
      <c r="A346" s="146" t="inlineStr">
        <is>
          <t>SUB-L1-08-10</t>
        </is>
      </c>
      <c r="B346" s="39" t="inlineStr">
        <is>
          <t>1 уровень</t>
        </is>
      </c>
      <c r="C346" s="34" t="inlineStr">
        <is>
          <t>Закрытые условия на абонементы</t>
        </is>
      </c>
      <c r="D346" s="34" t="inlineStr">
        <is>
          <t>Скидка 10% на абонемент 8 занятий</t>
        </is>
      </c>
      <c r="E346" s="34" t="inlineStr">
        <is>
          <t>При покупке абонемента на 8 занятий</t>
        </is>
      </c>
      <c r="F346" s="147" t="inlineStr">
        <is>
          <t>FW-L1-YD8VW-673AS</t>
        </is>
      </c>
      <c r="G346" s="39" t="inlineStr">
        <is>
          <t>Не использован</t>
        </is>
      </c>
      <c r="H346" s="148" t="n"/>
      <c r="I346" s="34" t="str"/>
      <c r="J346" s="34" t="str"/>
      <c r="K346" s="130" t="n">
        <v>142</v>
      </c>
      <c r="L346" s="43">
        <f>IF(COUNTIF($F$5:$F$2407,F346)=1,"OK","Дубликат")</f>
        <v/>
      </c>
    </row>
    <row r="347" ht="38" customHeight="1">
      <c r="A347" s="146" t="inlineStr">
        <is>
          <t>SUB-L1-08-10</t>
        </is>
      </c>
      <c r="B347" s="39" t="inlineStr">
        <is>
          <t>1 уровень</t>
        </is>
      </c>
      <c r="C347" s="34" t="inlineStr">
        <is>
          <t>Закрытые условия на абонементы</t>
        </is>
      </c>
      <c r="D347" s="34" t="inlineStr">
        <is>
          <t>Скидка 10% на абонемент 8 занятий</t>
        </is>
      </c>
      <c r="E347" s="34" t="inlineStr">
        <is>
          <t>При покупке абонемента на 8 занятий</t>
        </is>
      </c>
      <c r="F347" s="147" t="inlineStr">
        <is>
          <t>FW-L1-M8KAQ-WS3CW</t>
        </is>
      </c>
      <c r="G347" s="39" t="inlineStr">
        <is>
          <t>Не использован</t>
        </is>
      </c>
      <c r="H347" s="148" t="n"/>
      <c r="I347" s="34" t="str"/>
      <c r="J347" s="34" t="str"/>
      <c r="K347" s="130" t="n">
        <v>143</v>
      </c>
      <c r="L347" s="43">
        <f>IF(COUNTIF($F$5:$F$2407,F347)=1,"OK","Дубликат")</f>
        <v/>
      </c>
    </row>
    <row r="348" ht="38" customHeight="1">
      <c r="A348" s="146" t="inlineStr">
        <is>
          <t>SUB-L1-08-10</t>
        </is>
      </c>
      <c r="B348" s="39" t="inlineStr">
        <is>
          <t>1 уровень</t>
        </is>
      </c>
      <c r="C348" s="34" t="inlineStr">
        <is>
          <t>Закрытые условия на абонементы</t>
        </is>
      </c>
      <c r="D348" s="34" t="inlineStr">
        <is>
          <t>Скидка 10% на абонемент 8 занятий</t>
        </is>
      </c>
      <c r="E348" s="34" t="inlineStr">
        <is>
          <t>При покупке абонемента на 8 занятий</t>
        </is>
      </c>
      <c r="F348" s="147" t="inlineStr">
        <is>
          <t>FW-L1-GD59Z-U3ZSD</t>
        </is>
      </c>
      <c r="G348" s="39" t="inlineStr">
        <is>
          <t>Не использован</t>
        </is>
      </c>
      <c r="H348" s="148" t="n"/>
      <c r="I348" s="34" t="str"/>
      <c r="J348" s="34" t="str"/>
      <c r="K348" s="130" t="n">
        <v>144</v>
      </c>
      <c r="L348" s="43">
        <f>IF(COUNTIF($F$5:$F$2407,F348)=1,"OK","Дубликат")</f>
        <v/>
      </c>
    </row>
    <row r="349" ht="38" customHeight="1">
      <c r="A349" s="146" t="inlineStr">
        <is>
          <t>SUB-L1-08-10</t>
        </is>
      </c>
      <c r="B349" s="39" t="inlineStr">
        <is>
          <t>1 уровень</t>
        </is>
      </c>
      <c r="C349" s="34" t="inlineStr">
        <is>
          <t>Закрытые условия на абонементы</t>
        </is>
      </c>
      <c r="D349" s="34" t="inlineStr">
        <is>
          <t>Скидка 10% на абонемент 8 занятий</t>
        </is>
      </c>
      <c r="E349" s="34" t="inlineStr">
        <is>
          <t>При покупке абонемента на 8 занятий</t>
        </is>
      </c>
      <c r="F349" s="147" t="inlineStr">
        <is>
          <t>FW-L1-JF29V-6SDE2</t>
        </is>
      </c>
      <c r="G349" s="39" t="inlineStr">
        <is>
          <t>Не использован</t>
        </is>
      </c>
      <c r="H349" s="148" t="n"/>
      <c r="I349" s="34" t="str"/>
      <c r="J349" s="34" t="str"/>
      <c r="K349" s="130" t="n">
        <v>145</v>
      </c>
      <c r="L349" s="43">
        <f>IF(COUNTIF($F$5:$F$2407,F349)=1,"OK","Дубликат")</f>
        <v/>
      </c>
    </row>
    <row r="350" ht="38" customHeight="1">
      <c r="A350" s="146" t="inlineStr">
        <is>
          <t>SUB-L1-08-10</t>
        </is>
      </c>
      <c r="B350" s="39" t="inlineStr">
        <is>
          <t>1 уровень</t>
        </is>
      </c>
      <c r="C350" s="34" t="inlineStr">
        <is>
          <t>Закрытые условия на абонементы</t>
        </is>
      </c>
      <c r="D350" s="34" t="inlineStr">
        <is>
          <t>Скидка 10% на абонемент 8 занятий</t>
        </is>
      </c>
      <c r="E350" s="34" t="inlineStr">
        <is>
          <t>При покупке абонемента на 8 занятий</t>
        </is>
      </c>
      <c r="F350" s="147" t="inlineStr">
        <is>
          <t>FW-L1-EKZBG-TVP8G</t>
        </is>
      </c>
      <c r="G350" s="39" t="inlineStr">
        <is>
          <t>Не использован</t>
        </is>
      </c>
      <c r="H350" s="148" t="n"/>
      <c r="I350" s="34" t="str"/>
      <c r="J350" s="34" t="str"/>
      <c r="K350" s="130" t="n">
        <v>146</v>
      </c>
      <c r="L350" s="43">
        <f>IF(COUNTIF($F$5:$F$2407,F350)=1,"OK","Дубликат")</f>
        <v/>
      </c>
    </row>
    <row r="351" ht="38" customHeight="1">
      <c r="A351" s="146" t="inlineStr">
        <is>
          <t>SUB-L1-08-10</t>
        </is>
      </c>
      <c r="B351" s="39" t="inlineStr">
        <is>
          <t>1 уровень</t>
        </is>
      </c>
      <c r="C351" s="34" t="inlineStr">
        <is>
          <t>Закрытые условия на абонементы</t>
        </is>
      </c>
      <c r="D351" s="34" t="inlineStr">
        <is>
          <t>Скидка 10% на абонемент 8 занятий</t>
        </is>
      </c>
      <c r="E351" s="34" t="inlineStr">
        <is>
          <t>При покупке абонемента на 8 занятий</t>
        </is>
      </c>
      <c r="F351" s="147" t="inlineStr">
        <is>
          <t>FW-L1-PGF9J-Y4XCM</t>
        </is>
      </c>
      <c r="G351" s="39" t="inlineStr">
        <is>
          <t>Не использован</t>
        </is>
      </c>
      <c r="H351" s="148" t="n"/>
      <c r="I351" s="34" t="str"/>
      <c r="J351" s="34" t="str"/>
      <c r="K351" s="130" t="n">
        <v>147</v>
      </c>
      <c r="L351" s="43">
        <f>IF(COUNTIF($F$5:$F$2407,F351)=1,"OK","Дубликат")</f>
        <v/>
      </c>
    </row>
    <row r="352" ht="38" customHeight="1">
      <c r="A352" s="146" t="inlineStr">
        <is>
          <t>SUB-L1-08-10</t>
        </is>
      </c>
      <c r="B352" s="39" t="inlineStr">
        <is>
          <t>1 уровень</t>
        </is>
      </c>
      <c r="C352" s="34" t="inlineStr">
        <is>
          <t>Закрытые условия на абонементы</t>
        </is>
      </c>
      <c r="D352" s="34" t="inlineStr">
        <is>
          <t>Скидка 10% на абонемент 8 занятий</t>
        </is>
      </c>
      <c r="E352" s="34" t="inlineStr">
        <is>
          <t>При покупке абонемента на 8 занятий</t>
        </is>
      </c>
      <c r="F352" s="147" t="inlineStr">
        <is>
          <t>FW-L1-Z5P62-47FKG</t>
        </is>
      </c>
      <c r="G352" s="39" t="inlineStr">
        <is>
          <t>Не использован</t>
        </is>
      </c>
      <c r="H352" s="148" t="n"/>
      <c r="I352" s="34" t="str"/>
      <c r="J352" s="34" t="str"/>
      <c r="K352" s="130" t="n">
        <v>148</v>
      </c>
      <c r="L352" s="43">
        <f>IF(COUNTIF($F$5:$F$2407,F352)=1,"OK","Дубликат")</f>
        <v/>
      </c>
    </row>
    <row r="353" ht="38" customHeight="1">
      <c r="A353" s="146" t="inlineStr">
        <is>
          <t>SUB-L1-08-10</t>
        </is>
      </c>
      <c r="B353" s="39" t="inlineStr">
        <is>
          <t>1 уровень</t>
        </is>
      </c>
      <c r="C353" s="34" t="inlineStr">
        <is>
          <t>Закрытые условия на абонементы</t>
        </is>
      </c>
      <c r="D353" s="34" t="inlineStr">
        <is>
          <t>Скидка 10% на абонемент 8 занятий</t>
        </is>
      </c>
      <c r="E353" s="34" t="inlineStr">
        <is>
          <t>При покупке абонемента на 8 занятий</t>
        </is>
      </c>
      <c r="F353" s="147" t="inlineStr">
        <is>
          <t>FW-L1-V9FKG-ALRTX</t>
        </is>
      </c>
      <c r="G353" s="39" t="inlineStr">
        <is>
          <t>Не использован</t>
        </is>
      </c>
      <c r="H353" s="148" t="n"/>
      <c r="I353" s="34" t="str"/>
      <c r="J353" s="34" t="str"/>
      <c r="K353" s="130" t="n">
        <v>149</v>
      </c>
      <c r="L353" s="43">
        <f>IF(COUNTIF($F$5:$F$2407,F353)=1,"OK","Дубликат")</f>
        <v/>
      </c>
    </row>
    <row r="354" ht="38" customHeight="1">
      <c r="A354" s="146" t="inlineStr">
        <is>
          <t>SUB-L1-08-10</t>
        </is>
      </c>
      <c r="B354" s="39" t="inlineStr">
        <is>
          <t>1 уровень</t>
        </is>
      </c>
      <c r="C354" s="34" t="inlineStr">
        <is>
          <t>Закрытые условия на абонементы</t>
        </is>
      </c>
      <c r="D354" s="34" t="inlineStr">
        <is>
          <t>Скидка 10% на абонемент 8 занятий</t>
        </is>
      </c>
      <c r="E354" s="34" t="inlineStr">
        <is>
          <t>При покупке абонемента на 8 занятий</t>
        </is>
      </c>
      <c r="F354" s="147" t="inlineStr">
        <is>
          <t>FW-L1-AEVVU-H6K56</t>
        </is>
      </c>
      <c r="G354" s="39" t="inlineStr">
        <is>
          <t>Не использован</t>
        </is>
      </c>
      <c r="H354" s="148" t="n"/>
      <c r="I354" s="34" t="str"/>
      <c r="J354" s="34" t="str"/>
      <c r="K354" s="130" t="n">
        <v>150</v>
      </c>
      <c r="L354" s="43">
        <f>IF(COUNTIF($F$5:$F$2407,F354)=1,"OK","Дубликат")</f>
        <v/>
      </c>
    </row>
    <row r="355" ht="38" customHeight="1">
      <c r="A355" s="146" t="inlineStr">
        <is>
          <t>SUB-L1-08-10</t>
        </is>
      </c>
      <c r="B355" s="39" t="inlineStr">
        <is>
          <t>1 уровень</t>
        </is>
      </c>
      <c r="C355" s="34" t="inlineStr">
        <is>
          <t>Закрытые условия на абонементы</t>
        </is>
      </c>
      <c r="D355" s="34" t="inlineStr">
        <is>
          <t>Скидка 10% на абонемент 8 занятий</t>
        </is>
      </c>
      <c r="E355" s="34" t="inlineStr">
        <is>
          <t>При покупке абонемента на 8 занятий</t>
        </is>
      </c>
      <c r="F355" s="147" t="inlineStr">
        <is>
          <t>FW-L1-2HJQF-AZWC7</t>
        </is>
      </c>
      <c r="G355" s="39" t="inlineStr">
        <is>
          <t>Не использован</t>
        </is>
      </c>
      <c r="H355" s="148" t="n"/>
      <c r="I355" s="34" t="str"/>
      <c r="J355" s="34" t="str"/>
      <c r="K355" s="130" t="n">
        <v>151</v>
      </c>
      <c r="L355" s="43">
        <f>IF(COUNTIF($F$5:$F$2407,F355)=1,"OK","Дубликат")</f>
        <v/>
      </c>
    </row>
    <row r="356" ht="38" customHeight="1">
      <c r="A356" s="146" t="inlineStr">
        <is>
          <t>SUB-L1-08-10</t>
        </is>
      </c>
      <c r="B356" s="39" t="inlineStr">
        <is>
          <t>1 уровень</t>
        </is>
      </c>
      <c r="C356" s="34" t="inlineStr">
        <is>
          <t>Закрытые условия на абонементы</t>
        </is>
      </c>
      <c r="D356" s="34" t="inlineStr">
        <is>
          <t>Скидка 10% на абонемент 8 занятий</t>
        </is>
      </c>
      <c r="E356" s="34" t="inlineStr">
        <is>
          <t>При покупке абонемента на 8 занятий</t>
        </is>
      </c>
      <c r="F356" s="147" t="inlineStr">
        <is>
          <t>FW-L1-DN7LH-55SRT</t>
        </is>
      </c>
      <c r="G356" s="39" t="inlineStr">
        <is>
          <t>Не использован</t>
        </is>
      </c>
      <c r="H356" s="148" t="n"/>
      <c r="I356" s="34" t="str"/>
      <c r="J356" s="34" t="str"/>
      <c r="K356" s="130" t="n">
        <v>152</v>
      </c>
      <c r="L356" s="43">
        <f>IF(COUNTIF($F$5:$F$2407,F356)=1,"OK","Дубликат")</f>
        <v/>
      </c>
    </row>
    <row r="357" ht="38" customHeight="1">
      <c r="A357" s="146" t="inlineStr">
        <is>
          <t>SUB-L1-08-10</t>
        </is>
      </c>
      <c r="B357" s="39" t="inlineStr">
        <is>
          <t>1 уровень</t>
        </is>
      </c>
      <c r="C357" s="34" t="inlineStr">
        <is>
          <t>Закрытые условия на абонементы</t>
        </is>
      </c>
      <c r="D357" s="34" t="inlineStr">
        <is>
          <t>Скидка 10% на абонемент 8 занятий</t>
        </is>
      </c>
      <c r="E357" s="34" t="inlineStr">
        <is>
          <t>При покупке абонемента на 8 занятий</t>
        </is>
      </c>
      <c r="F357" s="147" t="inlineStr">
        <is>
          <t>FW-L1-EE3SM-K9N34</t>
        </is>
      </c>
      <c r="G357" s="39" t="inlineStr">
        <is>
          <t>Не использован</t>
        </is>
      </c>
      <c r="H357" s="148" t="n"/>
      <c r="I357" s="34" t="str"/>
      <c r="J357" s="34" t="str"/>
      <c r="K357" s="130" t="n">
        <v>153</v>
      </c>
      <c r="L357" s="43">
        <f>IF(COUNTIF($F$5:$F$2407,F357)=1,"OK","Дубликат")</f>
        <v/>
      </c>
    </row>
    <row r="358" ht="38" customHeight="1">
      <c r="A358" s="146" t="inlineStr">
        <is>
          <t>SUB-L1-08-10</t>
        </is>
      </c>
      <c r="B358" s="39" t="inlineStr">
        <is>
          <t>1 уровень</t>
        </is>
      </c>
      <c r="C358" s="34" t="inlineStr">
        <is>
          <t>Закрытые условия на абонементы</t>
        </is>
      </c>
      <c r="D358" s="34" t="inlineStr">
        <is>
          <t>Скидка 10% на абонемент 8 занятий</t>
        </is>
      </c>
      <c r="E358" s="34" t="inlineStr">
        <is>
          <t>При покупке абонемента на 8 занятий</t>
        </is>
      </c>
      <c r="F358" s="147" t="inlineStr">
        <is>
          <t>FW-L1-ASMQG-YL7UP</t>
        </is>
      </c>
      <c r="G358" s="39" t="inlineStr">
        <is>
          <t>Не использован</t>
        </is>
      </c>
      <c r="H358" s="148" t="n"/>
      <c r="I358" s="34" t="str"/>
      <c r="J358" s="34" t="str"/>
      <c r="K358" s="130" t="n">
        <v>154</v>
      </c>
      <c r="L358" s="43">
        <f>IF(COUNTIF($F$5:$F$2407,F358)=1,"OK","Дубликат")</f>
        <v/>
      </c>
    </row>
    <row r="359" ht="38" customHeight="1">
      <c r="A359" s="146" t="inlineStr">
        <is>
          <t>SUB-L1-08-10</t>
        </is>
      </c>
      <c r="B359" s="39" t="inlineStr">
        <is>
          <t>1 уровень</t>
        </is>
      </c>
      <c r="C359" s="34" t="inlineStr">
        <is>
          <t>Закрытые условия на абонементы</t>
        </is>
      </c>
      <c r="D359" s="34" t="inlineStr">
        <is>
          <t>Скидка 10% на абонемент 8 занятий</t>
        </is>
      </c>
      <c r="E359" s="34" t="inlineStr">
        <is>
          <t>При покупке абонемента на 8 занятий</t>
        </is>
      </c>
      <c r="F359" s="147" t="inlineStr">
        <is>
          <t>FW-L1-T7ZCX-WJ8P5</t>
        </is>
      </c>
      <c r="G359" s="39" t="inlineStr">
        <is>
          <t>Не использован</t>
        </is>
      </c>
      <c r="H359" s="148" t="n"/>
      <c r="I359" s="34" t="str"/>
      <c r="J359" s="34" t="str"/>
      <c r="K359" s="130" t="n">
        <v>155</v>
      </c>
      <c r="L359" s="43">
        <f>IF(COUNTIF($F$5:$F$2407,F359)=1,"OK","Дубликат")</f>
        <v/>
      </c>
    </row>
    <row r="360" ht="38" customHeight="1">
      <c r="A360" s="146" t="inlineStr">
        <is>
          <t>SUB-L1-08-10</t>
        </is>
      </c>
      <c r="B360" s="39" t="inlineStr">
        <is>
          <t>1 уровень</t>
        </is>
      </c>
      <c r="C360" s="34" t="inlineStr">
        <is>
          <t>Закрытые условия на абонементы</t>
        </is>
      </c>
      <c r="D360" s="34" t="inlineStr">
        <is>
          <t>Скидка 10% на абонемент 8 занятий</t>
        </is>
      </c>
      <c r="E360" s="34" t="inlineStr">
        <is>
          <t>При покупке абонемента на 8 занятий</t>
        </is>
      </c>
      <c r="F360" s="147" t="inlineStr">
        <is>
          <t>FW-L1-ZLAZQ-9VX3Q</t>
        </is>
      </c>
      <c r="G360" s="39" t="inlineStr">
        <is>
          <t>Не использован</t>
        </is>
      </c>
      <c r="H360" s="148" t="n"/>
      <c r="I360" s="34" t="str"/>
      <c r="J360" s="34" t="str"/>
      <c r="K360" s="130" t="n">
        <v>156</v>
      </c>
      <c r="L360" s="43">
        <f>IF(COUNTIF($F$5:$F$2407,F360)=1,"OK","Дубликат")</f>
        <v/>
      </c>
    </row>
    <row r="361" ht="38" customHeight="1">
      <c r="A361" s="146" t="inlineStr">
        <is>
          <t>SUB-L1-08-10</t>
        </is>
      </c>
      <c r="B361" s="39" t="inlineStr">
        <is>
          <t>1 уровень</t>
        </is>
      </c>
      <c r="C361" s="34" t="inlineStr">
        <is>
          <t>Закрытые условия на абонементы</t>
        </is>
      </c>
      <c r="D361" s="34" t="inlineStr">
        <is>
          <t>Скидка 10% на абонемент 8 занятий</t>
        </is>
      </c>
      <c r="E361" s="34" t="inlineStr">
        <is>
          <t>При покупке абонемента на 8 занятий</t>
        </is>
      </c>
      <c r="F361" s="147" t="inlineStr">
        <is>
          <t>FW-L1-YCGEN-HDB2Y</t>
        </is>
      </c>
      <c r="G361" s="39" t="inlineStr">
        <is>
          <t>Не использован</t>
        </is>
      </c>
      <c r="H361" s="148" t="n"/>
      <c r="I361" s="34" t="str"/>
      <c r="J361" s="34" t="str"/>
      <c r="K361" s="130" t="n">
        <v>157</v>
      </c>
      <c r="L361" s="43">
        <f>IF(COUNTIF($F$5:$F$2407,F361)=1,"OK","Дубликат")</f>
        <v/>
      </c>
    </row>
    <row r="362" ht="38" customHeight="1">
      <c r="A362" s="146" t="inlineStr">
        <is>
          <t>SUB-L1-08-10</t>
        </is>
      </c>
      <c r="B362" s="39" t="inlineStr">
        <is>
          <t>1 уровень</t>
        </is>
      </c>
      <c r="C362" s="34" t="inlineStr">
        <is>
          <t>Закрытые условия на абонементы</t>
        </is>
      </c>
      <c r="D362" s="34" t="inlineStr">
        <is>
          <t>Скидка 10% на абонемент 8 занятий</t>
        </is>
      </c>
      <c r="E362" s="34" t="inlineStr">
        <is>
          <t>При покупке абонемента на 8 занятий</t>
        </is>
      </c>
      <c r="F362" s="147" t="inlineStr">
        <is>
          <t>FW-L1-E3G52-7LY26</t>
        </is>
      </c>
      <c r="G362" s="39" t="inlineStr">
        <is>
          <t>Не использован</t>
        </is>
      </c>
      <c r="H362" s="148" t="n"/>
      <c r="I362" s="34" t="str"/>
      <c r="J362" s="34" t="str"/>
      <c r="K362" s="130" t="n">
        <v>158</v>
      </c>
      <c r="L362" s="43">
        <f>IF(COUNTIF($F$5:$F$2407,F362)=1,"OK","Дубликат")</f>
        <v/>
      </c>
    </row>
    <row r="363" ht="38" customHeight="1">
      <c r="A363" s="146" t="inlineStr">
        <is>
          <t>SUB-L1-08-10</t>
        </is>
      </c>
      <c r="B363" s="39" t="inlineStr">
        <is>
          <t>1 уровень</t>
        </is>
      </c>
      <c r="C363" s="34" t="inlineStr">
        <is>
          <t>Закрытые условия на абонементы</t>
        </is>
      </c>
      <c r="D363" s="34" t="inlineStr">
        <is>
          <t>Скидка 10% на абонемент 8 занятий</t>
        </is>
      </c>
      <c r="E363" s="34" t="inlineStr">
        <is>
          <t>При покупке абонемента на 8 занятий</t>
        </is>
      </c>
      <c r="F363" s="147" t="inlineStr">
        <is>
          <t>FW-L1-QP3DU-LYZ9X</t>
        </is>
      </c>
      <c r="G363" s="39" t="inlineStr">
        <is>
          <t>Не использован</t>
        </is>
      </c>
      <c r="H363" s="148" t="n"/>
      <c r="I363" s="34" t="str"/>
      <c r="J363" s="34" t="str"/>
      <c r="K363" s="130" t="n">
        <v>159</v>
      </c>
      <c r="L363" s="43">
        <f>IF(COUNTIF($F$5:$F$2407,F363)=1,"OK","Дубликат")</f>
        <v/>
      </c>
    </row>
    <row r="364" ht="38" customHeight="1">
      <c r="A364" s="146" t="inlineStr">
        <is>
          <t>SUB-L1-08-10</t>
        </is>
      </c>
      <c r="B364" s="39" t="inlineStr">
        <is>
          <t>1 уровень</t>
        </is>
      </c>
      <c r="C364" s="34" t="inlineStr">
        <is>
          <t>Закрытые условия на абонементы</t>
        </is>
      </c>
      <c r="D364" s="34" t="inlineStr">
        <is>
          <t>Скидка 10% на абонемент 8 занятий</t>
        </is>
      </c>
      <c r="E364" s="34" t="inlineStr">
        <is>
          <t>При покупке абонемента на 8 занятий</t>
        </is>
      </c>
      <c r="F364" s="147" t="inlineStr">
        <is>
          <t>FW-L1-B5HJF-WJGQQ</t>
        </is>
      </c>
      <c r="G364" s="39" t="inlineStr">
        <is>
          <t>Не использован</t>
        </is>
      </c>
      <c r="H364" s="148" t="n"/>
      <c r="I364" s="34" t="str"/>
      <c r="J364" s="34" t="str"/>
      <c r="K364" s="130" t="n">
        <v>160</v>
      </c>
      <c r="L364" s="43">
        <f>IF(COUNTIF($F$5:$F$2407,F364)=1,"OK","Дубликат")</f>
        <v/>
      </c>
    </row>
    <row r="365" ht="38" customHeight="1">
      <c r="A365" s="146" t="inlineStr">
        <is>
          <t>SUB-L1-08-10</t>
        </is>
      </c>
      <c r="B365" s="39" t="inlineStr">
        <is>
          <t>1 уровень</t>
        </is>
      </c>
      <c r="C365" s="34" t="inlineStr">
        <is>
          <t>Закрытые условия на абонементы</t>
        </is>
      </c>
      <c r="D365" s="34" t="inlineStr">
        <is>
          <t>Скидка 10% на абонемент 8 занятий</t>
        </is>
      </c>
      <c r="E365" s="34" t="inlineStr">
        <is>
          <t>При покупке абонемента на 8 занятий</t>
        </is>
      </c>
      <c r="F365" s="147" t="inlineStr">
        <is>
          <t>FW-L1-UMW77-MTNUA</t>
        </is>
      </c>
      <c r="G365" s="39" t="inlineStr">
        <is>
          <t>Не использован</t>
        </is>
      </c>
      <c r="H365" s="148" t="n"/>
      <c r="I365" s="34" t="str"/>
      <c r="J365" s="34" t="str"/>
      <c r="K365" s="130" t="n">
        <v>161</v>
      </c>
      <c r="L365" s="43">
        <f>IF(COUNTIF($F$5:$F$2407,F365)=1,"OK","Дубликат")</f>
        <v/>
      </c>
    </row>
    <row r="366" ht="38" customHeight="1">
      <c r="A366" s="146" t="inlineStr">
        <is>
          <t>SUB-L1-08-10</t>
        </is>
      </c>
      <c r="B366" s="39" t="inlineStr">
        <is>
          <t>1 уровень</t>
        </is>
      </c>
      <c r="C366" s="34" t="inlineStr">
        <is>
          <t>Закрытые условия на абонементы</t>
        </is>
      </c>
      <c r="D366" s="34" t="inlineStr">
        <is>
          <t>Скидка 10% на абонемент 8 занятий</t>
        </is>
      </c>
      <c r="E366" s="34" t="inlineStr">
        <is>
          <t>При покупке абонемента на 8 занятий</t>
        </is>
      </c>
      <c r="F366" s="147" t="inlineStr">
        <is>
          <t>FW-L1-XGKCG-UVFRQ</t>
        </is>
      </c>
      <c r="G366" s="39" t="inlineStr">
        <is>
          <t>Не использован</t>
        </is>
      </c>
      <c r="H366" s="148" t="n"/>
      <c r="I366" s="34" t="str"/>
      <c r="J366" s="34" t="str"/>
      <c r="K366" s="130" t="n">
        <v>162</v>
      </c>
      <c r="L366" s="43">
        <f>IF(COUNTIF($F$5:$F$2407,F366)=1,"OK","Дубликат")</f>
        <v/>
      </c>
    </row>
    <row r="367" ht="38" customHeight="1">
      <c r="A367" s="146" t="inlineStr">
        <is>
          <t>SUB-L1-08-10</t>
        </is>
      </c>
      <c r="B367" s="39" t="inlineStr">
        <is>
          <t>1 уровень</t>
        </is>
      </c>
      <c r="C367" s="34" t="inlineStr">
        <is>
          <t>Закрытые условия на абонементы</t>
        </is>
      </c>
      <c r="D367" s="34" t="inlineStr">
        <is>
          <t>Скидка 10% на абонемент 8 занятий</t>
        </is>
      </c>
      <c r="E367" s="34" t="inlineStr">
        <is>
          <t>При покупке абонемента на 8 занятий</t>
        </is>
      </c>
      <c r="F367" s="147" t="inlineStr">
        <is>
          <t>FW-L1-53BNM-CJUJW</t>
        </is>
      </c>
      <c r="G367" s="39" t="inlineStr">
        <is>
          <t>Не использован</t>
        </is>
      </c>
      <c r="H367" s="148" t="n"/>
      <c r="I367" s="34" t="str"/>
      <c r="J367" s="34" t="str"/>
      <c r="K367" s="130" t="n">
        <v>163</v>
      </c>
      <c r="L367" s="43">
        <f>IF(COUNTIF($F$5:$F$2407,F367)=1,"OK","Дубликат")</f>
        <v/>
      </c>
    </row>
    <row r="368" ht="38" customHeight="1">
      <c r="A368" s="146" t="inlineStr">
        <is>
          <t>SUB-L1-08-10</t>
        </is>
      </c>
      <c r="B368" s="39" t="inlineStr">
        <is>
          <t>1 уровень</t>
        </is>
      </c>
      <c r="C368" s="34" t="inlineStr">
        <is>
          <t>Закрытые условия на абонементы</t>
        </is>
      </c>
      <c r="D368" s="34" t="inlineStr">
        <is>
          <t>Скидка 10% на абонемент 8 занятий</t>
        </is>
      </c>
      <c r="E368" s="34" t="inlineStr">
        <is>
          <t>При покупке абонемента на 8 занятий</t>
        </is>
      </c>
      <c r="F368" s="147" t="inlineStr">
        <is>
          <t>FW-L1-U7VZE-ATUEY</t>
        </is>
      </c>
      <c r="G368" s="39" t="inlineStr">
        <is>
          <t>Не использован</t>
        </is>
      </c>
      <c r="H368" s="148" t="n"/>
      <c r="I368" s="34" t="str"/>
      <c r="J368" s="34" t="str"/>
      <c r="K368" s="130" t="n">
        <v>164</v>
      </c>
      <c r="L368" s="43">
        <f>IF(COUNTIF($F$5:$F$2407,F368)=1,"OK","Дубликат")</f>
        <v/>
      </c>
    </row>
    <row r="369" ht="38" customHeight="1">
      <c r="A369" s="146" t="inlineStr">
        <is>
          <t>SUB-L1-08-10</t>
        </is>
      </c>
      <c r="B369" s="39" t="inlineStr">
        <is>
          <t>1 уровень</t>
        </is>
      </c>
      <c r="C369" s="34" t="inlineStr">
        <is>
          <t>Закрытые условия на абонементы</t>
        </is>
      </c>
      <c r="D369" s="34" t="inlineStr">
        <is>
          <t>Скидка 10% на абонемент 8 занятий</t>
        </is>
      </c>
      <c r="E369" s="34" t="inlineStr">
        <is>
          <t>При покупке абонемента на 8 занятий</t>
        </is>
      </c>
      <c r="F369" s="147" t="inlineStr">
        <is>
          <t>FW-L1-DQLQ6-H8GR7</t>
        </is>
      </c>
      <c r="G369" s="39" t="inlineStr">
        <is>
          <t>Не использован</t>
        </is>
      </c>
      <c r="H369" s="148" t="n"/>
      <c r="I369" s="34" t="str"/>
      <c r="J369" s="34" t="str"/>
      <c r="K369" s="130" t="n">
        <v>165</v>
      </c>
      <c r="L369" s="43">
        <f>IF(COUNTIF($F$5:$F$2407,F369)=1,"OK","Дубликат")</f>
        <v/>
      </c>
    </row>
    <row r="370" ht="38" customHeight="1">
      <c r="A370" s="146" t="inlineStr">
        <is>
          <t>SUB-L1-08-10</t>
        </is>
      </c>
      <c r="B370" s="39" t="inlineStr">
        <is>
          <t>1 уровень</t>
        </is>
      </c>
      <c r="C370" s="34" t="inlineStr">
        <is>
          <t>Закрытые условия на абонементы</t>
        </is>
      </c>
      <c r="D370" s="34" t="inlineStr">
        <is>
          <t>Скидка 10% на абонемент 8 занятий</t>
        </is>
      </c>
      <c r="E370" s="34" t="inlineStr">
        <is>
          <t>При покупке абонемента на 8 занятий</t>
        </is>
      </c>
      <c r="F370" s="147" t="inlineStr">
        <is>
          <t>FW-L1-XAC2G-H78AM</t>
        </is>
      </c>
      <c r="G370" s="39" t="inlineStr">
        <is>
          <t>Не использован</t>
        </is>
      </c>
      <c r="H370" s="148" t="n"/>
      <c r="I370" s="34" t="str"/>
      <c r="J370" s="34" t="str"/>
      <c r="K370" s="130" t="n">
        <v>166</v>
      </c>
      <c r="L370" s="43">
        <f>IF(COUNTIF($F$5:$F$2407,F370)=1,"OK","Дубликат")</f>
        <v/>
      </c>
    </row>
    <row r="371" ht="38" customHeight="1">
      <c r="A371" s="146" t="inlineStr">
        <is>
          <t>SUB-L1-08-10</t>
        </is>
      </c>
      <c r="B371" s="39" t="inlineStr">
        <is>
          <t>1 уровень</t>
        </is>
      </c>
      <c r="C371" s="34" t="inlineStr">
        <is>
          <t>Закрытые условия на абонементы</t>
        </is>
      </c>
      <c r="D371" s="34" t="inlineStr">
        <is>
          <t>Скидка 10% на абонемент 8 занятий</t>
        </is>
      </c>
      <c r="E371" s="34" t="inlineStr">
        <is>
          <t>При покупке абонемента на 8 занятий</t>
        </is>
      </c>
      <c r="F371" s="147" t="inlineStr">
        <is>
          <t>FW-L1-3STXU-K7XH9</t>
        </is>
      </c>
      <c r="G371" s="39" t="inlineStr">
        <is>
          <t>Не использован</t>
        </is>
      </c>
      <c r="H371" s="148" t="n"/>
      <c r="I371" s="34" t="str"/>
      <c r="J371" s="34" t="str"/>
      <c r="K371" s="130" t="n">
        <v>167</v>
      </c>
      <c r="L371" s="43">
        <f>IF(COUNTIF($F$5:$F$2407,F371)=1,"OK","Дубликат")</f>
        <v/>
      </c>
    </row>
    <row r="372" ht="38" customHeight="1">
      <c r="A372" s="146" t="inlineStr">
        <is>
          <t>SUB-L1-08-10</t>
        </is>
      </c>
      <c r="B372" s="39" t="inlineStr">
        <is>
          <t>1 уровень</t>
        </is>
      </c>
      <c r="C372" s="34" t="inlineStr">
        <is>
          <t>Закрытые условия на абонементы</t>
        </is>
      </c>
      <c r="D372" s="34" t="inlineStr">
        <is>
          <t>Скидка 10% на абонемент 8 занятий</t>
        </is>
      </c>
      <c r="E372" s="34" t="inlineStr">
        <is>
          <t>При покупке абонемента на 8 занятий</t>
        </is>
      </c>
      <c r="F372" s="147" t="inlineStr">
        <is>
          <t>FW-L1-8DE2F-4VZJY</t>
        </is>
      </c>
      <c r="G372" s="39" t="inlineStr">
        <is>
          <t>Не использован</t>
        </is>
      </c>
      <c r="H372" s="148" t="n"/>
      <c r="I372" s="34" t="str"/>
      <c r="J372" s="34" t="str"/>
      <c r="K372" s="130" t="n">
        <v>168</v>
      </c>
      <c r="L372" s="43">
        <f>IF(COUNTIF($F$5:$F$2407,F372)=1,"OK","Дубликат")</f>
        <v/>
      </c>
    </row>
    <row r="373" ht="38" customHeight="1">
      <c r="A373" s="146" t="inlineStr">
        <is>
          <t>SUB-L1-08-10</t>
        </is>
      </c>
      <c r="B373" s="39" t="inlineStr">
        <is>
          <t>1 уровень</t>
        </is>
      </c>
      <c r="C373" s="34" t="inlineStr">
        <is>
          <t>Закрытые условия на абонементы</t>
        </is>
      </c>
      <c r="D373" s="34" t="inlineStr">
        <is>
          <t>Скидка 10% на абонемент 8 занятий</t>
        </is>
      </c>
      <c r="E373" s="34" t="inlineStr">
        <is>
          <t>При покупке абонемента на 8 занятий</t>
        </is>
      </c>
      <c r="F373" s="147" t="inlineStr">
        <is>
          <t>FW-L1-83F2G-N8DLF</t>
        </is>
      </c>
      <c r="G373" s="39" t="inlineStr">
        <is>
          <t>Не использован</t>
        </is>
      </c>
      <c r="H373" s="148" t="n"/>
      <c r="I373" s="34" t="str"/>
      <c r="J373" s="34" t="str"/>
      <c r="K373" s="130" t="n">
        <v>169</v>
      </c>
      <c r="L373" s="43">
        <f>IF(COUNTIF($F$5:$F$2407,F373)=1,"OK","Дубликат")</f>
        <v/>
      </c>
    </row>
    <row r="374" ht="38" customHeight="1">
      <c r="A374" s="146" t="inlineStr">
        <is>
          <t>SUB-L1-08-10</t>
        </is>
      </c>
      <c r="B374" s="39" t="inlineStr">
        <is>
          <t>1 уровень</t>
        </is>
      </c>
      <c r="C374" s="34" t="inlineStr">
        <is>
          <t>Закрытые условия на абонементы</t>
        </is>
      </c>
      <c r="D374" s="34" t="inlineStr">
        <is>
          <t>Скидка 10% на абонемент 8 занятий</t>
        </is>
      </c>
      <c r="E374" s="34" t="inlineStr">
        <is>
          <t>При покупке абонемента на 8 занятий</t>
        </is>
      </c>
      <c r="F374" s="147" t="inlineStr">
        <is>
          <t>FW-L1-A8692-KNVGZ</t>
        </is>
      </c>
      <c r="G374" s="39" t="inlineStr">
        <is>
          <t>Не использован</t>
        </is>
      </c>
      <c r="H374" s="148" t="n"/>
      <c r="I374" s="34" t="str"/>
      <c r="J374" s="34" t="str"/>
      <c r="K374" s="130" t="n">
        <v>170</v>
      </c>
      <c r="L374" s="43">
        <f>IF(COUNTIF($F$5:$F$2407,F374)=1,"OK","Дубликат")</f>
        <v/>
      </c>
    </row>
    <row r="375" ht="38" customHeight="1">
      <c r="A375" s="146" t="inlineStr">
        <is>
          <t>SUB-L1-08-10</t>
        </is>
      </c>
      <c r="B375" s="39" t="inlineStr">
        <is>
          <t>1 уровень</t>
        </is>
      </c>
      <c r="C375" s="34" t="inlineStr">
        <is>
          <t>Закрытые условия на абонементы</t>
        </is>
      </c>
      <c r="D375" s="34" t="inlineStr">
        <is>
          <t>Скидка 10% на абонемент 8 занятий</t>
        </is>
      </c>
      <c r="E375" s="34" t="inlineStr">
        <is>
          <t>При покупке абонемента на 8 занятий</t>
        </is>
      </c>
      <c r="F375" s="147" t="inlineStr">
        <is>
          <t>FW-L1-PBWAL-6W5RZ</t>
        </is>
      </c>
      <c r="G375" s="39" t="inlineStr">
        <is>
          <t>Не использован</t>
        </is>
      </c>
      <c r="H375" s="148" t="n"/>
      <c r="I375" s="34" t="str"/>
      <c r="J375" s="34" t="str"/>
      <c r="K375" s="130" t="n">
        <v>171</v>
      </c>
      <c r="L375" s="43">
        <f>IF(COUNTIF($F$5:$F$2407,F375)=1,"OK","Дубликат")</f>
        <v/>
      </c>
    </row>
    <row r="376" ht="38" customHeight="1">
      <c r="A376" s="146" t="inlineStr">
        <is>
          <t>SUB-L1-08-10</t>
        </is>
      </c>
      <c r="B376" s="39" t="inlineStr">
        <is>
          <t>1 уровень</t>
        </is>
      </c>
      <c r="C376" s="34" t="inlineStr">
        <is>
          <t>Закрытые условия на абонементы</t>
        </is>
      </c>
      <c r="D376" s="34" t="inlineStr">
        <is>
          <t>Скидка 10% на абонемент 8 занятий</t>
        </is>
      </c>
      <c r="E376" s="34" t="inlineStr">
        <is>
          <t>При покупке абонемента на 8 занятий</t>
        </is>
      </c>
      <c r="F376" s="147" t="inlineStr">
        <is>
          <t>FW-L1-SGWQE-9XVYS</t>
        </is>
      </c>
      <c r="G376" s="39" t="inlineStr">
        <is>
          <t>Не использован</t>
        </is>
      </c>
      <c r="H376" s="148" t="n"/>
      <c r="I376" s="34" t="str"/>
      <c r="J376" s="34" t="str"/>
      <c r="K376" s="130" t="n">
        <v>172</v>
      </c>
      <c r="L376" s="43">
        <f>IF(COUNTIF($F$5:$F$2407,F376)=1,"OK","Дубликат")</f>
        <v/>
      </c>
    </row>
    <row r="377" ht="38" customHeight="1">
      <c r="A377" s="146" t="inlineStr">
        <is>
          <t>SUB-L1-08-10</t>
        </is>
      </c>
      <c r="B377" s="39" t="inlineStr">
        <is>
          <t>1 уровень</t>
        </is>
      </c>
      <c r="C377" s="34" t="inlineStr">
        <is>
          <t>Закрытые условия на абонементы</t>
        </is>
      </c>
      <c r="D377" s="34" t="inlineStr">
        <is>
          <t>Скидка 10% на абонемент 8 занятий</t>
        </is>
      </c>
      <c r="E377" s="34" t="inlineStr">
        <is>
          <t>При покупке абонемента на 8 занятий</t>
        </is>
      </c>
      <c r="F377" s="147" t="inlineStr">
        <is>
          <t>FW-L1-K2ZG8-842L8</t>
        </is>
      </c>
      <c r="G377" s="39" t="inlineStr">
        <is>
          <t>Не использован</t>
        </is>
      </c>
      <c r="H377" s="148" t="n"/>
      <c r="I377" s="34" t="str"/>
      <c r="J377" s="34" t="str"/>
      <c r="K377" s="130" t="n">
        <v>173</v>
      </c>
      <c r="L377" s="43">
        <f>IF(COUNTIF($F$5:$F$2407,F377)=1,"OK","Дубликат")</f>
        <v/>
      </c>
    </row>
    <row r="378" ht="38" customHeight="1">
      <c r="A378" s="146" t="inlineStr">
        <is>
          <t>SUB-L1-08-10</t>
        </is>
      </c>
      <c r="B378" s="39" t="inlineStr">
        <is>
          <t>1 уровень</t>
        </is>
      </c>
      <c r="C378" s="34" t="inlineStr">
        <is>
          <t>Закрытые условия на абонементы</t>
        </is>
      </c>
      <c r="D378" s="34" t="inlineStr">
        <is>
          <t>Скидка 10% на абонемент 8 занятий</t>
        </is>
      </c>
      <c r="E378" s="34" t="inlineStr">
        <is>
          <t>При покупке абонемента на 8 занятий</t>
        </is>
      </c>
      <c r="F378" s="147" t="inlineStr">
        <is>
          <t>FW-L1-VH3X5-C86TJ</t>
        </is>
      </c>
      <c r="G378" s="39" t="inlineStr">
        <is>
          <t>Не использован</t>
        </is>
      </c>
      <c r="H378" s="148" t="n"/>
      <c r="I378" s="34" t="str"/>
      <c r="J378" s="34" t="str"/>
      <c r="K378" s="130" t="n">
        <v>174</v>
      </c>
      <c r="L378" s="43">
        <f>IF(COUNTIF($F$5:$F$2407,F378)=1,"OK","Дубликат")</f>
        <v/>
      </c>
    </row>
    <row r="379" ht="38" customHeight="1">
      <c r="A379" s="146" t="inlineStr">
        <is>
          <t>SUB-L1-08-10</t>
        </is>
      </c>
      <c r="B379" s="39" t="inlineStr">
        <is>
          <t>1 уровень</t>
        </is>
      </c>
      <c r="C379" s="34" t="inlineStr">
        <is>
          <t>Закрытые условия на абонементы</t>
        </is>
      </c>
      <c r="D379" s="34" t="inlineStr">
        <is>
          <t>Скидка 10% на абонемент 8 занятий</t>
        </is>
      </c>
      <c r="E379" s="34" t="inlineStr">
        <is>
          <t>При покупке абонемента на 8 занятий</t>
        </is>
      </c>
      <c r="F379" s="147" t="inlineStr">
        <is>
          <t>FW-L1-SSTZP-JY44H</t>
        </is>
      </c>
      <c r="G379" s="39" t="inlineStr">
        <is>
          <t>Не использован</t>
        </is>
      </c>
      <c r="H379" s="148" t="n"/>
      <c r="I379" s="34" t="str"/>
      <c r="J379" s="34" t="str"/>
      <c r="K379" s="130" t="n">
        <v>175</v>
      </c>
      <c r="L379" s="43">
        <f>IF(COUNTIF($F$5:$F$2407,F379)=1,"OK","Дубликат")</f>
        <v/>
      </c>
    </row>
    <row r="380" ht="38" customHeight="1">
      <c r="A380" s="146" t="inlineStr">
        <is>
          <t>SUB-L1-08-10</t>
        </is>
      </c>
      <c r="B380" s="39" t="inlineStr">
        <is>
          <t>1 уровень</t>
        </is>
      </c>
      <c r="C380" s="34" t="inlineStr">
        <is>
          <t>Закрытые условия на абонементы</t>
        </is>
      </c>
      <c r="D380" s="34" t="inlineStr">
        <is>
          <t>Скидка 10% на абонемент 8 занятий</t>
        </is>
      </c>
      <c r="E380" s="34" t="inlineStr">
        <is>
          <t>При покупке абонемента на 8 занятий</t>
        </is>
      </c>
      <c r="F380" s="147" t="inlineStr">
        <is>
          <t>FW-L1-NT2L7-CK37D</t>
        </is>
      </c>
      <c r="G380" s="39" t="inlineStr">
        <is>
          <t>Не использован</t>
        </is>
      </c>
      <c r="H380" s="148" t="n"/>
      <c r="I380" s="34" t="str"/>
      <c r="J380" s="34" t="str"/>
      <c r="K380" s="130" t="n">
        <v>176</v>
      </c>
      <c r="L380" s="43">
        <f>IF(COUNTIF($F$5:$F$2407,F380)=1,"OK","Дубликат")</f>
        <v/>
      </c>
    </row>
    <row r="381" ht="38" customHeight="1">
      <c r="A381" s="146" t="inlineStr">
        <is>
          <t>SUB-L1-08-10</t>
        </is>
      </c>
      <c r="B381" s="39" t="inlineStr">
        <is>
          <t>1 уровень</t>
        </is>
      </c>
      <c r="C381" s="34" t="inlineStr">
        <is>
          <t>Закрытые условия на абонементы</t>
        </is>
      </c>
      <c r="D381" s="34" t="inlineStr">
        <is>
          <t>Скидка 10% на абонемент 8 занятий</t>
        </is>
      </c>
      <c r="E381" s="34" t="inlineStr">
        <is>
          <t>При покупке абонемента на 8 занятий</t>
        </is>
      </c>
      <c r="F381" s="147" t="inlineStr">
        <is>
          <t>FW-L1-B85Y4-E27HJ</t>
        </is>
      </c>
      <c r="G381" s="39" t="inlineStr">
        <is>
          <t>Не использован</t>
        </is>
      </c>
      <c r="H381" s="148" t="n"/>
      <c r="I381" s="34" t="str"/>
      <c r="J381" s="34" t="str"/>
      <c r="K381" s="130" t="n">
        <v>177</v>
      </c>
      <c r="L381" s="43">
        <f>IF(COUNTIF($F$5:$F$2407,F381)=1,"OK","Дубликат")</f>
        <v/>
      </c>
    </row>
    <row r="382" ht="38" customHeight="1">
      <c r="A382" s="146" t="inlineStr">
        <is>
          <t>SUB-L1-08-10</t>
        </is>
      </c>
      <c r="B382" s="39" t="inlineStr">
        <is>
          <t>1 уровень</t>
        </is>
      </c>
      <c r="C382" s="34" t="inlineStr">
        <is>
          <t>Закрытые условия на абонементы</t>
        </is>
      </c>
      <c r="D382" s="34" t="inlineStr">
        <is>
          <t>Скидка 10% на абонемент 8 занятий</t>
        </is>
      </c>
      <c r="E382" s="34" t="inlineStr">
        <is>
          <t>При покупке абонемента на 8 занятий</t>
        </is>
      </c>
      <c r="F382" s="147" t="inlineStr">
        <is>
          <t>FW-L1-QBN45-ZM48X</t>
        </is>
      </c>
      <c r="G382" s="39" t="inlineStr">
        <is>
          <t>Не использован</t>
        </is>
      </c>
      <c r="H382" s="148" t="n"/>
      <c r="I382" s="34" t="str"/>
      <c r="J382" s="34" t="str"/>
      <c r="K382" s="130" t="n">
        <v>178</v>
      </c>
      <c r="L382" s="43">
        <f>IF(COUNTIF($F$5:$F$2407,F382)=1,"OK","Дубликат")</f>
        <v/>
      </c>
    </row>
    <row r="383" ht="38" customHeight="1">
      <c r="A383" s="146" t="inlineStr">
        <is>
          <t>SUB-L1-08-10</t>
        </is>
      </c>
      <c r="B383" s="39" t="inlineStr">
        <is>
          <t>1 уровень</t>
        </is>
      </c>
      <c r="C383" s="34" t="inlineStr">
        <is>
          <t>Закрытые условия на абонементы</t>
        </is>
      </c>
      <c r="D383" s="34" t="inlineStr">
        <is>
          <t>Скидка 10% на абонемент 8 занятий</t>
        </is>
      </c>
      <c r="E383" s="34" t="inlineStr">
        <is>
          <t>При покупке абонемента на 8 занятий</t>
        </is>
      </c>
      <c r="F383" s="147" t="inlineStr">
        <is>
          <t>FW-L1-F5UYM-XD724</t>
        </is>
      </c>
      <c r="G383" s="39" t="inlineStr">
        <is>
          <t>Не использован</t>
        </is>
      </c>
      <c r="H383" s="148" t="n"/>
      <c r="I383" s="34" t="str"/>
      <c r="J383" s="34" t="str"/>
      <c r="K383" s="130" t="n">
        <v>179</v>
      </c>
      <c r="L383" s="43">
        <f>IF(COUNTIF($F$5:$F$2407,F383)=1,"OK","Дубликат")</f>
        <v/>
      </c>
    </row>
    <row r="384" ht="38" customHeight="1">
      <c r="A384" s="146" t="inlineStr">
        <is>
          <t>SUB-L1-08-10</t>
        </is>
      </c>
      <c r="B384" s="39" t="inlineStr">
        <is>
          <t>1 уровень</t>
        </is>
      </c>
      <c r="C384" s="34" t="inlineStr">
        <is>
          <t>Закрытые условия на абонементы</t>
        </is>
      </c>
      <c r="D384" s="34" t="inlineStr">
        <is>
          <t>Скидка 10% на абонемент 8 занятий</t>
        </is>
      </c>
      <c r="E384" s="34" t="inlineStr">
        <is>
          <t>При покупке абонемента на 8 занятий</t>
        </is>
      </c>
      <c r="F384" s="147" t="inlineStr">
        <is>
          <t>FW-L1-CAT2H-NFSJS</t>
        </is>
      </c>
      <c r="G384" s="39" t="inlineStr">
        <is>
          <t>Не использован</t>
        </is>
      </c>
      <c r="H384" s="148" t="n"/>
      <c r="I384" s="34" t="str"/>
      <c r="J384" s="34" t="str"/>
      <c r="K384" s="130" t="n">
        <v>180</v>
      </c>
      <c r="L384" s="43">
        <f>IF(COUNTIF($F$5:$F$2407,F384)=1,"OK","Дубликат")</f>
        <v/>
      </c>
    </row>
    <row r="385" ht="38" customHeight="1">
      <c r="A385" s="146" t="inlineStr">
        <is>
          <t>SUB-L1-08-10</t>
        </is>
      </c>
      <c r="B385" s="39" t="inlineStr">
        <is>
          <t>1 уровень</t>
        </is>
      </c>
      <c r="C385" s="34" t="inlineStr">
        <is>
          <t>Закрытые условия на абонементы</t>
        </is>
      </c>
      <c r="D385" s="34" t="inlineStr">
        <is>
          <t>Скидка 10% на абонемент 8 занятий</t>
        </is>
      </c>
      <c r="E385" s="34" t="inlineStr">
        <is>
          <t>При покупке абонемента на 8 занятий</t>
        </is>
      </c>
      <c r="F385" s="147" t="inlineStr">
        <is>
          <t>FW-L1-MMCLM-ZECMP</t>
        </is>
      </c>
      <c r="G385" s="39" t="inlineStr">
        <is>
          <t>Не использован</t>
        </is>
      </c>
      <c r="H385" s="148" t="n"/>
      <c r="I385" s="34" t="str"/>
      <c r="J385" s="34" t="str"/>
      <c r="K385" s="130" t="n">
        <v>181</v>
      </c>
      <c r="L385" s="43">
        <f>IF(COUNTIF($F$5:$F$2407,F385)=1,"OK","Дубликат")</f>
        <v/>
      </c>
    </row>
    <row r="386" ht="38" customHeight="1">
      <c r="A386" s="146" t="inlineStr">
        <is>
          <t>SUB-L1-08-10</t>
        </is>
      </c>
      <c r="B386" s="39" t="inlineStr">
        <is>
          <t>1 уровень</t>
        </is>
      </c>
      <c r="C386" s="34" t="inlineStr">
        <is>
          <t>Закрытые условия на абонементы</t>
        </is>
      </c>
      <c r="D386" s="34" t="inlineStr">
        <is>
          <t>Скидка 10% на абонемент 8 занятий</t>
        </is>
      </c>
      <c r="E386" s="34" t="inlineStr">
        <is>
          <t>При покупке абонемента на 8 занятий</t>
        </is>
      </c>
      <c r="F386" s="147" t="inlineStr">
        <is>
          <t>FW-L1-9BWUP-3YKY3</t>
        </is>
      </c>
      <c r="G386" s="39" t="inlineStr">
        <is>
          <t>Не использован</t>
        </is>
      </c>
      <c r="H386" s="148" t="n"/>
      <c r="I386" s="34" t="str"/>
      <c r="J386" s="34" t="str"/>
      <c r="K386" s="130" t="n">
        <v>182</v>
      </c>
      <c r="L386" s="43">
        <f>IF(COUNTIF($F$5:$F$2407,F386)=1,"OK","Дубликат")</f>
        <v/>
      </c>
    </row>
    <row r="387" ht="38" customHeight="1">
      <c r="A387" s="146" t="inlineStr">
        <is>
          <t>SUB-L1-08-10</t>
        </is>
      </c>
      <c r="B387" s="39" t="inlineStr">
        <is>
          <t>1 уровень</t>
        </is>
      </c>
      <c r="C387" s="34" t="inlineStr">
        <is>
          <t>Закрытые условия на абонементы</t>
        </is>
      </c>
      <c r="D387" s="34" t="inlineStr">
        <is>
          <t>Скидка 10% на абонемент 8 занятий</t>
        </is>
      </c>
      <c r="E387" s="34" t="inlineStr">
        <is>
          <t>При покупке абонемента на 8 занятий</t>
        </is>
      </c>
      <c r="F387" s="147" t="inlineStr">
        <is>
          <t>FW-L1-98HVQ-MH434</t>
        </is>
      </c>
      <c r="G387" s="39" t="inlineStr">
        <is>
          <t>Не использован</t>
        </is>
      </c>
      <c r="H387" s="148" t="n"/>
      <c r="I387" s="34" t="str"/>
      <c r="J387" s="34" t="str"/>
      <c r="K387" s="130" t="n">
        <v>183</v>
      </c>
      <c r="L387" s="43">
        <f>IF(COUNTIF($F$5:$F$2407,F387)=1,"OK","Дубликат")</f>
        <v/>
      </c>
    </row>
    <row r="388" ht="38" customHeight="1">
      <c r="A388" s="146" t="inlineStr">
        <is>
          <t>SUB-L1-08-10</t>
        </is>
      </c>
      <c r="B388" s="39" t="inlineStr">
        <is>
          <t>1 уровень</t>
        </is>
      </c>
      <c r="C388" s="34" t="inlineStr">
        <is>
          <t>Закрытые условия на абонементы</t>
        </is>
      </c>
      <c r="D388" s="34" t="inlineStr">
        <is>
          <t>Скидка 10% на абонемент 8 занятий</t>
        </is>
      </c>
      <c r="E388" s="34" t="inlineStr">
        <is>
          <t>При покупке абонемента на 8 занятий</t>
        </is>
      </c>
      <c r="F388" s="147" t="inlineStr">
        <is>
          <t>FW-L1-H94C8-6J29A</t>
        </is>
      </c>
      <c r="G388" s="39" t="inlineStr">
        <is>
          <t>Не использован</t>
        </is>
      </c>
      <c r="H388" s="148" t="n"/>
      <c r="I388" s="34" t="str"/>
      <c r="J388" s="34" t="str"/>
      <c r="K388" s="130" t="n">
        <v>184</v>
      </c>
      <c r="L388" s="43">
        <f>IF(COUNTIF($F$5:$F$2407,F388)=1,"OK","Дубликат")</f>
        <v/>
      </c>
    </row>
    <row r="389" ht="38" customHeight="1">
      <c r="A389" s="146" t="inlineStr">
        <is>
          <t>SUB-L1-08-10</t>
        </is>
      </c>
      <c r="B389" s="39" t="inlineStr">
        <is>
          <t>1 уровень</t>
        </is>
      </c>
      <c r="C389" s="34" t="inlineStr">
        <is>
          <t>Закрытые условия на абонементы</t>
        </is>
      </c>
      <c r="D389" s="34" t="inlineStr">
        <is>
          <t>Скидка 10% на абонемент 8 занятий</t>
        </is>
      </c>
      <c r="E389" s="34" t="inlineStr">
        <is>
          <t>При покупке абонемента на 8 занятий</t>
        </is>
      </c>
      <c r="F389" s="147" t="inlineStr">
        <is>
          <t>FW-L1-M8J6K-QT34Y</t>
        </is>
      </c>
      <c r="G389" s="39" t="inlineStr">
        <is>
          <t>Не использован</t>
        </is>
      </c>
      <c r="H389" s="148" t="n"/>
      <c r="I389" s="34" t="str"/>
      <c r="J389" s="34" t="str"/>
      <c r="K389" s="130" t="n">
        <v>185</v>
      </c>
      <c r="L389" s="43">
        <f>IF(COUNTIF($F$5:$F$2407,F389)=1,"OK","Дубликат")</f>
        <v/>
      </c>
    </row>
    <row r="390" ht="38" customHeight="1">
      <c r="A390" s="146" t="inlineStr">
        <is>
          <t>SUB-L1-08-10</t>
        </is>
      </c>
      <c r="B390" s="39" t="inlineStr">
        <is>
          <t>1 уровень</t>
        </is>
      </c>
      <c r="C390" s="34" t="inlineStr">
        <is>
          <t>Закрытые условия на абонементы</t>
        </is>
      </c>
      <c r="D390" s="34" t="inlineStr">
        <is>
          <t>Скидка 10% на абонемент 8 занятий</t>
        </is>
      </c>
      <c r="E390" s="34" t="inlineStr">
        <is>
          <t>При покупке абонемента на 8 занятий</t>
        </is>
      </c>
      <c r="F390" s="147" t="inlineStr">
        <is>
          <t>FW-L1-JE76P-BJTWQ</t>
        </is>
      </c>
      <c r="G390" s="39" t="inlineStr">
        <is>
          <t>Не использован</t>
        </is>
      </c>
      <c r="H390" s="148" t="n"/>
      <c r="I390" s="34" t="str"/>
      <c r="J390" s="34" t="str"/>
      <c r="K390" s="130" t="n">
        <v>186</v>
      </c>
      <c r="L390" s="43">
        <f>IF(COUNTIF($F$5:$F$2407,F390)=1,"OK","Дубликат")</f>
        <v/>
      </c>
    </row>
    <row r="391" ht="38" customHeight="1">
      <c r="A391" s="146" t="inlineStr">
        <is>
          <t>SUB-L1-08-10</t>
        </is>
      </c>
      <c r="B391" s="39" t="inlineStr">
        <is>
          <t>1 уровень</t>
        </is>
      </c>
      <c r="C391" s="34" t="inlineStr">
        <is>
          <t>Закрытые условия на абонементы</t>
        </is>
      </c>
      <c r="D391" s="34" t="inlineStr">
        <is>
          <t>Скидка 10% на абонемент 8 занятий</t>
        </is>
      </c>
      <c r="E391" s="34" t="inlineStr">
        <is>
          <t>При покупке абонемента на 8 занятий</t>
        </is>
      </c>
      <c r="F391" s="147" t="inlineStr">
        <is>
          <t>FW-L1-CUGZC-CTCT2</t>
        </is>
      </c>
      <c r="G391" s="39" t="inlineStr">
        <is>
          <t>Не использован</t>
        </is>
      </c>
      <c r="H391" s="148" t="n"/>
      <c r="I391" s="34" t="str"/>
      <c r="J391" s="34" t="str"/>
      <c r="K391" s="130" t="n">
        <v>187</v>
      </c>
      <c r="L391" s="43">
        <f>IF(COUNTIF($F$5:$F$2407,F391)=1,"OK","Дубликат")</f>
        <v/>
      </c>
    </row>
    <row r="392" ht="38" customHeight="1">
      <c r="A392" s="146" t="inlineStr">
        <is>
          <t>SUB-L1-08-10</t>
        </is>
      </c>
      <c r="B392" s="39" t="inlineStr">
        <is>
          <t>1 уровень</t>
        </is>
      </c>
      <c r="C392" s="34" t="inlineStr">
        <is>
          <t>Закрытые условия на абонементы</t>
        </is>
      </c>
      <c r="D392" s="34" t="inlineStr">
        <is>
          <t>Скидка 10% на абонемент 8 занятий</t>
        </is>
      </c>
      <c r="E392" s="34" t="inlineStr">
        <is>
          <t>При покупке абонемента на 8 занятий</t>
        </is>
      </c>
      <c r="F392" s="147" t="inlineStr">
        <is>
          <t>FW-L1-B2V4U-KA9YZ</t>
        </is>
      </c>
      <c r="G392" s="39" t="inlineStr">
        <is>
          <t>Не использован</t>
        </is>
      </c>
      <c r="H392" s="148" t="n"/>
      <c r="I392" s="34" t="str"/>
      <c r="J392" s="34" t="str"/>
      <c r="K392" s="130" t="n">
        <v>188</v>
      </c>
      <c r="L392" s="43">
        <f>IF(COUNTIF($F$5:$F$2407,F392)=1,"OK","Дубликат")</f>
        <v/>
      </c>
    </row>
    <row r="393" ht="38" customHeight="1">
      <c r="A393" s="146" t="inlineStr">
        <is>
          <t>SUB-L1-08-10</t>
        </is>
      </c>
      <c r="B393" s="39" t="inlineStr">
        <is>
          <t>1 уровень</t>
        </is>
      </c>
      <c r="C393" s="34" t="inlineStr">
        <is>
          <t>Закрытые условия на абонементы</t>
        </is>
      </c>
      <c r="D393" s="34" t="inlineStr">
        <is>
          <t>Скидка 10% на абонемент 8 занятий</t>
        </is>
      </c>
      <c r="E393" s="34" t="inlineStr">
        <is>
          <t>При покупке абонемента на 8 занятий</t>
        </is>
      </c>
      <c r="F393" s="147" t="inlineStr">
        <is>
          <t>FW-L1-UF979-2NZZ7</t>
        </is>
      </c>
      <c r="G393" s="39" t="inlineStr">
        <is>
          <t>Не использован</t>
        </is>
      </c>
      <c r="H393" s="148" t="n"/>
      <c r="I393" s="34" t="str"/>
      <c r="J393" s="34" t="str"/>
      <c r="K393" s="130" t="n">
        <v>189</v>
      </c>
      <c r="L393" s="43">
        <f>IF(COUNTIF($F$5:$F$2407,F393)=1,"OK","Дубликат")</f>
        <v/>
      </c>
    </row>
    <row r="394" ht="38" customHeight="1">
      <c r="A394" s="146" t="inlineStr">
        <is>
          <t>SUB-L1-08-10</t>
        </is>
      </c>
      <c r="B394" s="39" t="inlineStr">
        <is>
          <t>1 уровень</t>
        </is>
      </c>
      <c r="C394" s="34" t="inlineStr">
        <is>
          <t>Закрытые условия на абонементы</t>
        </is>
      </c>
      <c r="D394" s="34" t="inlineStr">
        <is>
          <t>Скидка 10% на абонемент 8 занятий</t>
        </is>
      </c>
      <c r="E394" s="34" t="inlineStr">
        <is>
          <t>При покупке абонемента на 8 занятий</t>
        </is>
      </c>
      <c r="F394" s="147" t="inlineStr">
        <is>
          <t>FW-L1-PA7HP-BCCE7</t>
        </is>
      </c>
      <c r="G394" s="39" t="inlineStr">
        <is>
          <t>Не использован</t>
        </is>
      </c>
      <c r="H394" s="148" t="n"/>
      <c r="I394" s="34" t="str"/>
      <c r="J394" s="34" t="str"/>
      <c r="K394" s="130" t="n">
        <v>190</v>
      </c>
      <c r="L394" s="43">
        <f>IF(COUNTIF($F$5:$F$2407,F394)=1,"OK","Дубликат")</f>
        <v/>
      </c>
    </row>
    <row r="395" ht="38" customHeight="1">
      <c r="A395" s="146" t="inlineStr">
        <is>
          <t>SUB-L1-08-10</t>
        </is>
      </c>
      <c r="B395" s="39" t="inlineStr">
        <is>
          <t>1 уровень</t>
        </is>
      </c>
      <c r="C395" s="34" t="inlineStr">
        <is>
          <t>Закрытые условия на абонементы</t>
        </is>
      </c>
      <c r="D395" s="34" t="inlineStr">
        <is>
          <t>Скидка 10% на абонемент 8 занятий</t>
        </is>
      </c>
      <c r="E395" s="34" t="inlineStr">
        <is>
          <t>При покупке абонемента на 8 занятий</t>
        </is>
      </c>
      <c r="F395" s="147" t="inlineStr">
        <is>
          <t>FW-L1-A84XG-Q6FEY</t>
        </is>
      </c>
      <c r="G395" s="39" t="inlineStr">
        <is>
          <t>Не использован</t>
        </is>
      </c>
      <c r="H395" s="148" t="n"/>
      <c r="I395" s="34" t="str"/>
      <c r="J395" s="34" t="str"/>
      <c r="K395" s="130" t="n">
        <v>191</v>
      </c>
      <c r="L395" s="43">
        <f>IF(COUNTIF($F$5:$F$2407,F395)=1,"OK","Дубликат")</f>
        <v/>
      </c>
    </row>
    <row r="396" ht="38" customHeight="1">
      <c r="A396" s="146" t="inlineStr">
        <is>
          <t>SUB-L1-08-10</t>
        </is>
      </c>
      <c r="B396" s="39" t="inlineStr">
        <is>
          <t>1 уровень</t>
        </is>
      </c>
      <c r="C396" s="34" t="inlineStr">
        <is>
          <t>Закрытые условия на абонементы</t>
        </is>
      </c>
      <c r="D396" s="34" t="inlineStr">
        <is>
          <t>Скидка 10% на абонемент 8 занятий</t>
        </is>
      </c>
      <c r="E396" s="34" t="inlineStr">
        <is>
          <t>При покупке абонемента на 8 занятий</t>
        </is>
      </c>
      <c r="F396" s="147" t="inlineStr">
        <is>
          <t>FW-L1-D6EQV-DEUTP</t>
        </is>
      </c>
      <c r="G396" s="39" t="inlineStr">
        <is>
          <t>Не использован</t>
        </is>
      </c>
      <c r="H396" s="148" t="n"/>
      <c r="I396" s="34" t="str"/>
      <c r="J396" s="34" t="str"/>
      <c r="K396" s="130" t="n">
        <v>192</v>
      </c>
      <c r="L396" s="43">
        <f>IF(COUNTIF($F$5:$F$2407,F396)=1,"OK","Дубликат")</f>
        <v/>
      </c>
    </row>
    <row r="397" ht="38" customHeight="1">
      <c r="A397" s="146" t="inlineStr">
        <is>
          <t>SUB-L1-08-10</t>
        </is>
      </c>
      <c r="B397" s="39" t="inlineStr">
        <is>
          <t>1 уровень</t>
        </is>
      </c>
      <c r="C397" s="34" t="inlineStr">
        <is>
          <t>Закрытые условия на абонементы</t>
        </is>
      </c>
      <c r="D397" s="34" t="inlineStr">
        <is>
          <t>Скидка 10% на абонемент 8 занятий</t>
        </is>
      </c>
      <c r="E397" s="34" t="inlineStr">
        <is>
          <t>При покупке абонемента на 8 занятий</t>
        </is>
      </c>
      <c r="F397" s="147" t="inlineStr">
        <is>
          <t>FW-L1-NCSWF-LLL7F</t>
        </is>
      </c>
      <c r="G397" s="39" t="inlineStr">
        <is>
          <t>Не использован</t>
        </is>
      </c>
      <c r="H397" s="148" t="n"/>
      <c r="I397" s="34" t="str"/>
      <c r="J397" s="34" t="str"/>
      <c r="K397" s="130" t="n">
        <v>193</v>
      </c>
      <c r="L397" s="43">
        <f>IF(COUNTIF($F$5:$F$2407,F397)=1,"OK","Дубликат")</f>
        <v/>
      </c>
    </row>
    <row r="398" ht="38" customHeight="1">
      <c r="A398" s="146" t="inlineStr">
        <is>
          <t>SUB-L1-08-10</t>
        </is>
      </c>
      <c r="B398" s="39" t="inlineStr">
        <is>
          <t>1 уровень</t>
        </is>
      </c>
      <c r="C398" s="34" t="inlineStr">
        <is>
          <t>Закрытые условия на абонементы</t>
        </is>
      </c>
      <c r="D398" s="34" t="inlineStr">
        <is>
          <t>Скидка 10% на абонемент 8 занятий</t>
        </is>
      </c>
      <c r="E398" s="34" t="inlineStr">
        <is>
          <t>При покупке абонемента на 8 занятий</t>
        </is>
      </c>
      <c r="F398" s="147" t="inlineStr">
        <is>
          <t>FW-L1-8RW9B-UAUGP</t>
        </is>
      </c>
      <c r="G398" s="39" t="inlineStr">
        <is>
          <t>Не использован</t>
        </is>
      </c>
      <c r="H398" s="148" t="n"/>
      <c r="I398" s="34" t="str"/>
      <c r="J398" s="34" t="str"/>
      <c r="K398" s="130" t="n">
        <v>194</v>
      </c>
      <c r="L398" s="43">
        <f>IF(COUNTIF($F$5:$F$2407,F398)=1,"OK","Дубликат")</f>
        <v/>
      </c>
    </row>
    <row r="399" ht="38" customHeight="1">
      <c r="A399" s="146" t="inlineStr">
        <is>
          <t>SUB-L1-08-10</t>
        </is>
      </c>
      <c r="B399" s="39" t="inlineStr">
        <is>
          <t>1 уровень</t>
        </is>
      </c>
      <c r="C399" s="34" t="inlineStr">
        <is>
          <t>Закрытые условия на абонементы</t>
        </is>
      </c>
      <c r="D399" s="34" t="inlineStr">
        <is>
          <t>Скидка 10% на абонемент 8 занятий</t>
        </is>
      </c>
      <c r="E399" s="34" t="inlineStr">
        <is>
          <t>При покупке абонемента на 8 занятий</t>
        </is>
      </c>
      <c r="F399" s="147" t="inlineStr">
        <is>
          <t>FW-L1-8RYGX-5LTDL</t>
        </is>
      </c>
      <c r="G399" s="39" t="inlineStr">
        <is>
          <t>Не использован</t>
        </is>
      </c>
      <c r="H399" s="148" t="n"/>
      <c r="I399" s="34" t="str"/>
      <c r="J399" s="34" t="str"/>
      <c r="K399" s="130" t="n">
        <v>195</v>
      </c>
      <c r="L399" s="43">
        <f>IF(COUNTIF($F$5:$F$2407,F399)=1,"OK","Дубликат")</f>
        <v/>
      </c>
    </row>
    <row r="400" ht="38" customHeight="1">
      <c r="A400" s="146" t="inlineStr">
        <is>
          <t>SUB-L1-08-10</t>
        </is>
      </c>
      <c r="B400" s="39" t="inlineStr">
        <is>
          <t>1 уровень</t>
        </is>
      </c>
      <c r="C400" s="34" t="inlineStr">
        <is>
          <t>Закрытые условия на абонементы</t>
        </is>
      </c>
      <c r="D400" s="34" t="inlineStr">
        <is>
          <t>Скидка 10% на абонемент 8 занятий</t>
        </is>
      </c>
      <c r="E400" s="34" t="inlineStr">
        <is>
          <t>При покупке абонемента на 8 занятий</t>
        </is>
      </c>
      <c r="F400" s="147" t="inlineStr">
        <is>
          <t>FW-L1-UKNXX-R2JXR</t>
        </is>
      </c>
      <c r="G400" s="39" t="inlineStr">
        <is>
          <t>Не использован</t>
        </is>
      </c>
      <c r="H400" s="148" t="n"/>
      <c r="I400" s="34" t="str"/>
      <c r="J400" s="34" t="str"/>
      <c r="K400" s="130" t="n">
        <v>196</v>
      </c>
      <c r="L400" s="43">
        <f>IF(COUNTIF($F$5:$F$2407,F400)=1,"OK","Дубликат")</f>
        <v/>
      </c>
    </row>
    <row r="401" ht="38" customHeight="1">
      <c r="A401" s="146" t="inlineStr">
        <is>
          <t>SUB-L1-08-10</t>
        </is>
      </c>
      <c r="B401" s="39" t="inlineStr">
        <is>
          <t>1 уровень</t>
        </is>
      </c>
      <c r="C401" s="34" t="inlineStr">
        <is>
          <t>Закрытые условия на абонементы</t>
        </is>
      </c>
      <c r="D401" s="34" t="inlineStr">
        <is>
          <t>Скидка 10% на абонемент 8 занятий</t>
        </is>
      </c>
      <c r="E401" s="34" t="inlineStr">
        <is>
          <t>При покупке абонемента на 8 занятий</t>
        </is>
      </c>
      <c r="F401" s="147" t="inlineStr">
        <is>
          <t>FW-L1-ZEUJW-HUU4J</t>
        </is>
      </c>
      <c r="G401" s="39" t="inlineStr">
        <is>
          <t>Не использован</t>
        </is>
      </c>
      <c r="H401" s="148" t="n"/>
      <c r="I401" s="34" t="str"/>
      <c r="J401" s="34" t="str"/>
      <c r="K401" s="130" t="n">
        <v>197</v>
      </c>
      <c r="L401" s="43">
        <f>IF(COUNTIF($F$5:$F$2407,F401)=1,"OK","Дубликат")</f>
        <v/>
      </c>
    </row>
    <row r="402" ht="38" customHeight="1">
      <c r="A402" s="146" t="inlineStr">
        <is>
          <t>SUB-L1-08-10</t>
        </is>
      </c>
      <c r="B402" s="39" t="inlineStr">
        <is>
          <t>1 уровень</t>
        </is>
      </c>
      <c r="C402" s="34" t="inlineStr">
        <is>
          <t>Закрытые условия на абонементы</t>
        </is>
      </c>
      <c r="D402" s="34" t="inlineStr">
        <is>
          <t>Скидка 10% на абонемент 8 занятий</t>
        </is>
      </c>
      <c r="E402" s="34" t="inlineStr">
        <is>
          <t>При покупке абонемента на 8 занятий</t>
        </is>
      </c>
      <c r="F402" s="147" t="inlineStr">
        <is>
          <t>FW-L1-FSXK6-UKCXM</t>
        </is>
      </c>
      <c r="G402" s="39" t="inlineStr">
        <is>
          <t>Не использован</t>
        </is>
      </c>
      <c r="H402" s="148" t="n"/>
      <c r="I402" s="34" t="str"/>
      <c r="J402" s="34" t="str"/>
      <c r="K402" s="130" t="n">
        <v>198</v>
      </c>
      <c r="L402" s="43">
        <f>IF(COUNTIF($F$5:$F$2407,F402)=1,"OK","Дубликат")</f>
        <v/>
      </c>
    </row>
    <row r="403" ht="38" customHeight="1">
      <c r="A403" s="146" t="inlineStr">
        <is>
          <t>SUB-L1-08-10</t>
        </is>
      </c>
      <c r="B403" s="39" t="inlineStr">
        <is>
          <t>1 уровень</t>
        </is>
      </c>
      <c r="C403" s="34" t="inlineStr">
        <is>
          <t>Закрытые условия на абонементы</t>
        </is>
      </c>
      <c r="D403" s="34" t="inlineStr">
        <is>
          <t>Скидка 10% на абонемент 8 занятий</t>
        </is>
      </c>
      <c r="E403" s="34" t="inlineStr">
        <is>
          <t>При покупке абонемента на 8 занятий</t>
        </is>
      </c>
      <c r="F403" s="147" t="inlineStr">
        <is>
          <t>FW-L1-56Y72-4P4WS</t>
        </is>
      </c>
      <c r="G403" s="39" t="inlineStr">
        <is>
          <t>Не использован</t>
        </is>
      </c>
      <c r="H403" s="148" t="n"/>
      <c r="I403" s="34" t="str"/>
      <c r="J403" s="34" t="str"/>
      <c r="K403" s="130" t="n">
        <v>199</v>
      </c>
      <c r="L403" s="43">
        <f>IF(COUNTIF($F$5:$F$2407,F403)=1,"OK","Дубликат")</f>
        <v/>
      </c>
    </row>
    <row r="404" ht="38" customHeight="1">
      <c r="A404" s="146" t="inlineStr">
        <is>
          <t>SUB-L1-08-10</t>
        </is>
      </c>
      <c r="B404" s="39" t="inlineStr">
        <is>
          <t>1 уровень</t>
        </is>
      </c>
      <c r="C404" s="34" t="inlineStr">
        <is>
          <t>Закрытые условия на абонементы</t>
        </is>
      </c>
      <c r="D404" s="34" t="inlineStr">
        <is>
          <t>Скидка 10% на абонемент 8 занятий</t>
        </is>
      </c>
      <c r="E404" s="34" t="inlineStr">
        <is>
          <t>При покупке абонемента на 8 занятий</t>
        </is>
      </c>
      <c r="F404" s="147" t="inlineStr">
        <is>
          <t>FW-L1-XJ985-7MUHF</t>
        </is>
      </c>
      <c r="G404" s="39" t="inlineStr">
        <is>
          <t>Не использован</t>
        </is>
      </c>
      <c r="H404" s="148" t="n"/>
      <c r="I404" s="34" t="str"/>
      <c r="J404" s="34" t="str"/>
      <c r="K404" s="130" t="n">
        <v>200</v>
      </c>
      <c r="L404" s="43">
        <f>IF(COUNTIF($F$5:$F$2407,F404)=1,"OK","Дубликат")</f>
        <v/>
      </c>
    </row>
    <row r="405" ht="38" customHeight="1">
      <c r="A405" s="146" t="inlineStr">
        <is>
          <t>SUB-L2-08-12-15</t>
        </is>
      </c>
      <c r="B405" s="39" t="inlineStr">
        <is>
          <t>2 уровень</t>
        </is>
      </c>
      <c r="C405" s="34" t="inlineStr">
        <is>
          <t>Закрытые условия на абонементы</t>
        </is>
      </c>
      <c r="D405" s="34" t="inlineStr">
        <is>
          <t>Скидка 15% на абонемент 8 или 12 занятий</t>
        </is>
      </c>
      <c r="E405" s="34" t="inlineStr">
        <is>
          <t>При покупке абонемента на 8 или 12 занятий</t>
        </is>
      </c>
      <c r="F405" s="147" t="inlineStr">
        <is>
          <t>FW-L2-ULF3M-23ZZH</t>
        </is>
      </c>
      <c r="G405" s="39" t="inlineStr">
        <is>
          <t>Не использован</t>
        </is>
      </c>
      <c r="H405" s="148" t="n"/>
      <c r="I405" s="34" t="str"/>
      <c r="J405" s="34" t="str"/>
      <c r="K405" s="130" t="n">
        <v>1</v>
      </c>
      <c r="L405" s="43">
        <f>IF(COUNTIF($F$5:$F$2407,F405)=1,"OK","Дубликат")</f>
        <v/>
      </c>
    </row>
    <row r="406" ht="38" customHeight="1">
      <c r="A406" s="146" t="inlineStr">
        <is>
          <t>SUB-L2-08-12-15</t>
        </is>
      </c>
      <c r="B406" s="39" t="inlineStr">
        <is>
          <t>2 уровень</t>
        </is>
      </c>
      <c r="C406" s="34" t="inlineStr">
        <is>
          <t>Закрытые условия на абонементы</t>
        </is>
      </c>
      <c r="D406" s="34" t="inlineStr">
        <is>
          <t>Скидка 15% на абонемент 8 или 12 занятий</t>
        </is>
      </c>
      <c r="E406" s="34" t="inlineStr">
        <is>
          <t>При покупке абонемента на 8 или 12 занятий</t>
        </is>
      </c>
      <c r="F406" s="147" t="inlineStr">
        <is>
          <t>FW-L2-GA3MX-PT28D</t>
        </is>
      </c>
      <c r="G406" s="39" t="inlineStr">
        <is>
          <t>Не использован</t>
        </is>
      </c>
      <c r="H406" s="148" t="n"/>
      <c r="I406" s="34" t="str"/>
      <c r="J406" s="34" t="str"/>
      <c r="K406" s="130" t="n">
        <v>2</v>
      </c>
      <c r="L406" s="43">
        <f>IF(COUNTIF($F$5:$F$2407,F406)=1,"OK","Дубликат")</f>
        <v/>
      </c>
    </row>
    <row r="407" ht="38" customHeight="1">
      <c r="A407" s="146" t="inlineStr">
        <is>
          <t>SUB-L2-08-12-15</t>
        </is>
      </c>
      <c r="B407" s="39" t="inlineStr">
        <is>
          <t>2 уровень</t>
        </is>
      </c>
      <c r="C407" s="34" t="inlineStr">
        <is>
          <t>Закрытые условия на абонементы</t>
        </is>
      </c>
      <c r="D407" s="34" t="inlineStr">
        <is>
          <t>Скидка 15% на абонемент 8 или 12 занятий</t>
        </is>
      </c>
      <c r="E407" s="34" t="inlineStr">
        <is>
          <t>При покупке абонемента на 8 или 12 занятий</t>
        </is>
      </c>
      <c r="F407" s="147" t="inlineStr">
        <is>
          <t>FW-L2-5GDBU-VUVQJ</t>
        </is>
      </c>
      <c r="G407" s="39" t="inlineStr">
        <is>
          <t>Не использован</t>
        </is>
      </c>
      <c r="H407" s="148" t="n"/>
      <c r="I407" s="34" t="str"/>
      <c r="J407" s="34" t="str"/>
      <c r="K407" s="130" t="n">
        <v>3</v>
      </c>
      <c r="L407" s="43">
        <f>IF(COUNTIF($F$5:$F$2407,F407)=1,"OK","Дубликат")</f>
        <v/>
      </c>
    </row>
    <row r="408" ht="38" customHeight="1">
      <c r="A408" s="146" t="inlineStr">
        <is>
          <t>SUB-L2-08-12-15</t>
        </is>
      </c>
      <c r="B408" s="39" t="inlineStr">
        <is>
          <t>2 уровень</t>
        </is>
      </c>
      <c r="C408" s="34" t="inlineStr">
        <is>
          <t>Закрытые условия на абонементы</t>
        </is>
      </c>
      <c r="D408" s="34" t="inlineStr">
        <is>
          <t>Скидка 15% на абонемент 8 или 12 занятий</t>
        </is>
      </c>
      <c r="E408" s="34" t="inlineStr">
        <is>
          <t>При покупке абонемента на 8 или 12 занятий</t>
        </is>
      </c>
      <c r="F408" s="147" t="inlineStr">
        <is>
          <t>FW-L2-AN5HZ-J9ZBK</t>
        </is>
      </c>
      <c r="G408" s="39" t="inlineStr">
        <is>
          <t>Не использован</t>
        </is>
      </c>
      <c r="H408" s="148" t="n"/>
      <c r="I408" s="34" t="str"/>
      <c r="J408" s="34" t="str"/>
      <c r="K408" s="130" t="n">
        <v>4</v>
      </c>
      <c r="L408" s="43">
        <f>IF(COUNTIF($F$5:$F$2407,F408)=1,"OK","Дубликат")</f>
        <v/>
      </c>
    </row>
    <row r="409" ht="38" customHeight="1">
      <c r="A409" s="146" t="inlineStr">
        <is>
          <t>SUB-L2-08-12-15</t>
        </is>
      </c>
      <c r="B409" s="39" t="inlineStr">
        <is>
          <t>2 уровень</t>
        </is>
      </c>
      <c r="C409" s="34" t="inlineStr">
        <is>
          <t>Закрытые условия на абонементы</t>
        </is>
      </c>
      <c r="D409" s="34" t="inlineStr">
        <is>
          <t>Скидка 15% на абонемент 8 или 12 занятий</t>
        </is>
      </c>
      <c r="E409" s="34" t="inlineStr">
        <is>
          <t>При покупке абонемента на 8 или 12 занятий</t>
        </is>
      </c>
      <c r="F409" s="147" t="inlineStr">
        <is>
          <t>FW-L2-BBH77-M49QK</t>
        </is>
      </c>
      <c r="G409" s="39" t="inlineStr">
        <is>
          <t>Не использован</t>
        </is>
      </c>
      <c r="H409" s="148" t="n"/>
      <c r="I409" s="34" t="str"/>
      <c r="J409" s="34" t="str"/>
      <c r="K409" s="130" t="n">
        <v>5</v>
      </c>
      <c r="L409" s="43">
        <f>IF(COUNTIF($F$5:$F$2407,F409)=1,"OK","Дубликат")</f>
        <v/>
      </c>
    </row>
    <row r="410" ht="38" customHeight="1">
      <c r="A410" s="146" t="inlineStr">
        <is>
          <t>SUB-L2-08-12-15</t>
        </is>
      </c>
      <c r="B410" s="39" t="inlineStr">
        <is>
          <t>2 уровень</t>
        </is>
      </c>
      <c r="C410" s="34" t="inlineStr">
        <is>
          <t>Закрытые условия на абонементы</t>
        </is>
      </c>
      <c r="D410" s="34" t="inlineStr">
        <is>
          <t>Скидка 15% на абонемент 8 или 12 занятий</t>
        </is>
      </c>
      <c r="E410" s="34" t="inlineStr">
        <is>
          <t>При покупке абонемента на 8 или 12 занятий</t>
        </is>
      </c>
      <c r="F410" s="147" t="inlineStr">
        <is>
          <t>FW-L2-UHJDH-GLA8W</t>
        </is>
      </c>
      <c r="G410" s="39" t="inlineStr">
        <is>
          <t>Не использован</t>
        </is>
      </c>
      <c r="H410" s="148" t="n"/>
      <c r="I410" s="34" t="str"/>
      <c r="J410" s="34" t="str"/>
      <c r="K410" s="130" t="n">
        <v>6</v>
      </c>
      <c r="L410" s="43">
        <f>IF(COUNTIF($F$5:$F$2407,F410)=1,"OK","Дубликат")</f>
        <v/>
      </c>
    </row>
    <row r="411" ht="38" customHeight="1">
      <c r="A411" s="146" t="inlineStr">
        <is>
          <t>SUB-L2-08-12-15</t>
        </is>
      </c>
      <c r="B411" s="39" t="inlineStr">
        <is>
          <t>2 уровень</t>
        </is>
      </c>
      <c r="C411" s="34" t="inlineStr">
        <is>
          <t>Закрытые условия на абонементы</t>
        </is>
      </c>
      <c r="D411" s="34" t="inlineStr">
        <is>
          <t>Скидка 15% на абонемент 8 или 12 занятий</t>
        </is>
      </c>
      <c r="E411" s="34" t="inlineStr">
        <is>
          <t>При покупке абонемента на 8 или 12 занятий</t>
        </is>
      </c>
      <c r="F411" s="147" t="inlineStr">
        <is>
          <t>FW-L2-YZXB7-2FQQE</t>
        </is>
      </c>
      <c r="G411" s="39" t="inlineStr">
        <is>
          <t>Не использован</t>
        </is>
      </c>
      <c r="H411" s="148" t="n"/>
      <c r="I411" s="34" t="str"/>
      <c r="J411" s="34" t="str"/>
      <c r="K411" s="130" t="n">
        <v>7</v>
      </c>
      <c r="L411" s="43">
        <f>IF(COUNTIF($F$5:$F$2407,F411)=1,"OK","Дубликат")</f>
        <v/>
      </c>
    </row>
    <row r="412" ht="38" customHeight="1">
      <c r="A412" s="146" t="inlineStr">
        <is>
          <t>SUB-L2-08-12-15</t>
        </is>
      </c>
      <c r="B412" s="39" t="inlineStr">
        <is>
          <t>2 уровень</t>
        </is>
      </c>
      <c r="C412" s="34" t="inlineStr">
        <is>
          <t>Закрытые условия на абонементы</t>
        </is>
      </c>
      <c r="D412" s="34" t="inlineStr">
        <is>
          <t>Скидка 15% на абонемент 8 или 12 занятий</t>
        </is>
      </c>
      <c r="E412" s="34" t="inlineStr">
        <is>
          <t>При покупке абонемента на 8 или 12 занятий</t>
        </is>
      </c>
      <c r="F412" s="147" t="inlineStr">
        <is>
          <t>FW-L2-3PJNM-W5TYY</t>
        </is>
      </c>
      <c r="G412" s="39" t="inlineStr">
        <is>
          <t>Не использован</t>
        </is>
      </c>
      <c r="H412" s="148" t="n"/>
      <c r="I412" s="34" t="str"/>
      <c r="J412" s="34" t="str"/>
      <c r="K412" s="130" t="n">
        <v>8</v>
      </c>
      <c r="L412" s="43">
        <f>IF(COUNTIF($F$5:$F$2407,F412)=1,"OK","Дубликат")</f>
        <v/>
      </c>
    </row>
    <row r="413" ht="38" customHeight="1">
      <c r="A413" s="146" t="inlineStr">
        <is>
          <t>SUB-L2-08-12-15</t>
        </is>
      </c>
      <c r="B413" s="39" t="inlineStr">
        <is>
          <t>2 уровень</t>
        </is>
      </c>
      <c r="C413" s="34" t="inlineStr">
        <is>
          <t>Закрытые условия на абонементы</t>
        </is>
      </c>
      <c r="D413" s="34" t="inlineStr">
        <is>
          <t>Скидка 15% на абонемент 8 или 12 занятий</t>
        </is>
      </c>
      <c r="E413" s="34" t="inlineStr">
        <is>
          <t>При покупке абонемента на 8 или 12 занятий</t>
        </is>
      </c>
      <c r="F413" s="147" t="inlineStr">
        <is>
          <t>FW-L2-J8KNX-VSE45</t>
        </is>
      </c>
      <c r="G413" s="39" t="inlineStr">
        <is>
          <t>Не использован</t>
        </is>
      </c>
      <c r="H413" s="148" t="n"/>
      <c r="I413" s="34" t="str"/>
      <c r="J413" s="34" t="str"/>
      <c r="K413" s="130" t="n">
        <v>9</v>
      </c>
      <c r="L413" s="43">
        <f>IF(COUNTIF($F$5:$F$2407,F413)=1,"OK","Дубликат")</f>
        <v/>
      </c>
    </row>
    <row r="414" ht="38" customHeight="1">
      <c r="A414" s="146" t="inlineStr">
        <is>
          <t>SUB-L2-08-12-15</t>
        </is>
      </c>
      <c r="B414" s="39" t="inlineStr">
        <is>
          <t>2 уровень</t>
        </is>
      </c>
      <c r="C414" s="34" t="inlineStr">
        <is>
          <t>Закрытые условия на абонементы</t>
        </is>
      </c>
      <c r="D414" s="34" t="inlineStr">
        <is>
          <t>Скидка 15% на абонемент 8 или 12 занятий</t>
        </is>
      </c>
      <c r="E414" s="34" t="inlineStr">
        <is>
          <t>При покупке абонемента на 8 или 12 занятий</t>
        </is>
      </c>
      <c r="F414" s="147" t="inlineStr">
        <is>
          <t>FW-L2-4WH6T-Y2ZAV</t>
        </is>
      </c>
      <c r="G414" s="39" t="inlineStr">
        <is>
          <t>Не использован</t>
        </is>
      </c>
      <c r="H414" s="148" t="n"/>
      <c r="I414" s="34" t="str"/>
      <c r="J414" s="34" t="str"/>
      <c r="K414" s="130" t="n">
        <v>10</v>
      </c>
      <c r="L414" s="43">
        <f>IF(COUNTIF($F$5:$F$2407,F414)=1,"OK","Дубликат")</f>
        <v/>
      </c>
    </row>
    <row r="415" ht="38" customHeight="1">
      <c r="A415" s="146" t="inlineStr">
        <is>
          <t>SUB-L2-08-12-15</t>
        </is>
      </c>
      <c r="B415" s="39" t="inlineStr">
        <is>
          <t>2 уровень</t>
        </is>
      </c>
      <c r="C415" s="34" t="inlineStr">
        <is>
          <t>Закрытые условия на абонементы</t>
        </is>
      </c>
      <c r="D415" s="34" t="inlineStr">
        <is>
          <t>Скидка 15% на абонемент 8 или 12 занятий</t>
        </is>
      </c>
      <c r="E415" s="34" t="inlineStr">
        <is>
          <t>При покупке абонемента на 8 или 12 занятий</t>
        </is>
      </c>
      <c r="F415" s="147" t="inlineStr">
        <is>
          <t>FW-L2-MHTBN-SSD9D</t>
        </is>
      </c>
      <c r="G415" s="39" t="inlineStr">
        <is>
          <t>Не использован</t>
        </is>
      </c>
      <c r="H415" s="148" t="n"/>
      <c r="I415" s="34" t="str"/>
      <c r="J415" s="34" t="str"/>
      <c r="K415" s="130" t="n">
        <v>11</v>
      </c>
      <c r="L415" s="43">
        <f>IF(COUNTIF($F$5:$F$2407,F415)=1,"OK","Дубликат")</f>
        <v/>
      </c>
    </row>
    <row r="416" ht="38" customHeight="1">
      <c r="A416" s="146" t="inlineStr">
        <is>
          <t>SUB-L2-08-12-15</t>
        </is>
      </c>
      <c r="B416" s="39" t="inlineStr">
        <is>
          <t>2 уровень</t>
        </is>
      </c>
      <c r="C416" s="34" t="inlineStr">
        <is>
          <t>Закрытые условия на абонементы</t>
        </is>
      </c>
      <c r="D416" s="34" t="inlineStr">
        <is>
          <t>Скидка 15% на абонемент 8 или 12 занятий</t>
        </is>
      </c>
      <c r="E416" s="34" t="inlineStr">
        <is>
          <t>При покупке абонемента на 8 или 12 занятий</t>
        </is>
      </c>
      <c r="F416" s="147" t="inlineStr">
        <is>
          <t>FW-L2-XDDLN-UY7WJ</t>
        </is>
      </c>
      <c r="G416" s="39" t="inlineStr">
        <is>
          <t>Не использован</t>
        </is>
      </c>
      <c r="H416" s="148" t="n"/>
      <c r="I416" s="34" t="str"/>
      <c r="J416" s="34" t="str"/>
      <c r="K416" s="130" t="n">
        <v>12</v>
      </c>
      <c r="L416" s="43">
        <f>IF(COUNTIF($F$5:$F$2407,F416)=1,"OK","Дубликат")</f>
        <v/>
      </c>
    </row>
    <row r="417" ht="38" customHeight="1">
      <c r="A417" s="146" t="inlineStr">
        <is>
          <t>SUB-L2-08-12-15</t>
        </is>
      </c>
      <c r="B417" s="39" t="inlineStr">
        <is>
          <t>2 уровень</t>
        </is>
      </c>
      <c r="C417" s="34" t="inlineStr">
        <is>
          <t>Закрытые условия на абонементы</t>
        </is>
      </c>
      <c r="D417" s="34" t="inlineStr">
        <is>
          <t>Скидка 15% на абонемент 8 или 12 занятий</t>
        </is>
      </c>
      <c r="E417" s="34" t="inlineStr">
        <is>
          <t>При покупке абонемента на 8 или 12 занятий</t>
        </is>
      </c>
      <c r="F417" s="147" t="inlineStr">
        <is>
          <t>FW-L2-BAJRT-NPFDF</t>
        </is>
      </c>
      <c r="G417" s="39" t="inlineStr">
        <is>
          <t>Не использован</t>
        </is>
      </c>
      <c r="H417" s="148" t="n"/>
      <c r="I417" s="34" t="str"/>
      <c r="J417" s="34" t="str"/>
      <c r="K417" s="130" t="n">
        <v>13</v>
      </c>
      <c r="L417" s="43">
        <f>IF(COUNTIF($F$5:$F$2407,F417)=1,"OK","Дубликат")</f>
        <v/>
      </c>
    </row>
    <row r="418" ht="38" customHeight="1">
      <c r="A418" s="146" t="inlineStr">
        <is>
          <t>SUB-L2-08-12-15</t>
        </is>
      </c>
      <c r="B418" s="39" t="inlineStr">
        <is>
          <t>2 уровень</t>
        </is>
      </c>
      <c r="C418" s="34" t="inlineStr">
        <is>
          <t>Закрытые условия на абонементы</t>
        </is>
      </c>
      <c r="D418" s="34" t="inlineStr">
        <is>
          <t>Скидка 15% на абонемент 8 или 12 занятий</t>
        </is>
      </c>
      <c r="E418" s="34" t="inlineStr">
        <is>
          <t>При покупке абонемента на 8 или 12 занятий</t>
        </is>
      </c>
      <c r="F418" s="147" t="inlineStr">
        <is>
          <t>FW-L2-NZKZA-MQFXJ</t>
        </is>
      </c>
      <c r="G418" s="39" t="inlineStr">
        <is>
          <t>Не использован</t>
        </is>
      </c>
      <c r="H418" s="148" t="n"/>
      <c r="I418" s="34" t="str"/>
      <c r="J418" s="34" t="str"/>
      <c r="K418" s="130" t="n">
        <v>14</v>
      </c>
      <c r="L418" s="43">
        <f>IF(COUNTIF($F$5:$F$2407,F418)=1,"OK","Дубликат")</f>
        <v/>
      </c>
    </row>
    <row r="419" ht="38" customHeight="1">
      <c r="A419" s="146" t="inlineStr">
        <is>
          <t>SUB-L2-08-12-15</t>
        </is>
      </c>
      <c r="B419" s="39" t="inlineStr">
        <is>
          <t>2 уровень</t>
        </is>
      </c>
      <c r="C419" s="34" t="inlineStr">
        <is>
          <t>Закрытые условия на абонементы</t>
        </is>
      </c>
      <c r="D419" s="34" t="inlineStr">
        <is>
          <t>Скидка 15% на абонемент 8 или 12 занятий</t>
        </is>
      </c>
      <c r="E419" s="34" t="inlineStr">
        <is>
          <t>При покупке абонемента на 8 или 12 занятий</t>
        </is>
      </c>
      <c r="F419" s="147" t="inlineStr">
        <is>
          <t>FW-L2-KMZM3-6A82A</t>
        </is>
      </c>
      <c r="G419" s="39" t="inlineStr">
        <is>
          <t>Не использован</t>
        </is>
      </c>
      <c r="H419" s="148" t="n"/>
      <c r="I419" s="34" t="str"/>
      <c r="J419" s="34" t="str"/>
      <c r="K419" s="130" t="n">
        <v>15</v>
      </c>
      <c r="L419" s="43">
        <f>IF(COUNTIF($F$5:$F$2407,F419)=1,"OK","Дубликат")</f>
        <v/>
      </c>
    </row>
    <row r="420" ht="38" customHeight="1">
      <c r="A420" s="146" t="inlineStr">
        <is>
          <t>SUB-L2-08-12-15</t>
        </is>
      </c>
      <c r="B420" s="39" t="inlineStr">
        <is>
          <t>2 уровень</t>
        </is>
      </c>
      <c r="C420" s="34" t="inlineStr">
        <is>
          <t>Закрытые условия на абонементы</t>
        </is>
      </c>
      <c r="D420" s="34" t="inlineStr">
        <is>
          <t>Скидка 15% на абонемент 8 или 12 занятий</t>
        </is>
      </c>
      <c r="E420" s="34" t="inlineStr">
        <is>
          <t>При покупке абонемента на 8 или 12 занятий</t>
        </is>
      </c>
      <c r="F420" s="147" t="inlineStr">
        <is>
          <t>FW-L2-QCPE5-6TDDB</t>
        </is>
      </c>
      <c r="G420" s="39" t="inlineStr">
        <is>
          <t>Не использован</t>
        </is>
      </c>
      <c r="H420" s="148" t="n"/>
      <c r="I420" s="34" t="str"/>
      <c r="J420" s="34" t="str"/>
      <c r="K420" s="130" t="n">
        <v>16</v>
      </c>
      <c r="L420" s="43">
        <f>IF(COUNTIF($F$5:$F$2407,F420)=1,"OK","Дубликат")</f>
        <v/>
      </c>
    </row>
    <row r="421" ht="38" customHeight="1">
      <c r="A421" s="146" t="inlineStr">
        <is>
          <t>SUB-L2-08-12-15</t>
        </is>
      </c>
      <c r="B421" s="39" t="inlineStr">
        <is>
          <t>2 уровень</t>
        </is>
      </c>
      <c r="C421" s="34" t="inlineStr">
        <is>
          <t>Закрытые условия на абонементы</t>
        </is>
      </c>
      <c r="D421" s="34" t="inlineStr">
        <is>
          <t>Скидка 15% на абонемент 8 или 12 занятий</t>
        </is>
      </c>
      <c r="E421" s="34" t="inlineStr">
        <is>
          <t>При покупке абонемента на 8 или 12 занятий</t>
        </is>
      </c>
      <c r="F421" s="147" t="inlineStr">
        <is>
          <t>FW-L2-CCVHB-TNX2Y</t>
        </is>
      </c>
      <c r="G421" s="39" t="inlineStr">
        <is>
          <t>Не использован</t>
        </is>
      </c>
      <c r="H421" s="148" t="n"/>
      <c r="I421" s="34" t="str"/>
      <c r="J421" s="34" t="str"/>
      <c r="K421" s="130" t="n">
        <v>17</v>
      </c>
      <c r="L421" s="43">
        <f>IF(COUNTIF($F$5:$F$2407,F421)=1,"OK","Дубликат")</f>
        <v/>
      </c>
    </row>
    <row r="422" ht="38" customHeight="1">
      <c r="A422" s="146" t="inlineStr">
        <is>
          <t>SUB-L2-08-12-15</t>
        </is>
      </c>
      <c r="B422" s="39" t="inlineStr">
        <is>
          <t>2 уровень</t>
        </is>
      </c>
      <c r="C422" s="34" t="inlineStr">
        <is>
          <t>Закрытые условия на абонементы</t>
        </is>
      </c>
      <c r="D422" s="34" t="inlineStr">
        <is>
          <t>Скидка 15% на абонемент 8 или 12 занятий</t>
        </is>
      </c>
      <c r="E422" s="34" t="inlineStr">
        <is>
          <t>При покупке абонемента на 8 или 12 занятий</t>
        </is>
      </c>
      <c r="F422" s="147" t="inlineStr">
        <is>
          <t>FW-L2-YANRF-YQ64T</t>
        </is>
      </c>
      <c r="G422" s="39" t="inlineStr">
        <is>
          <t>Не использован</t>
        </is>
      </c>
      <c r="H422" s="148" t="n"/>
      <c r="I422" s="34" t="str"/>
      <c r="J422" s="34" t="str"/>
      <c r="K422" s="130" t="n">
        <v>18</v>
      </c>
      <c r="L422" s="43">
        <f>IF(COUNTIF($F$5:$F$2407,F422)=1,"OK","Дубликат")</f>
        <v/>
      </c>
    </row>
    <row r="423" ht="38" customHeight="1">
      <c r="A423" s="146" t="inlineStr">
        <is>
          <t>SUB-L2-08-12-15</t>
        </is>
      </c>
      <c r="B423" s="39" t="inlineStr">
        <is>
          <t>2 уровень</t>
        </is>
      </c>
      <c r="C423" s="34" t="inlineStr">
        <is>
          <t>Закрытые условия на абонементы</t>
        </is>
      </c>
      <c r="D423" s="34" t="inlineStr">
        <is>
          <t>Скидка 15% на абонемент 8 или 12 занятий</t>
        </is>
      </c>
      <c r="E423" s="34" t="inlineStr">
        <is>
          <t>При покупке абонемента на 8 или 12 занятий</t>
        </is>
      </c>
      <c r="F423" s="147" t="inlineStr">
        <is>
          <t>FW-L2-WH7MK-T8GP8</t>
        </is>
      </c>
      <c r="G423" s="39" t="inlineStr">
        <is>
          <t>Не использован</t>
        </is>
      </c>
      <c r="H423" s="148" t="n"/>
      <c r="I423" s="34" t="str"/>
      <c r="J423" s="34" t="str"/>
      <c r="K423" s="130" t="n">
        <v>19</v>
      </c>
      <c r="L423" s="43">
        <f>IF(COUNTIF($F$5:$F$2407,F423)=1,"OK","Дубликат")</f>
        <v/>
      </c>
    </row>
    <row r="424" ht="38" customHeight="1">
      <c r="A424" s="146" t="inlineStr">
        <is>
          <t>SUB-L2-08-12-15</t>
        </is>
      </c>
      <c r="B424" s="39" t="inlineStr">
        <is>
          <t>2 уровень</t>
        </is>
      </c>
      <c r="C424" s="34" t="inlineStr">
        <is>
          <t>Закрытые условия на абонементы</t>
        </is>
      </c>
      <c r="D424" s="34" t="inlineStr">
        <is>
          <t>Скидка 15% на абонемент 8 или 12 занятий</t>
        </is>
      </c>
      <c r="E424" s="34" t="inlineStr">
        <is>
          <t>При покупке абонемента на 8 или 12 занятий</t>
        </is>
      </c>
      <c r="F424" s="147" t="inlineStr">
        <is>
          <t>FW-L2-4LCXK-8U6NM</t>
        </is>
      </c>
      <c r="G424" s="39" t="inlineStr">
        <is>
          <t>Не использован</t>
        </is>
      </c>
      <c r="H424" s="148" t="n"/>
      <c r="I424" s="34" t="str"/>
      <c r="J424" s="34" t="str"/>
      <c r="K424" s="130" t="n">
        <v>20</v>
      </c>
      <c r="L424" s="43">
        <f>IF(COUNTIF($F$5:$F$2407,F424)=1,"OK","Дубликат")</f>
        <v/>
      </c>
    </row>
    <row r="425" ht="38" customHeight="1">
      <c r="A425" s="146" t="inlineStr">
        <is>
          <t>SUB-L2-08-12-15</t>
        </is>
      </c>
      <c r="B425" s="39" t="inlineStr">
        <is>
          <t>2 уровень</t>
        </is>
      </c>
      <c r="C425" s="34" t="inlineStr">
        <is>
          <t>Закрытые условия на абонементы</t>
        </is>
      </c>
      <c r="D425" s="34" t="inlineStr">
        <is>
          <t>Скидка 15% на абонемент 8 или 12 занятий</t>
        </is>
      </c>
      <c r="E425" s="34" t="inlineStr">
        <is>
          <t>При покупке абонемента на 8 или 12 занятий</t>
        </is>
      </c>
      <c r="F425" s="147" t="inlineStr">
        <is>
          <t>FW-L2-2PGBT-AVN74</t>
        </is>
      </c>
      <c r="G425" s="39" t="inlineStr">
        <is>
          <t>Не использован</t>
        </is>
      </c>
      <c r="H425" s="148" t="n"/>
      <c r="I425" s="34" t="str"/>
      <c r="J425" s="34" t="str"/>
      <c r="K425" s="130" t="n">
        <v>21</v>
      </c>
      <c r="L425" s="43">
        <f>IF(COUNTIF($F$5:$F$2407,F425)=1,"OK","Дубликат")</f>
        <v/>
      </c>
    </row>
    <row r="426" ht="38" customHeight="1">
      <c r="A426" s="146" t="inlineStr">
        <is>
          <t>SUB-L2-08-12-15</t>
        </is>
      </c>
      <c r="B426" s="39" t="inlineStr">
        <is>
          <t>2 уровень</t>
        </is>
      </c>
      <c r="C426" s="34" t="inlineStr">
        <is>
          <t>Закрытые условия на абонементы</t>
        </is>
      </c>
      <c r="D426" s="34" t="inlineStr">
        <is>
          <t>Скидка 15% на абонемент 8 или 12 занятий</t>
        </is>
      </c>
      <c r="E426" s="34" t="inlineStr">
        <is>
          <t>При покупке абонемента на 8 или 12 занятий</t>
        </is>
      </c>
      <c r="F426" s="147" t="inlineStr">
        <is>
          <t>FW-L2-ZEBRL-WL4Y2</t>
        </is>
      </c>
      <c r="G426" s="39" t="inlineStr">
        <is>
          <t>Не использован</t>
        </is>
      </c>
      <c r="H426" s="148" t="n"/>
      <c r="I426" s="34" t="str"/>
      <c r="J426" s="34" t="str"/>
      <c r="K426" s="130" t="n">
        <v>22</v>
      </c>
      <c r="L426" s="43">
        <f>IF(COUNTIF($F$5:$F$2407,F426)=1,"OK","Дубликат")</f>
        <v/>
      </c>
    </row>
    <row r="427" ht="38" customHeight="1">
      <c r="A427" s="146" t="inlineStr">
        <is>
          <t>SUB-L2-08-12-15</t>
        </is>
      </c>
      <c r="B427" s="39" t="inlineStr">
        <is>
          <t>2 уровень</t>
        </is>
      </c>
      <c r="C427" s="34" t="inlineStr">
        <is>
          <t>Закрытые условия на абонементы</t>
        </is>
      </c>
      <c r="D427" s="34" t="inlineStr">
        <is>
          <t>Скидка 15% на абонемент 8 или 12 занятий</t>
        </is>
      </c>
      <c r="E427" s="34" t="inlineStr">
        <is>
          <t>При покупке абонемента на 8 или 12 занятий</t>
        </is>
      </c>
      <c r="F427" s="147" t="inlineStr">
        <is>
          <t>FW-L2-V3QTC-E4SDH</t>
        </is>
      </c>
      <c r="G427" s="39" t="inlineStr">
        <is>
          <t>Не использован</t>
        </is>
      </c>
      <c r="H427" s="148" t="n"/>
      <c r="I427" s="34" t="str"/>
      <c r="J427" s="34" t="str"/>
      <c r="K427" s="130" t="n">
        <v>23</v>
      </c>
      <c r="L427" s="43">
        <f>IF(COUNTIF($F$5:$F$2407,F427)=1,"OK","Дубликат")</f>
        <v/>
      </c>
    </row>
    <row r="428" ht="38" customHeight="1">
      <c r="A428" s="146" t="inlineStr">
        <is>
          <t>SUB-L2-08-12-15</t>
        </is>
      </c>
      <c r="B428" s="39" t="inlineStr">
        <is>
          <t>2 уровень</t>
        </is>
      </c>
      <c r="C428" s="34" t="inlineStr">
        <is>
          <t>Закрытые условия на абонементы</t>
        </is>
      </c>
      <c r="D428" s="34" t="inlineStr">
        <is>
          <t>Скидка 15% на абонемент 8 или 12 занятий</t>
        </is>
      </c>
      <c r="E428" s="34" t="inlineStr">
        <is>
          <t>При покупке абонемента на 8 или 12 занятий</t>
        </is>
      </c>
      <c r="F428" s="147" t="inlineStr">
        <is>
          <t>FW-L2-7UTQB-YA4XQ</t>
        </is>
      </c>
      <c r="G428" s="39" t="inlineStr">
        <is>
          <t>Не использован</t>
        </is>
      </c>
      <c r="H428" s="148" t="n"/>
      <c r="I428" s="34" t="str"/>
      <c r="J428" s="34" t="str"/>
      <c r="K428" s="130" t="n">
        <v>24</v>
      </c>
      <c r="L428" s="43">
        <f>IF(COUNTIF($F$5:$F$2407,F428)=1,"OK","Дубликат")</f>
        <v/>
      </c>
    </row>
    <row r="429" ht="38" customHeight="1">
      <c r="A429" s="146" t="inlineStr">
        <is>
          <t>SUB-L2-08-12-15</t>
        </is>
      </c>
      <c r="B429" s="39" t="inlineStr">
        <is>
          <t>2 уровень</t>
        </is>
      </c>
      <c r="C429" s="34" t="inlineStr">
        <is>
          <t>Закрытые условия на абонементы</t>
        </is>
      </c>
      <c r="D429" s="34" t="inlineStr">
        <is>
          <t>Скидка 15% на абонемент 8 или 12 занятий</t>
        </is>
      </c>
      <c r="E429" s="34" t="inlineStr">
        <is>
          <t>При покупке абонемента на 8 или 12 занятий</t>
        </is>
      </c>
      <c r="F429" s="147" t="inlineStr">
        <is>
          <t>FW-L2-TP65S-BLD4B</t>
        </is>
      </c>
      <c r="G429" s="39" t="inlineStr">
        <is>
          <t>Не использован</t>
        </is>
      </c>
      <c r="H429" s="148" t="n"/>
      <c r="I429" s="34" t="str"/>
      <c r="J429" s="34" t="str"/>
      <c r="K429" s="130" t="n">
        <v>25</v>
      </c>
      <c r="L429" s="43">
        <f>IF(COUNTIF($F$5:$F$2407,F429)=1,"OK","Дубликат")</f>
        <v/>
      </c>
    </row>
    <row r="430" ht="38" customHeight="1">
      <c r="A430" s="146" t="inlineStr">
        <is>
          <t>SUB-L2-08-12-15</t>
        </is>
      </c>
      <c r="B430" s="39" t="inlineStr">
        <is>
          <t>2 уровень</t>
        </is>
      </c>
      <c r="C430" s="34" t="inlineStr">
        <is>
          <t>Закрытые условия на абонементы</t>
        </is>
      </c>
      <c r="D430" s="34" t="inlineStr">
        <is>
          <t>Скидка 15% на абонемент 8 или 12 занятий</t>
        </is>
      </c>
      <c r="E430" s="34" t="inlineStr">
        <is>
          <t>При покупке абонемента на 8 или 12 занятий</t>
        </is>
      </c>
      <c r="F430" s="147" t="inlineStr">
        <is>
          <t>FW-L2-77MTX-Y4J89</t>
        </is>
      </c>
      <c r="G430" s="39" t="inlineStr">
        <is>
          <t>Не использован</t>
        </is>
      </c>
      <c r="H430" s="148" t="n"/>
      <c r="I430" s="34" t="str"/>
      <c r="J430" s="34" t="str"/>
      <c r="K430" s="130" t="n">
        <v>26</v>
      </c>
      <c r="L430" s="43">
        <f>IF(COUNTIF($F$5:$F$2407,F430)=1,"OK","Дубликат")</f>
        <v/>
      </c>
    </row>
    <row r="431" ht="38" customHeight="1">
      <c r="A431" s="146" t="inlineStr">
        <is>
          <t>SUB-L2-08-12-15</t>
        </is>
      </c>
      <c r="B431" s="39" t="inlineStr">
        <is>
          <t>2 уровень</t>
        </is>
      </c>
      <c r="C431" s="34" t="inlineStr">
        <is>
          <t>Закрытые условия на абонементы</t>
        </is>
      </c>
      <c r="D431" s="34" t="inlineStr">
        <is>
          <t>Скидка 15% на абонемент 8 или 12 занятий</t>
        </is>
      </c>
      <c r="E431" s="34" t="inlineStr">
        <is>
          <t>При покупке абонемента на 8 или 12 занятий</t>
        </is>
      </c>
      <c r="F431" s="147" t="inlineStr">
        <is>
          <t>FW-L2-5EHTN-EU3CV</t>
        </is>
      </c>
      <c r="G431" s="39" t="inlineStr">
        <is>
          <t>Не использован</t>
        </is>
      </c>
      <c r="H431" s="148" t="n"/>
      <c r="I431" s="34" t="str"/>
      <c r="J431" s="34" t="str"/>
      <c r="K431" s="130" t="n">
        <v>27</v>
      </c>
      <c r="L431" s="43">
        <f>IF(COUNTIF($F$5:$F$2407,F431)=1,"OK","Дубликат")</f>
        <v/>
      </c>
    </row>
    <row r="432" ht="38" customHeight="1">
      <c r="A432" s="146" t="inlineStr">
        <is>
          <t>SUB-L2-08-12-15</t>
        </is>
      </c>
      <c r="B432" s="39" t="inlineStr">
        <is>
          <t>2 уровень</t>
        </is>
      </c>
      <c r="C432" s="34" t="inlineStr">
        <is>
          <t>Закрытые условия на абонементы</t>
        </is>
      </c>
      <c r="D432" s="34" t="inlineStr">
        <is>
          <t>Скидка 15% на абонемент 8 или 12 занятий</t>
        </is>
      </c>
      <c r="E432" s="34" t="inlineStr">
        <is>
          <t>При покупке абонемента на 8 или 12 занятий</t>
        </is>
      </c>
      <c r="F432" s="147" t="inlineStr">
        <is>
          <t>FW-L2-78CB2-MPY6W</t>
        </is>
      </c>
      <c r="G432" s="39" t="inlineStr">
        <is>
          <t>Не использован</t>
        </is>
      </c>
      <c r="H432" s="148" t="n"/>
      <c r="I432" s="34" t="str"/>
      <c r="J432" s="34" t="str"/>
      <c r="K432" s="130" t="n">
        <v>28</v>
      </c>
      <c r="L432" s="43">
        <f>IF(COUNTIF($F$5:$F$2407,F432)=1,"OK","Дубликат")</f>
        <v/>
      </c>
    </row>
    <row r="433" ht="38" customHeight="1">
      <c r="A433" s="146" t="inlineStr">
        <is>
          <t>SUB-L2-08-12-15</t>
        </is>
      </c>
      <c r="B433" s="39" t="inlineStr">
        <is>
          <t>2 уровень</t>
        </is>
      </c>
      <c r="C433" s="34" t="inlineStr">
        <is>
          <t>Закрытые условия на абонементы</t>
        </is>
      </c>
      <c r="D433" s="34" t="inlineStr">
        <is>
          <t>Скидка 15% на абонемент 8 или 12 занятий</t>
        </is>
      </c>
      <c r="E433" s="34" t="inlineStr">
        <is>
          <t>При покупке абонемента на 8 или 12 занятий</t>
        </is>
      </c>
      <c r="F433" s="147" t="inlineStr">
        <is>
          <t>FW-L2-3EHVW-C25D2</t>
        </is>
      </c>
      <c r="G433" s="39" t="inlineStr">
        <is>
          <t>Не использован</t>
        </is>
      </c>
      <c r="H433" s="148" t="n"/>
      <c r="I433" s="34" t="str"/>
      <c r="J433" s="34" t="str"/>
      <c r="K433" s="130" t="n">
        <v>29</v>
      </c>
      <c r="L433" s="43">
        <f>IF(COUNTIF($F$5:$F$2407,F433)=1,"OK","Дубликат")</f>
        <v/>
      </c>
    </row>
    <row r="434" ht="38" customHeight="1">
      <c r="A434" s="146" t="inlineStr">
        <is>
          <t>SUB-L2-08-12-15</t>
        </is>
      </c>
      <c r="B434" s="39" t="inlineStr">
        <is>
          <t>2 уровень</t>
        </is>
      </c>
      <c r="C434" s="34" t="inlineStr">
        <is>
          <t>Закрытые условия на абонементы</t>
        </is>
      </c>
      <c r="D434" s="34" t="inlineStr">
        <is>
          <t>Скидка 15% на абонемент 8 или 12 занятий</t>
        </is>
      </c>
      <c r="E434" s="34" t="inlineStr">
        <is>
          <t>При покупке абонемента на 8 или 12 занятий</t>
        </is>
      </c>
      <c r="F434" s="147" t="inlineStr">
        <is>
          <t>FW-L2-TCXUQ-TNQ6R</t>
        </is>
      </c>
      <c r="G434" s="39" t="inlineStr">
        <is>
          <t>Не использован</t>
        </is>
      </c>
      <c r="H434" s="148" t="n"/>
      <c r="I434" s="34" t="str"/>
      <c r="J434" s="34" t="str"/>
      <c r="K434" s="130" t="n">
        <v>30</v>
      </c>
      <c r="L434" s="43">
        <f>IF(COUNTIF($F$5:$F$2407,F434)=1,"OK","Дубликат")</f>
        <v/>
      </c>
    </row>
    <row r="435" ht="38" customHeight="1">
      <c r="A435" s="146" t="inlineStr">
        <is>
          <t>SUB-L2-08-12-15</t>
        </is>
      </c>
      <c r="B435" s="39" t="inlineStr">
        <is>
          <t>2 уровень</t>
        </is>
      </c>
      <c r="C435" s="34" t="inlineStr">
        <is>
          <t>Закрытые условия на абонементы</t>
        </is>
      </c>
      <c r="D435" s="34" t="inlineStr">
        <is>
          <t>Скидка 15% на абонемент 8 или 12 занятий</t>
        </is>
      </c>
      <c r="E435" s="34" t="inlineStr">
        <is>
          <t>При покупке абонемента на 8 или 12 занятий</t>
        </is>
      </c>
      <c r="F435" s="147" t="inlineStr">
        <is>
          <t>FW-L2-Y5SMD-68TFL</t>
        </is>
      </c>
      <c r="G435" s="39" t="inlineStr">
        <is>
          <t>Не использован</t>
        </is>
      </c>
      <c r="H435" s="148" t="n"/>
      <c r="I435" s="34" t="str"/>
      <c r="J435" s="34" t="str"/>
      <c r="K435" s="130" t="n">
        <v>31</v>
      </c>
      <c r="L435" s="43">
        <f>IF(COUNTIF($F$5:$F$2407,F435)=1,"OK","Дубликат")</f>
        <v/>
      </c>
    </row>
    <row r="436" ht="38" customHeight="1">
      <c r="A436" s="146" t="inlineStr">
        <is>
          <t>SUB-L2-08-12-15</t>
        </is>
      </c>
      <c r="B436" s="39" t="inlineStr">
        <is>
          <t>2 уровень</t>
        </is>
      </c>
      <c r="C436" s="34" t="inlineStr">
        <is>
          <t>Закрытые условия на абонементы</t>
        </is>
      </c>
      <c r="D436" s="34" t="inlineStr">
        <is>
          <t>Скидка 15% на абонемент 8 или 12 занятий</t>
        </is>
      </c>
      <c r="E436" s="34" t="inlineStr">
        <is>
          <t>При покупке абонемента на 8 или 12 занятий</t>
        </is>
      </c>
      <c r="F436" s="147" t="inlineStr">
        <is>
          <t>FW-L2-4RJ49-STRCG</t>
        </is>
      </c>
      <c r="G436" s="39" t="inlineStr">
        <is>
          <t>Не использован</t>
        </is>
      </c>
      <c r="H436" s="148" t="n"/>
      <c r="I436" s="34" t="str"/>
      <c r="J436" s="34" t="str"/>
      <c r="K436" s="130" t="n">
        <v>32</v>
      </c>
      <c r="L436" s="43">
        <f>IF(COUNTIF($F$5:$F$2407,F436)=1,"OK","Дубликат")</f>
        <v/>
      </c>
    </row>
    <row r="437" ht="38" customHeight="1">
      <c r="A437" s="146" t="inlineStr">
        <is>
          <t>SUB-L2-08-12-15</t>
        </is>
      </c>
      <c r="B437" s="39" t="inlineStr">
        <is>
          <t>2 уровень</t>
        </is>
      </c>
      <c r="C437" s="34" t="inlineStr">
        <is>
          <t>Закрытые условия на абонементы</t>
        </is>
      </c>
      <c r="D437" s="34" t="inlineStr">
        <is>
          <t>Скидка 15% на абонемент 8 или 12 занятий</t>
        </is>
      </c>
      <c r="E437" s="34" t="inlineStr">
        <is>
          <t>При покупке абонемента на 8 или 12 занятий</t>
        </is>
      </c>
      <c r="F437" s="147" t="inlineStr">
        <is>
          <t>FW-L2-NJ2JC-MUG72</t>
        </is>
      </c>
      <c r="G437" s="39" t="inlineStr">
        <is>
          <t>Не использован</t>
        </is>
      </c>
      <c r="H437" s="148" t="n"/>
      <c r="I437" s="34" t="str"/>
      <c r="J437" s="34" t="str"/>
      <c r="K437" s="130" t="n">
        <v>33</v>
      </c>
      <c r="L437" s="43">
        <f>IF(COUNTIF($F$5:$F$2407,F437)=1,"OK","Дубликат")</f>
        <v/>
      </c>
    </row>
    <row r="438" ht="38" customHeight="1">
      <c r="A438" s="146" t="inlineStr">
        <is>
          <t>SUB-L2-08-12-15</t>
        </is>
      </c>
      <c r="B438" s="39" t="inlineStr">
        <is>
          <t>2 уровень</t>
        </is>
      </c>
      <c r="C438" s="34" t="inlineStr">
        <is>
          <t>Закрытые условия на абонементы</t>
        </is>
      </c>
      <c r="D438" s="34" t="inlineStr">
        <is>
          <t>Скидка 15% на абонемент 8 или 12 занятий</t>
        </is>
      </c>
      <c r="E438" s="34" t="inlineStr">
        <is>
          <t>При покупке абонемента на 8 или 12 занятий</t>
        </is>
      </c>
      <c r="F438" s="147" t="inlineStr">
        <is>
          <t>FW-L2-6QCDE-X4FDS</t>
        </is>
      </c>
      <c r="G438" s="39" t="inlineStr">
        <is>
          <t>Не использован</t>
        </is>
      </c>
      <c r="H438" s="148" t="n"/>
      <c r="I438" s="34" t="str"/>
      <c r="J438" s="34" t="str"/>
      <c r="K438" s="130" t="n">
        <v>34</v>
      </c>
      <c r="L438" s="43">
        <f>IF(COUNTIF($F$5:$F$2407,F438)=1,"OK","Дубликат")</f>
        <v/>
      </c>
    </row>
    <row r="439" ht="38" customHeight="1">
      <c r="A439" s="146" t="inlineStr">
        <is>
          <t>SUB-L2-08-12-15</t>
        </is>
      </c>
      <c r="B439" s="39" t="inlineStr">
        <is>
          <t>2 уровень</t>
        </is>
      </c>
      <c r="C439" s="34" t="inlineStr">
        <is>
          <t>Закрытые условия на абонементы</t>
        </is>
      </c>
      <c r="D439" s="34" t="inlineStr">
        <is>
          <t>Скидка 15% на абонемент 8 или 12 занятий</t>
        </is>
      </c>
      <c r="E439" s="34" t="inlineStr">
        <is>
          <t>При покупке абонемента на 8 или 12 занятий</t>
        </is>
      </c>
      <c r="F439" s="147" t="inlineStr">
        <is>
          <t>FW-L2-CE4B8-LQCAX</t>
        </is>
      </c>
      <c r="G439" s="39" t="inlineStr">
        <is>
          <t>Не использован</t>
        </is>
      </c>
      <c r="H439" s="148" t="n"/>
      <c r="I439" s="34" t="str"/>
      <c r="J439" s="34" t="str"/>
      <c r="K439" s="130" t="n">
        <v>35</v>
      </c>
      <c r="L439" s="43">
        <f>IF(COUNTIF($F$5:$F$2407,F439)=1,"OK","Дубликат")</f>
        <v/>
      </c>
    </row>
    <row r="440" ht="38" customHeight="1">
      <c r="A440" s="146" t="inlineStr">
        <is>
          <t>SUB-L2-08-12-15</t>
        </is>
      </c>
      <c r="B440" s="39" t="inlineStr">
        <is>
          <t>2 уровень</t>
        </is>
      </c>
      <c r="C440" s="34" t="inlineStr">
        <is>
          <t>Закрытые условия на абонементы</t>
        </is>
      </c>
      <c r="D440" s="34" t="inlineStr">
        <is>
          <t>Скидка 15% на абонемент 8 или 12 занятий</t>
        </is>
      </c>
      <c r="E440" s="34" t="inlineStr">
        <is>
          <t>При покупке абонемента на 8 или 12 занятий</t>
        </is>
      </c>
      <c r="F440" s="147" t="inlineStr">
        <is>
          <t>FW-L2-K9DT3-R6W45</t>
        </is>
      </c>
      <c r="G440" s="39" t="inlineStr">
        <is>
          <t>Не использован</t>
        </is>
      </c>
      <c r="H440" s="148" t="n"/>
      <c r="I440" s="34" t="str"/>
      <c r="J440" s="34" t="str"/>
      <c r="K440" s="130" t="n">
        <v>36</v>
      </c>
      <c r="L440" s="43">
        <f>IF(COUNTIF($F$5:$F$2407,F440)=1,"OK","Дубликат")</f>
        <v/>
      </c>
    </row>
    <row r="441" ht="38" customHeight="1">
      <c r="A441" s="146" t="inlineStr">
        <is>
          <t>SUB-L2-08-12-15</t>
        </is>
      </c>
      <c r="B441" s="39" t="inlineStr">
        <is>
          <t>2 уровень</t>
        </is>
      </c>
      <c r="C441" s="34" t="inlineStr">
        <is>
          <t>Закрытые условия на абонементы</t>
        </is>
      </c>
      <c r="D441" s="34" t="inlineStr">
        <is>
          <t>Скидка 15% на абонемент 8 или 12 занятий</t>
        </is>
      </c>
      <c r="E441" s="34" t="inlineStr">
        <is>
          <t>При покупке абонемента на 8 или 12 занятий</t>
        </is>
      </c>
      <c r="F441" s="147" t="inlineStr">
        <is>
          <t>FW-L2-LRAM4-D7NM2</t>
        </is>
      </c>
      <c r="G441" s="39" t="inlineStr">
        <is>
          <t>Не использован</t>
        </is>
      </c>
      <c r="H441" s="148" t="n"/>
      <c r="I441" s="34" t="str"/>
      <c r="J441" s="34" t="str"/>
      <c r="K441" s="130" t="n">
        <v>37</v>
      </c>
      <c r="L441" s="43">
        <f>IF(COUNTIF($F$5:$F$2407,F441)=1,"OK","Дубликат")</f>
        <v/>
      </c>
    </row>
    <row r="442" ht="38" customHeight="1">
      <c r="A442" s="146" t="inlineStr">
        <is>
          <t>SUB-L2-08-12-15</t>
        </is>
      </c>
      <c r="B442" s="39" t="inlineStr">
        <is>
          <t>2 уровень</t>
        </is>
      </c>
      <c r="C442" s="34" t="inlineStr">
        <is>
          <t>Закрытые условия на абонементы</t>
        </is>
      </c>
      <c r="D442" s="34" t="inlineStr">
        <is>
          <t>Скидка 15% на абонемент 8 или 12 занятий</t>
        </is>
      </c>
      <c r="E442" s="34" t="inlineStr">
        <is>
          <t>При покупке абонемента на 8 или 12 занятий</t>
        </is>
      </c>
      <c r="F442" s="147" t="inlineStr">
        <is>
          <t>FW-L2-36QGM-VG6PY</t>
        </is>
      </c>
      <c r="G442" s="39" t="inlineStr">
        <is>
          <t>Не использован</t>
        </is>
      </c>
      <c r="H442" s="148" t="n"/>
      <c r="I442" s="34" t="str"/>
      <c r="J442" s="34" t="str"/>
      <c r="K442" s="130" t="n">
        <v>38</v>
      </c>
      <c r="L442" s="43">
        <f>IF(COUNTIF($F$5:$F$2407,F442)=1,"OK","Дубликат")</f>
        <v/>
      </c>
    </row>
    <row r="443" ht="38" customHeight="1">
      <c r="A443" s="146" t="inlineStr">
        <is>
          <t>SUB-L2-08-12-15</t>
        </is>
      </c>
      <c r="B443" s="39" t="inlineStr">
        <is>
          <t>2 уровень</t>
        </is>
      </c>
      <c r="C443" s="34" t="inlineStr">
        <is>
          <t>Закрытые условия на абонементы</t>
        </is>
      </c>
      <c r="D443" s="34" t="inlineStr">
        <is>
          <t>Скидка 15% на абонемент 8 или 12 занятий</t>
        </is>
      </c>
      <c r="E443" s="34" t="inlineStr">
        <is>
          <t>При покупке абонемента на 8 или 12 занятий</t>
        </is>
      </c>
      <c r="F443" s="147" t="inlineStr">
        <is>
          <t>FW-L2-VRLEJ-W9KCE</t>
        </is>
      </c>
      <c r="G443" s="39" t="inlineStr">
        <is>
          <t>Не использован</t>
        </is>
      </c>
      <c r="H443" s="148" t="n"/>
      <c r="I443" s="34" t="str"/>
      <c r="J443" s="34" t="str"/>
      <c r="K443" s="130" t="n">
        <v>39</v>
      </c>
      <c r="L443" s="43">
        <f>IF(COUNTIF($F$5:$F$2407,F443)=1,"OK","Дубликат")</f>
        <v/>
      </c>
    </row>
    <row r="444" ht="38" customHeight="1">
      <c r="A444" s="146" t="inlineStr">
        <is>
          <t>SUB-L2-08-12-15</t>
        </is>
      </c>
      <c r="B444" s="39" t="inlineStr">
        <is>
          <t>2 уровень</t>
        </is>
      </c>
      <c r="C444" s="34" t="inlineStr">
        <is>
          <t>Закрытые условия на абонементы</t>
        </is>
      </c>
      <c r="D444" s="34" t="inlineStr">
        <is>
          <t>Скидка 15% на абонемент 8 или 12 занятий</t>
        </is>
      </c>
      <c r="E444" s="34" t="inlineStr">
        <is>
          <t>При покупке абонемента на 8 или 12 занятий</t>
        </is>
      </c>
      <c r="F444" s="147" t="inlineStr">
        <is>
          <t>FW-L2-BWX44-REKCG</t>
        </is>
      </c>
      <c r="G444" s="39" t="inlineStr">
        <is>
          <t>Не использован</t>
        </is>
      </c>
      <c r="H444" s="148" t="n"/>
      <c r="I444" s="34" t="str"/>
      <c r="J444" s="34" t="str"/>
      <c r="K444" s="130" t="n">
        <v>40</v>
      </c>
      <c r="L444" s="43">
        <f>IF(COUNTIF($F$5:$F$2407,F444)=1,"OK","Дубликат")</f>
        <v/>
      </c>
    </row>
    <row r="445" ht="38" customHeight="1">
      <c r="A445" s="146" t="inlineStr">
        <is>
          <t>SUB-L2-08-12-15</t>
        </is>
      </c>
      <c r="B445" s="39" t="inlineStr">
        <is>
          <t>2 уровень</t>
        </is>
      </c>
      <c r="C445" s="34" t="inlineStr">
        <is>
          <t>Закрытые условия на абонементы</t>
        </is>
      </c>
      <c r="D445" s="34" t="inlineStr">
        <is>
          <t>Скидка 15% на абонемент 8 или 12 занятий</t>
        </is>
      </c>
      <c r="E445" s="34" t="inlineStr">
        <is>
          <t>При покупке абонемента на 8 или 12 занятий</t>
        </is>
      </c>
      <c r="F445" s="147" t="inlineStr">
        <is>
          <t>FW-L2-Z9H85-HKZY7</t>
        </is>
      </c>
      <c r="G445" s="39" t="inlineStr">
        <is>
          <t>Не использован</t>
        </is>
      </c>
      <c r="H445" s="148" t="n"/>
      <c r="I445" s="34" t="str"/>
      <c r="J445" s="34" t="str"/>
      <c r="K445" s="130" t="n">
        <v>41</v>
      </c>
      <c r="L445" s="43">
        <f>IF(COUNTIF($F$5:$F$2407,F445)=1,"OK","Дубликат")</f>
        <v/>
      </c>
    </row>
    <row r="446" ht="38" customHeight="1">
      <c r="A446" s="146" t="inlineStr">
        <is>
          <t>SUB-L2-08-12-15</t>
        </is>
      </c>
      <c r="B446" s="39" t="inlineStr">
        <is>
          <t>2 уровень</t>
        </is>
      </c>
      <c r="C446" s="34" t="inlineStr">
        <is>
          <t>Закрытые условия на абонементы</t>
        </is>
      </c>
      <c r="D446" s="34" t="inlineStr">
        <is>
          <t>Скидка 15% на абонемент 8 или 12 занятий</t>
        </is>
      </c>
      <c r="E446" s="34" t="inlineStr">
        <is>
          <t>При покупке абонемента на 8 или 12 занятий</t>
        </is>
      </c>
      <c r="F446" s="147" t="inlineStr">
        <is>
          <t>FW-L2-7ZDLT-MRWSH</t>
        </is>
      </c>
      <c r="G446" s="39" t="inlineStr">
        <is>
          <t>Не использован</t>
        </is>
      </c>
      <c r="H446" s="148" t="n"/>
      <c r="I446" s="34" t="str"/>
      <c r="J446" s="34" t="str"/>
      <c r="K446" s="130" t="n">
        <v>42</v>
      </c>
      <c r="L446" s="43">
        <f>IF(COUNTIF($F$5:$F$2407,F446)=1,"OK","Дубликат")</f>
        <v/>
      </c>
    </row>
    <row r="447" ht="38" customHeight="1">
      <c r="A447" s="146" t="inlineStr">
        <is>
          <t>SUB-L2-08-12-15</t>
        </is>
      </c>
      <c r="B447" s="39" t="inlineStr">
        <is>
          <t>2 уровень</t>
        </is>
      </c>
      <c r="C447" s="34" t="inlineStr">
        <is>
          <t>Закрытые условия на абонементы</t>
        </is>
      </c>
      <c r="D447" s="34" t="inlineStr">
        <is>
          <t>Скидка 15% на абонемент 8 или 12 занятий</t>
        </is>
      </c>
      <c r="E447" s="34" t="inlineStr">
        <is>
          <t>При покупке абонемента на 8 или 12 занятий</t>
        </is>
      </c>
      <c r="F447" s="147" t="inlineStr">
        <is>
          <t>FW-L2-23XCM-ZGPRW</t>
        </is>
      </c>
      <c r="G447" s="39" t="inlineStr">
        <is>
          <t>Не использован</t>
        </is>
      </c>
      <c r="H447" s="148" t="n"/>
      <c r="I447" s="34" t="str"/>
      <c r="J447" s="34" t="str"/>
      <c r="K447" s="130" t="n">
        <v>43</v>
      </c>
      <c r="L447" s="43">
        <f>IF(COUNTIF($F$5:$F$2407,F447)=1,"OK","Дубликат")</f>
        <v/>
      </c>
    </row>
    <row r="448" ht="38" customHeight="1">
      <c r="A448" s="146" t="inlineStr">
        <is>
          <t>SUB-L2-08-12-15</t>
        </is>
      </c>
      <c r="B448" s="39" t="inlineStr">
        <is>
          <t>2 уровень</t>
        </is>
      </c>
      <c r="C448" s="34" t="inlineStr">
        <is>
          <t>Закрытые условия на абонементы</t>
        </is>
      </c>
      <c r="D448" s="34" t="inlineStr">
        <is>
          <t>Скидка 15% на абонемент 8 или 12 занятий</t>
        </is>
      </c>
      <c r="E448" s="34" t="inlineStr">
        <is>
          <t>При покупке абонемента на 8 или 12 занятий</t>
        </is>
      </c>
      <c r="F448" s="147" t="inlineStr">
        <is>
          <t>FW-L2-BV2S9-NXED4</t>
        </is>
      </c>
      <c r="G448" s="39" t="inlineStr">
        <is>
          <t>Не использован</t>
        </is>
      </c>
      <c r="H448" s="148" t="n"/>
      <c r="I448" s="34" t="str"/>
      <c r="J448" s="34" t="str"/>
      <c r="K448" s="130" t="n">
        <v>44</v>
      </c>
      <c r="L448" s="43">
        <f>IF(COUNTIF($F$5:$F$2407,F448)=1,"OK","Дубликат")</f>
        <v/>
      </c>
    </row>
    <row r="449" ht="38" customHeight="1">
      <c r="A449" s="146" t="inlineStr">
        <is>
          <t>SUB-L2-08-12-15</t>
        </is>
      </c>
      <c r="B449" s="39" t="inlineStr">
        <is>
          <t>2 уровень</t>
        </is>
      </c>
      <c r="C449" s="34" t="inlineStr">
        <is>
          <t>Закрытые условия на абонементы</t>
        </is>
      </c>
      <c r="D449" s="34" t="inlineStr">
        <is>
          <t>Скидка 15% на абонемент 8 или 12 занятий</t>
        </is>
      </c>
      <c r="E449" s="34" t="inlineStr">
        <is>
          <t>При покупке абонемента на 8 или 12 занятий</t>
        </is>
      </c>
      <c r="F449" s="147" t="inlineStr">
        <is>
          <t>FW-L2-D89HU-ZEMQQ</t>
        </is>
      </c>
      <c r="G449" s="39" t="inlineStr">
        <is>
          <t>Не использован</t>
        </is>
      </c>
      <c r="H449" s="148" t="n"/>
      <c r="I449" s="34" t="str"/>
      <c r="J449" s="34" t="str"/>
      <c r="K449" s="130" t="n">
        <v>45</v>
      </c>
      <c r="L449" s="43">
        <f>IF(COUNTIF($F$5:$F$2407,F449)=1,"OK","Дубликат")</f>
        <v/>
      </c>
    </row>
    <row r="450" ht="38" customHeight="1">
      <c r="A450" s="146" t="inlineStr">
        <is>
          <t>SUB-L2-08-12-15</t>
        </is>
      </c>
      <c r="B450" s="39" t="inlineStr">
        <is>
          <t>2 уровень</t>
        </is>
      </c>
      <c r="C450" s="34" t="inlineStr">
        <is>
          <t>Закрытые условия на абонементы</t>
        </is>
      </c>
      <c r="D450" s="34" t="inlineStr">
        <is>
          <t>Скидка 15% на абонемент 8 или 12 занятий</t>
        </is>
      </c>
      <c r="E450" s="34" t="inlineStr">
        <is>
          <t>При покупке абонемента на 8 или 12 занятий</t>
        </is>
      </c>
      <c r="F450" s="147" t="inlineStr">
        <is>
          <t>FW-L2-ZC2VP-LQFYW</t>
        </is>
      </c>
      <c r="G450" s="39" t="inlineStr">
        <is>
          <t>Не использован</t>
        </is>
      </c>
      <c r="H450" s="148" t="n"/>
      <c r="I450" s="34" t="str"/>
      <c r="J450" s="34" t="str"/>
      <c r="K450" s="130" t="n">
        <v>46</v>
      </c>
      <c r="L450" s="43">
        <f>IF(COUNTIF($F$5:$F$2407,F450)=1,"OK","Дубликат")</f>
        <v/>
      </c>
    </row>
    <row r="451" ht="38" customHeight="1">
      <c r="A451" s="146" t="inlineStr">
        <is>
          <t>SUB-L2-08-12-15</t>
        </is>
      </c>
      <c r="B451" s="39" t="inlineStr">
        <is>
          <t>2 уровень</t>
        </is>
      </c>
      <c r="C451" s="34" t="inlineStr">
        <is>
          <t>Закрытые условия на абонементы</t>
        </is>
      </c>
      <c r="D451" s="34" t="inlineStr">
        <is>
          <t>Скидка 15% на абонемент 8 или 12 занятий</t>
        </is>
      </c>
      <c r="E451" s="34" t="inlineStr">
        <is>
          <t>При покупке абонемента на 8 или 12 занятий</t>
        </is>
      </c>
      <c r="F451" s="147" t="inlineStr">
        <is>
          <t>FW-L2-NSJU7-886M7</t>
        </is>
      </c>
      <c r="G451" s="39" t="inlineStr">
        <is>
          <t>Не использован</t>
        </is>
      </c>
      <c r="H451" s="148" t="n"/>
      <c r="I451" s="34" t="str"/>
      <c r="J451" s="34" t="str"/>
      <c r="K451" s="130" t="n">
        <v>47</v>
      </c>
      <c r="L451" s="43">
        <f>IF(COUNTIF($F$5:$F$2407,F451)=1,"OK","Дубликат")</f>
        <v/>
      </c>
    </row>
    <row r="452" ht="38" customHeight="1">
      <c r="A452" s="146" t="inlineStr">
        <is>
          <t>SUB-L2-08-12-15</t>
        </is>
      </c>
      <c r="B452" s="39" t="inlineStr">
        <is>
          <t>2 уровень</t>
        </is>
      </c>
      <c r="C452" s="34" t="inlineStr">
        <is>
          <t>Закрытые условия на абонементы</t>
        </is>
      </c>
      <c r="D452" s="34" t="inlineStr">
        <is>
          <t>Скидка 15% на абонемент 8 или 12 занятий</t>
        </is>
      </c>
      <c r="E452" s="34" t="inlineStr">
        <is>
          <t>При покупке абонемента на 8 или 12 занятий</t>
        </is>
      </c>
      <c r="F452" s="147" t="inlineStr">
        <is>
          <t>FW-L2-L2CG3-S6EVF</t>
        </is>
      </c>
      <c r="G452" s="39" t="inlineStr">
        <is>
          <t>Не использован</t>
        </is>
      </c>
      <c r="H452" s="148" t="n"/>
      <c r="I452" s="34" t="str"/>
      <c r="J452" s="34" t="str"/>
      <c r="K452" s="130" t="n">
        <v>48</v>
      </c>
      <c r="L452" s="43">
        <f>IF(COUNTIF($F$5:$F$2407,F452)=1,"OK","Дубликат")</f>
        <v/>
      </c>
    </row>
    <row r="453" ht="38" customHeight="1">
      <c r="A453" s="146" t="inlineStr">
        <is>
          <t>SUB-L2-08-12-15</t>
        </is>
      </c>
      <c r="B453" s="39" t="inlineStr">
        <is>
          <t>2 уровень</t>
        </is>
      </c>
      <c r="C453" s="34" t="inlineStr">
        <is>
          <t>Закрытые условия на абонементы</t>
        </is>
      </c>
      <c r="D453" s="34" t="inlineStr">
        <is>
          <t>Скидка 15% на абонемент 8 или 12 занятий</t>
        </is>
      </c>
      <c r="E453" s="34" t="inlineStr">
        <is>
          <t>При покупке абонемента на 8 или 12 занятий</t>
        </is>
      </c>
      <c r="F453" s="147" t="inlineStr">
        <is>
          <t>FW-L2-488AT-QPVUC</t>
        </is>
      </c>
      <c r="G453" s="39" t="inlineStr">
        <is>
          <t>Не использован</t>
        </is>
      </c>
      <c r="H453" s="148" t="n"/>
      <c r="I453" s="34" t="str"/>
      <c r="J453" s="34" t="str"/>
      <c r="K453" s="130" t="n">
        <v>49</v>
      </c>
      <c r="L453" s="43">
        <f>IF(COUNTIF($F$5:$F$2407,F453)=1,"OK","Дубликат")</f>
        <v/>
      </c>
    </row>
    <row r="454" ht="38" customHeight="1">
      <c r="A454" s="146" t="inlineStr">
        <is>
          <t>SUB-L2-08-12-15</t>
        </is>
      </c>
      <c r="B454" s="39" t="inlineStr">
        <is>
          <t>2 уровень</t>
        </is>
      </c>
      <c r="C454" s="34" t="inlineStr">
        <is>
          <t>Закрытые условия на абонементы</t>
        </is>
      </c>
      <c r="D454" s="34" t="inlineStr">
        <is>
          <t>Скидка 15% на абонемент 8 или 12 занятий</t>
        </is>
      </c>
      <c r="E454" s="34" t="inlineStr">
        <is>
          <t>При покупке абонемента на 8 или 12 занятий</t>
        </is>
      </c>
      <c r="F454" s="147" t="inlineStr">
        <is>
          <t>FW-L2-U93TU-TYF4K</t>
        </is>
      </c>
      <c r="G454" s="39" t="inlineStr">
        <is>
          <t>Не использован</t>
        </is>
      </c>
      <c r="H454" s="148" t="n"/>
      <c r="I454" s="34" t="str"/>
      <c r="J454" s="34" t="str"/>
      <c r="K454" s="130" t="n">
        <v>50</v>
      </c>
      <c r="L454" s="43">
        <f>IF(COUNTIF($F$5:$F$2407,F454)=1,"OK","Дубликат")</f>
        <v/>
      </c>
    </row>
    <row r="455" ht="38" customHeight="1">
      <c r="A455" s="146" t="inlineStr">
        <is>
          <t>SUB-L2-08-12-15</t>
        </is>
      </c>
      <c r="B455" s="39" t="inlineStr">
        <is>
          <t>2 уровень</t>
        </is>
      </c>
      <c r="C455" s="34" t="inlineStr">
        <is>
          <t>Закрытые условия на абонементы</t>
        </is>
      </c>
      <c r="D455" s="34" t="inlineStr">
        <is>
          <t>Скидка 15% на абонемент 8 или 12 занятий</t>
        </is>
      </c>
      <c r="E455" s="34" t="inlineStr">
        <is>
          <t>При покупке абонемента на 8 или 12 занятий</t>
        </is>
      </c>
      <c r="F455" s="147" t="inlineStr">
        <is>
          <t>FW-L2-NGCJQ-SJK8E</t>
        </is>
      </c>
      <c r="G455" s="39" t="inlineStr">
        <is>
          <t>Не использован</t>
        </is>
      </c>
      <c r="H455" s="148" t="n"/>
      <c r="I455" s="34" t="str"/>
      <c r="J455" s="34" t="str"/>
      <c r="K455" s="130" t="n">
        <v>51</v>
      </c>
      <c r="L455" s="43">
        <f>IF(COUNTIF($F$5:$F$2407,F455)=1,"OK","Дубликат")</f>
        <v/>
      </c>
    </row>
    <row r="456" ht="38" customHeight="1">
      <c r="A456" s="146" t="inlineStr">
        <is>
          <t>SUB-L2-08-12-15</t>
        </is>
      </c>
      <c r="B456" s="39" t="inlineStr">
        <is>
          <t>2 уровень</t>
        </is>
      </c>
      <c r="C456" s="34" t="inlineStr">
        <is>
          <t>Закрытые условия на абонементы</t>
        </is>
      </c>
      <c r="D456" s="34" t="inlineStr">
        <is>
          <t>Скидка 15% на абонемент 8 или 12 занятий</t>
        </is>
      </c>
      <c r="E456" s="34" t="inlineStr">
        <is>
          <t>При покупке абонемента на 8 или 12 занятий</t>
        </is>
      </c>
      <c r="F456" s="147" t="inlineStr">
        <is>
          <t>FW-L2-ECVBA-BF2HB</t>
        </is>
      </c>
      <c r="G456" s="39" t="inlineStr">
        <is>
          <t>Не использован</t>
        </is>
      </c>
      <c r="H456" s="148" t="n"/>
      <c r="I456" s="34" t="str"/>
      <c r="J456" s="34" t="str"/>
      <c r="K456" s="130" t="n">
        <v>52</v>
      </c>
      <c r="L456" s="43">
        <f>IF(COUNTIF($F$5:$F$2407,F456)=1,"OK","Дубликат")</f>
        <v/>
      </c>
    </row>
    <row r="457" ht="38" customHeight="1">
      <c r="A457" s="146" t="inlineStr">
        <is>
          <t>SUB-L2-08-12-15</t>
        </is>
      </c>
      <c r="B457" s="39" t="inlineStr">
        <is>
          <t>2 уровень</t>
        </is>
      </c>
      <c r="C457" s="34" t="inlineStr">
        <is>
          <t>Закрытые условия на абонементы</t>
        </is>
      </c>
      <c r="D457" s="34" t="inlineStr">
        <is>
          <t>Скидка 15% на абонемент 8 или 12 занятий</t>
        </is>
      </c>
      <c r="E457" s="34" t="inlineStr">
        <is>
          <t>При покупке абонемента на 8 или 12 занятий</t>
        </is>
      </c>
      <c r="F457" s="147" t="inlineStr">
        <is>
          <t>FW-L2-85CHS-AY2HQ</t>
        </is>
      </c>
      <c r="G457" s="39" t="inlineStr">
        <is>
          <t>Не использован</t>
        </is>
      </c>
      <c r="H457" s="148" t="n"/>
      <c r="I457" s="34" t="str"/>
      <c r="J457" s="34" t="str"/>
      <c r="K457" s="130" t="n">
        <v>53</v>
      </c>
      <c r="L457" s="43">
        <f>IF(COUNTIF($F$5:$F$2407,F457)=1,"OK","Дубликат")</f>
        <v/>
      </c>
    </row>
    <row r="458" ht="38" customHeight="1">
      <c r="A458" s="146" t="inlineStr">
        <is>
          <t>SUB-L2-08-12-15</t>
        </is>
      </c>
      <c r="B458" s="39" t="inlineStr">
        <is>
          <t>2 уровень</t>
        </is>
      </c>
      <c r="C458" s="34" t="inlineStr">
        <is>
          <t>Закрытые условия на абонементы</t>
        </is>
      </c>
      <c r="D458" s="34" t="inlineStr">
        <is>
          <t>Скидка 15% на абонемент 8 или 12 занятий</t>
        </is>
      </c>
      <c r="E458" s="34" t="inlineStr">
        <is>
          <t>При покупке абонемента на 8 или 12 занятий</t>
        </is>
      </c>
      <c r="F458" s="147" t="inlineStr">
        <is>
          <t>FW-L2-7TH8C-373UE</t>
        </is>
      </c>
      <c r="G458" s="39" t="inlineStr">
        <is>
          <t>Не использован</t>
        </is>
      </c>
      <c r="H458" s="148" t="n"/>
      <c r="I458" s="34" t="str"/>
      <c r="J458" s="34" t="str"/>
      <c r="K458" s="130" t="n">
        <v>54</v>
      </c>
      <c r="L458" s="43">
        <f>IF(COUNTIF($F$5:$F$2407,F458)=1,"OK","Дубликат")</f>
        <v/>
      </c>
    </row>
    <row r="459" ht="38" customHeight="1">
      <c r="A459" s="146" t="inlineStr">
        <is>
          <t>SUB-L2-08-12-15</t>
        </is>
      </c>
      <c r="B459" s="39" t="inlineStr">
        <is>
          <t>2 уровень</t>
        </is>
      </c>
      <c r="C459" s="34" t="inlineStr">
        <is>
          <t>Закрытые условия на абонементы</t>
        </is>
      </c>
      <c r="D459" s="34" t="inlineStr">
        <is>
          <t>Скидка 15% на абонемент 8 или 12 занятий</t>
        </is>
      </c>
      <c r="E459" s="34" t="inlineStr">
        <is>
          <t>При покупке абонемента на 8 или 12 занятий</t>
        </is>
      </c>
      <c r="F459" s="147" t="inlineStr">
        <is>
          <t>FW-L2-6U5HB-E3VTX</t>
        </is>
      </c>
      <c r="G459" s="39" t="inlineStr">
        <is>
          <t>Не использован</t>
        </is>
      </c>
      <c r="H459" s="148" t="n"/>
      <c r="I459" s="34" t="str"/>
      <c r="J459" s="34" t="str"/>
      <c r="K459" s="130" t="n">
        <v>55</v>
      </c>
      <c r="L459" s="43">
        <f>IF(COUNTIF($F$5:$F$2407,F459)=1,"OK","Дубликат")</f>
        <v/>
      </c>
    </row>
    <row r="460" ht="38" customHeight="1">
      <c r="A460" s="146" t="inlineStr">
        <is>
          <t>SUB-L2-08-12-15</t>
        </is>
      </c>
      <c r="B460" s="39" t="inlineStr">
        <is>
          <t>2 уровень</t>
        </is>
      </c>
      <c r="C460" s="34" t="inlineStr">
        <is>
          <t>Закрытые условия на абонементы</t>
        </is>
      </c>
      <c r="D460" s="34" t="inlineStr">
        <is>
          <t>Скидка 15% на абонемент 8 или 12 занятий</t>
        </is>
      </c>
      <c r="E460" s="34" t="inlineStr">
        <is>
          <t>При покупке абонемента на 8 или 12 занятий</t>
        </is>
      </c>
      <c r="F460" s="147" t="inlineStr">
        <is>
          <t>FW-L2-KZLYQ-K5SQ9</t>
        </is>
      </c>
      <c r="G460" s="39" t="inlineStr">
        <is>
          <t>Не использован</t>
        </is>
      </c>
      <c r="H460" s="148" t="n"/>
      <c r="I460" s="34" t="str"/>
      <c r="J460" s="34" t="str"/>
      <c r="K460" s="130" t="n">
        <v>56</v>
      </c>
      <c r="L460" s="43">
        <f>IF(COUNTIF($F$5:$F$2407,F460)=1,"OK","Дубликат")</f>
        <v/>
      </c>
    </row>
    <row r="461" ht="38" customHeight="1">
      <c r="A461" s="146" t="inlineStr">
        <is>
          <t>SUB-L2-08-12-15</t>
        </is>
      </c>
      <c r="B461" s="39" t="inlineStr">
        <is>
          <t>2 уровень</t>
        </is>
      </c>
      <c r="C461" s="34" t="inlineStr">
        <is>
          <t>Закрытые условия на абонементы</t>
        </is>
      </c>
      <c r="D461" s="34" t="inlineStr">
        <is>
          <t>Скидка 15% на абонемент 8 или 12 занятий</t>
        </is>
      </c>
      <c r="E461" s="34" t="inlineStr">
        <is>
          <t>При покупке абонемента на 8 или 12 занятий</t>
        </is>
      </c>
      <c r="F461" s="147" t="inlineStr">
        <is>
          <t>FW-L2-GA67H-8KUEY</t>
        </is>
      </c>
      <c r="G461" s="39" t="inlineStr">
        <is>
          <t>Не использован</t>
        </is>
      </c>
      <c r="H461" s="148" t="n"/>
      <c r="I461" s="34" t="str"/>
      <c r="J461" s="34" t="str"/>
      <c r="K461" s="130" t="n">
        <v>57</v>
      </c>
      <c r="L461" s="43">
        <f>IF(COUNTIF($F$5:$F$2407,F461)=1,"OK","Дубликат")</f>
        <v/>
      </c>
    </row>
    <row r="462" ht="38" customHeight="1">
      <c r="A462" s="146" t="inlineStr">
        <is>
          <t>SUB-L2-08-12-15</t>
        </is>
      </c>
      <c r="B462" s="39" t="inlineStr">
        <is>
          <t>2 уровень</t>
        </is>
      </c>
      <c r="C462" s="34" t="inlineStr">
        <is>
          <t>Закрытые условия на абонементы</t>
        </is>
      </c>
      <c r="D462" s="34" t="inlineStr">
        <is>
          <t>Скидка 15% на абонемент 8 или 12 занятий</t>
        </is>
      </c>
      <c r="E462" s="34" t="inlineStr">
        <is>
          <t>При покупке абонемента на 8 или 12 занятий</t>
        </is>
      </c>
      <c r="F462" s="147" t="inlineStr">
        <is>
          <t>FW-L2-KXCEP-NP5GC</t>
        </is>
      </c>
      <c r="G462" s="39" t="inlineStr">
        <is>
          <t>Не использован</t>
        </is>
      </c>
      <c r="H462" s="148" t="n"/>
      <c r="I462" s="34" t="str"/>
      <c r="J462" s="34" t="str"/>
      <c r="K462" s="130" t="n">
        <v>58</v>
      </c>
      <c r="L462" s="43">
        <f>IF(COUNTIF($F$5:$F$2407,F462)=1,"OK","Дубликат")</f>
        <v/>
      </c>
    </row>
    <row r="463" ht="38" customHeight="1">
      <c r="A463" s="146" t="inlineStr">
        <is>
          <t>SUB-L2-08-12-15</t>
        </is>
      </c>
      <c r="B463" s="39" t="inlineStr">
        <is>
          <t>2 уровень</t>
        </is>
      </c>
      <c r="C463" s="34" t="inlineStr">
        <is>
          <t>Закрытые условия на абонементы</t>
        </is>
      </c>
      <c r="D463" s="34" t="inlineStr">
        <is>
          <t>Скидка 15% на абонемент 8 или 12 занятий</t>
        </is>
      </c>
      <c r="E463" s="34" t="inlineStr">
        <is>
          <t>При покупке абонемента на 8 или 12 занятий</t>
        </is>
      </c>
      <c r="F463" s="147" t="inlineStr">
        <is>
          <t>FW-L2-U98LS-6BEZQ</t>
        </is>
      </c>
      <c r="G463" s="39" t="inlineStr">
        <is>
          <t>Не использован</t>
        </is>
      </c>
      <c r="H463" s="148" t="n"/>
      <c r="I463" s="34" t="str"/>
      <c r="J463" s="34" t="str"/>
      <c r="K463" s="130" t="n">
        <v>59</v>
      </c>
      <c r="L463" s="43">
        <f>IF(COUNTIF($F$5:$F$2407,F463)=1,"OK","Дубликат")</f>
        <v/>
      </c>
    </row>
    <row r="464" ht="38" customHeight="1">
      <c r="A464" s="146" t="inlineStr">
        <is>
          <t>SUB-L2-08-12-15</t>
        </is>
      </c>
      <c r="B464" s="39" t="inlineStr">
        <is>
          <t>2 уровень</t>
        </is>
      </c>
      <c r="C464" s="34" t="inlineStr">
        <is>
          <t>Закрытые условия на абонементы</t>
        </is>
      </c>
      <c r="D464" s="34" t="inlineStr">
        <is>
          <t>Скидка 15% на абонемент 8 или 12 занятий</t>
        </is>
      </c>
      <c r="E464" s="34" t="inlineStr">
        <is>
          <t>При покупке абонемента на 8 или 12 занятий</t>
        </is>
      </c>
      <c r="F464" s="147" t="inlineStr">
        <is>
          <t>FW-L2-TZD8F-8WZ39</t>
        </is>
      </c>
      <c r="G464" s="39" t="inlineStr">
        <is>
          <t>Не использован</t>
        </is>
      </c>
      <c r="H464" s="148" t="n"/>
      <c r="I464" s="34" t="str"/>
      <c r="J464" s="34" t="str"/>
      <c r="K464" s="130" t="n">
        <v>60</v>
      </c>
      <c r="L464" s="43">
        <f>IF(COUNTIF($F$5:$F$2407,F464)=1,"OK","Дубликат")</f>
        <v/>
      </c>
    </row>
    <row r="465" ht="38" customHeight="1">
      <c r="A465" s="146" t="inlineStr">
        <is>
          <t>SUB-L2-08-12-15</t>
        </is>
      </c>
      <c r="B465" s="39" t="inlineStr">
        <is>
          <t>2 уровень</t>
        </is>
      </c>
      <c r="C465" s="34" t="inlineStr">
        <is>
          <t>Закрытые условия на абонементы</t>
        </is>
      </c>
      <c r="D465" s="34" t="inlineStr">
        <is>
          <t>Скидка 15% на абонемент 8 или 12 занятий</t>
        </is>
      </c>
      <c r="E465" s="34" t="inlineStr">
        <is>
          <t>При покупке абонемента на 8 или 12 занятий</t>
        </is>
      </c>
      <c r="F465" s="147" t="inlineStr">
        <is>
          <t>FW-L2-DZCH8-KN8FA</t>
        </is>
      </c>
      <c r="G465" s="39" t="inlineStr">
        <is>
          <t>Не использован</t>
        </is>
      </c>
      <c r="H465" s="148" t="n"/>
      <c r="I465" s="34" t="str"/>
      <c r="J465" s="34" t="str"/>
      <c r="K465" s="130" t="n">
        <v>61</v>
      </c>
      <c r="L465" s="43">
        <f>IF(COUNTIF($F$5:$F$2407,F465)=1,"OK","Дубликат")</f>
        <v/>
      </c>
    </row>
    <row r="466" ht="38" customHeight="1">
      <c r="A466" s="146" t="inlineStr">
        <is>
          <t>SUB-L2-08-12-15</t>
        </is>
      </c>
      <c r="B466" s="39" t="inlineStr">
        <is>
          <t>2 уровень</t>
        </is>
      </c>
      <c r="C466" s="34" t="inlineStr">
        <is>
          <t>Закрытые условия на абонементы</t>
        </is>
      </c>
      <c r="D466" s="34" t="inlineStr">
        <is>
          <t>Скидка 15% на абонемент 8 или 12 занятий</t>
        </is>
      </c>
      <c r="E466" s="34" t="inlineStr">
        <is>
          <t>При покупке абонемента на 8 или 12 занятий</t>
        </is>
      </c>
      <c r="F466" s="147" t="inlineStr">
        <is>
          <t>FW-L2-WG437-DT93R</t>
        </is>
      </c>
      <c r="G466" s="39" t="inlineStr">
        <is>
          <t>Не использован</t>
        </is>
      </c>
      <c r="H466" s="148" t="n"/>
      <c r="I466" s="34" t="str"/>
      <c r="J466" s="34" t="str"/>
      <c r="K466" s="130" t="n">
        <v>62</v>
      </c>
      <c r="L466" s="43">
        <f>IF(COUNTIF($F$5:$F$2407,F466)=1,"OK","Дубликат")</f>
        <v/>
      </c>
    </row>
    <row r="467" ht="38" customHeight="1">
      <c r="A467" s="146" t="inlineStr">
        <is>
          <t>SUB-L2-08-12-15</t>
        </is>
      </c>
      <c r="B467" s="39" t="inlineStr">
        <is>
          <t>2 уровень</t>
        </is>
      </c>
      <c r="C467" s="34" t="inlineStr">
        <is>
          <t>Закрытые условия на абонементы</t>
        </is>
      </c>
      <c r="D467" s="34" t="inlineStr">
        <is>
          <t>Скидка 15% на абонемент 8 или 12 занятий</t>
        </is>
      </c>
      <c r="E467" s="34" t="inlineStr">
        <is>
          <t>При покупке абонемента на 8 или 12 занятий</t>
        </is>
      </c>
      <c r="F467" s="147" t="inlineStr">
        <is>
          <t>FW-L2-DY7MS-GJNKX</t>
        </is>
      </c>
      <c r="G467" s="39" t="inlineStr">
        <is>
          <t>Не использован</t>
        </is>
      </c>
      <c r="H467" s="148" t="n"/>
      <c r="I467" s="34" t="str"/>
      <c r="J467" s="34" t="str"/>
      <c r="K467" s="130" t="n">
        <v>63</v>
      </c>
      <c r="L467" s="43">
        <f>IF(COUNTIF($F$5:$F$2407,F467)=1,"OK","Дубликат")</f>
        <v/>
      </c>
    </row>
    <row r="468" ht="38" customHeight="1">
      <c r="A468" s="146" t="inlineStr">
        <is>
          <t>SUB-L2-08-12-15</t>
        </is>
      </c>
      <c r="B468" s="39" t="inlineStr">
        <is>
          <t>2 уровень</t>
        </is>
      </c>
      <c r="C468" s="34" t="inlineStr">
        <is>
          <t>Закрытые условия на абонементы</t>
        </is>
      </c>
      <c r="D468" s="34" t="inlineStr">
        <is>
          <t>Скидка 15% на абонемент 8 или 12 занятий</t>
        </is>
      </c>
      <c r="E468" s="34" t="inlineStr">
        <is>
          <t>При покупке абонемента на 8 или 12 занятий</t>
        </is>
      </c>
      <c r="F468" s="147" t="inlineStr">
        <is>
          <t>FW-L2-L7NEN-KPJMP</t>
        </is>
      </c>
      <c r="G468" s="39" t="inlineStr">
        <is>
          <t>Не использован</t>
        </is>
      </c>
      <c r="H468" s="148" t="n"/>
      <c r="I468" s="34" t="str"/>
      <c r="J468" s="34" t="str"/>
      <c r="K468" s="130" t="n">
        <v>64</v>
      </c>
      <c r="L468" s="43">
        <f>IF(COUNTIF($F$5:$F$2407,F468)=1,"OK","Дубликат")</f>
        <v/>
      </c>
    </row>
    <row r="469" ht="38" customHeight="1">
      <c r="A469" s="146" t="inlineStr">
        <is>
          <t>SUB-L2-08-12-15</t>
        </is>
      </c>
      <c r="B469" s="39" t="inlineStr">
        <is>
          <t>2 уровень</t>
        </is>
      </c>
      <c r="C469" s="34" t="inlineStr">
        <is>
          <t>Закрытые условия на абонементы</t>
        </is>
      </c>
      <c r="D469" s="34" t="inlineStr">
        <is>
          <t>Скидка 15% на абонемент 8 или 12 занятий</t>
        </is>
      </c>
      <c r="E469" s="34" t="inlineStr">
        <is>
          <t>При покупке абонемента на 8 или 12 занятий</t>
        </is>
      </c>
      <c r="F469" s="147" t="inlineStr">
        <is>
          <t>FW-L2-NA5M9-3Q79F</t>
        </is>
      </c>
      <c r="G469" s="39" t="inlineStr">
        <is>
          <t>Не использован</t>
        </is>
      </c>
      <c r="H469" s="148" t="n"/>
      <c r="I469" s="34" t="str"/>
      <c r="J469" s="34" t="str"/>
      <c r="K469" s="130" t="n">
        <v>65</v>
      </c>
      <c r="L469" s="43">
        <f>IF(COUNTIF($F$5:$F$2407,F469)=1,"OK","Дубликат")</f>
        <v/>
      </c>
    </row>
    <row r="470" ht="38" customHeight="1">
      <c r="A470" s="146" t="inlineStr">
        <is>
          <t>SUB-L2-08-12-15</t>
        </is>
      </c>
      <c r="B470" s="39" t="inlineStr">
        <is>
          <t>2 уровень</t>
        </is>
      </c>
      <c r="C470" s="34" t="inlineStr">
        <is>
          <t>Закрытые условия на абонементы</t>
        </is>
      </c>
      <c r="D470" s="34" t="inlineStr">
        <is>
          <t>Скидка 15% на абонемент 8 или 12 занятий</t>
        </is>
      </c>
      <c r="E470" s="34" t="inlineStr">
        <is>
          <t>При покупке абонемента на 8 или 12 занятий</t>
        </is>
      </c>
      <c r="F470" s="147" t="inlineStr">
        <is>
          <t>FW-L2-6JPRD-AQUA3</t>
        </is>
      </c>
      <c r="G470" s="39" t="inlineStr">
        <is>
          <t>Не использован</t>
        </is>
      </c>
      <c r="H470" s="148" t="n"/>
      <c r="I470" s="34" t="str"/>
      <c r="J470" s="34" t="str"/>
      <c r="K470" s="130" t="n">
        <v>66</v>
      </c>
      <c r="L470" s="43">
        <f>IF(COUNTIF($F$5:$F$2407,F470)=1,"OK","Дубликат")</f>
        <v/>
      </c>
    </row>
    <row r="471" ht="38" customHeight="1">
      <c r="A471" s="146" t="inlineStr">
        <is>
          <t>SUB-L2-08-12-15</t>
        </is>
      </c>
      <c r="B471" s="39" t="inlineStr">
        <is>
          <t>2 уровень</t>
        </is>
      </c>
      <c r="C471" s="34" t="inlineStr">
        <is>
          <t>Закрытые условия на абонементы</t>
        </is>
      </c>
      <c r="D471" s="34" t="inlineStr">
        <is>
          <t>Скидка 15% на абонемент 8 или 12 занятий</t>
        </is>
      </c>
      <c r="E471" s="34" t="inlineStr">
        <is>
          <t>При покупке абонемента на 8 или 12 занятий</t>
        </is>
      </c>
      <c r="F471" s="147" t="inlineStr">
        <is>
          <t>FW-L2-DDEX6-DUM62</t>
        </is>
      </c>
      <c r="G471" s="39" t="inlineStr">
        <is>
          <t>Не использован</t>
        </is>
      </c>
      <c r="H471" s="148" t="n"/>
      <c r="I471" s="34" t="str"/>
      <c r="J471" s="34" t="str"/>
      <c r="K471" s="130" t="n">
        <v>67</v>
      </c>
      <c r="L471" s="43">
        <f>IF(COUNTIF($F$5:$F$2407,F471)=1,"OK","Дубликат")</f>
        <v/>
      </c>
    </row>
    <row r="472" ht="38" customHeight="1">
      <c r="A472" s="146" t="inlineStr">
        <is>
          <t>SUB-L2-08-12-15</t>
        </is>
      </c>
      <c r="B472" s="39" t="inlineStr">
        <is>
          <t>2 уровень</t>
        </is>
      </c>
      <c r="C472" s="34" t="inlineStr">
        <is>
          <t>Закрытые условия на абонементы</t>
        </is>
      </c>
      <c r="D472" s="34" t="inlineStr">
        <is>
          <t>Скидка 15% на абонемент 8 или 12 занятий</t>
        </is>
      </c>
      <c r="E472" s="34" t="inlineStr">
        <is>
          <t>При покупке абонемента на 8 или 12 занятий</t>
        </is>
      </c>
      <c r="F472" s="147" t="inlineStr">
        <is>
          <t>FW-L2-ZSLPB-AHTME</t>
        </is>
      </c>
      <c r="G472" s="39" t="inlineStr">
        <is>
          <t>Не использован</t>
        </is>
      </c>
      <c r="H472" s="148" t="n"/>
      <c r="I472" s="34" t="str"/>
      <c r="J472" s="34" t="str"/>
      <c r="K472" s="130" t="n">
        <v>68</v>
      </c>
      <c r="L472" s="43">
        <f>IF(COUNTIF($F$5:$F$2407,F472)=1,"OK","Дубликат")</f>
        <v/>
      </c>
    </row>
    <row r="473" ht="38" customHeight="1">
      <c r="A473" s="146" t="inlineStr">
        <is>
          <t>SUB-L2-08-12-15</t>
        </is>
      </c>
      <c r="B473" s="39" t="inlineStr">
        <is>
          <t>2 уровень</t>
        </is>
      </c>
      <c r="C473" s="34" t="inlineStr">
        <is>
          <t>Закрытые условия на абонементы</t>
        </is>
      </c>
      <c r="D473" s="34" t="inlineStr">
        <is>
          <t>Скидка 15% на абонемент 8 или 12 занятий</t>
        </is>
      </c>
      <c r="E473" s="34" t="inlineStr">
        <is>
          <t>При покупке абонемента на 8 или 12 занятий</t>
        </is>
      </c>
      <c r="F473" s="147" t="inlineStr">
        <is>
          <t>FW-L2-4VQF4-GGUU2</t>
        </is>
      </c>
      <c r="G473" s="39" t="inlineStr">
        <is>
          <t>Не использован</t>
        </is>
      </c>
      <c r="H473" s="148" t="n"/>
      <c r="I473" s="34" t="str"/>
      <c r="J473" s="34" t="str"/>
      <c r="K473" s="130" t="n">
        <v>69</v>
      </c>
      <c r="L473" s="43">
        <f>IF(COUNTIF($F$5:$F$2407,F473)=1,"OK","Дубликат")</f>
        <v/>
      </c>
    </row>
    <row r="474" ht="38" customHeight="1">
      <c r="A474" s="146" t="inlineStr">
        <is>
          <t>SUB-L2-08-12-15</t>
        </is>
      </c>
      <c r="B474" s="39" t="inlineStr">
        <is>
          <t>2 уровень</t>
        </is>
      </c>
      <c r="C474" s="34" t="inlineStr">
        <is>
          <t>Закрытые условия на абонементы</t>
        </is>
      </c>
      <c r="D474" s="34" t="inlineStr">
        <is>
          <t>Скидка 15% на абонемент 8 или 12 занятий</t>
        </is>
      </c>
      <c r="E474" s="34" t="inlineStr">
        <is>
          <t>При покупке абонемента на 8 или 12 занятий</t>
        </is>
      </c>
      <c r="F474" s="147" t="inlineStr">
        <is>
          <t>FW-L2-6ZBRS-57ZQ2</t>
        </is>
      </c>
      <c r="G474" s="39" t="inlineStr">
        <is>
          <t>Не использован</t>
        </is>
      </c>
      <c r="H474" s="148" t="n"/>
      <c r="I474" s="34" t="str"/>
      <c r="J474" s="34" t="str"/>
      <c r="K474" s="130" t="n">
        <v>70</v>
      </c>
      <c r="L474" s="43">
        <f>IF(COUNTIF($F$5:$F$2407,F474)=1,"OK","Дубликат")</f>
        <v/>
      </c>
    </row>
    <row r="475" ht="38" customHeight="1">
      <c r="A475" s="146" t="inlineStr">
        <is>
          <t>SUB-L2-08-12-15</t>
        </is>
      </c>
      <c r="B475" s="39" t="inlineStr">
        <is>
          <t>2 уровень</t>
        </is>
      </c>
      <c r="C475" s="34" t="inlineStr">
        <is>
          <t>Закрытые условия на абонементы</t>
        </is>
      </c>
      <c r="D475" s="34" t="inlineStr">
        <is>
          <t>Скидка 15% на абонемент 8 или 12 занятий</t>
        </is>
      </c>
      <c r="E475" s="34" t="inlineStr">
        <is>
          <t>При покупке абонемента на 8 или 12 занятий</t>
        </is>
      </c>
      <c r="F475" s="147" t="inlineStr">
        <is>
          <t>FW-L2-YJCVR-5XXS5</t>
        </is>
      </c>
      <c r="G475" s="39" t="inlineStr">
        <is>
          <t>Не использован</t>
        </is>
      </c>
      <c r="H475" s="148" t="n"/>
      <c r="I475" s="34" t="str"/>
      <c r="J475" s="34" t="str"/>
      <c r="K475" s="130" t="n">
        <v>71</v>
      </c>
      <c r="L475" s="43">
        <f>IF(COUNTIF($F$5:$F$2407,F475)=1,"OK","Дубликат")</f>
        <v/>
      </c>
    </row>
    <row r="476" ht="38" customHeight="1">
      <c r="A476" s="146" t="inlineStr">
        <is>
          <t>SUB-L2-08-12-15</t>
        </is>
      </c>
      <c r="B476" s="39" t="inlineStr">
        <is>
          <t>2 уровень</t>
        </is>
      </c>
      <c r="C476" s="34" t="inlineStr">
        <is>
          <t>Закрытые условия на абонементы</t>
        </is>
      </c>
      <c r="D476" s="34" t="inlineStr">
        <is>
          <t>Скидка 15% на абонемент 8 или 12 занятий</t>
        </is>
      </c>
      <c r="E476" s="34" t="inlineStr">
        <is>
          <t>При покупке абонемента на 8 или 12 занятий</t>
        </is>
      </c>
      <c r="F476" s="147" t="inlineStr">
        <is>
          <t>FW-L2-XN6WR-SFTJ6</t>
        </is>
      </c>
      <c r="G476" s="39" t="inlineStr">
        <is>
          <t>Не использован</t>
        </is>
      </c>
      <c r="H476" s="148" t="n"/>
      <c r="I476" s="34" t="str"/>
      <c r="J476" s="34" t="str"/>
      <c r="K476" s="130" t="n">
        <v>72</v>
      </c>
      <c r="L476" s="43">
        <f>IF(COUNTIF($F$5:$F$2407,F476)=1,"OK","Дубликат")</f>
        <v/>
      </c>
    </row>
    <row r="477" ht="38" customHeight="1">
      <c r="A477" s="146" t="inlineStr">
        <is>
          <t>SUB-L2-08-12-15</t>
        </is>
      </c>
      <c r="B477" s="39" t="inlineStr">
        <is>
          <t>2 уровень</t>
        </is>
      </c>
      <c r="C477" s="34" t="inlineStr">
        <is>
          <t>Закрытые условия на абонементы</t>
        </is>
      </c>
      <c r="D477" s="34" t="inlineStr">
        <is>
          <t>Скидка 15% на абонемент 8 или 12 занятий</t>
        </is>
      </c>
      <c r="E477" s="34" t="inlineStr">
        <is>
          <t>При покупке абонемента на 8 или 12 занятий</t>
        </is>
      </c>
      <c r="F477" s="147" t="inlineStr">
        <is>
          <t>FW-L2-A6ZB7-NNJHK</t>
        </is>
      </c>
      <c r="G477" s="39" t="inlineStr">
        <is>
          <t>Не использован</t>
        </is>
      </c>
      <c r="H477" s="148" t="n"/>
      <c r="I477" s="34" t="str"/>
      <c r="J477" s="34" t="str"/>
      <c r="K477" s="130" t="n">
        <v>73</v>
      </c>
      <c r="L477" s="43">
        <f>IF(COUNTIF($F$5:$F$2407,F477)=1,"OK","Дубликат")</f>
        <v/>
      </c>
    </row>
    <row r="478" ht="38" customHeight="1">
      <c r="A478" s="146" t="inlineStr">
        <is>
          <t>SUB-L2-08-12-15</t>
        </is>
      </c>
      <c r="B478" s="39" t="inlineStr">
        <is>
          <t>2 уровень</t>
        </is>
      </c>
      <c r="C478" s="34" t="inlineStr">
        <is>
          <t>Закрытые условия на абонементы</t>
        </is>
      </c>
      <c r="D478" s="34" t="inlineStr">
        <is>
          <t>Скидка 15% на абонемент 8 или 12 занятий</t>
        </is>
      </c>
      <c r="E478" s="34" t="inlineStr">
        <is>
          <t>При покупке абонемента на 8 или 12 занятий</t>
        </is>
      </c>
      <c r="F478" s="147" t="inlineStr">
        <is>
          <t>FW-L2-XAQFF-3PJSM</t>
        </is>
      </c>
      <c r="G478" s="39" t="inlineStr">
        <is>
          <t>Не использован</t>
        </is>
      </c>
      <c r="H478" s="148" t="n"/>
      <c r="I478" s="34" t="str"/>
      <c r="J478" s="34" t="str"/>
      <c r="K478" s="130" t="n">
        <v>74</v>
      </c>
      <c r="L478" s="43">
        <f>IF(COUNTIF($F$5:$F$2407,F478)=1,"OK","Дубликат")</f>
        <v/>
      </c>
    </row>
    <row r="479" ht="38" customHeight="1">
      <c r="A479" s="146" t="inlineStr">
        <is>
          <t>SUB-L2-08-12-15</t>
        </is>
      </c>
      <c r="B479" s="39" t="inlineStr">
        <is>
          <t>2 уровень</t>
        </is>
      </c>
      <c r="C479" s="34" t="inlineStr">
        <is>
          <t>Закрытые условия на абонементы</t>
        </is>
      </c>
      <c r="D479" s="34" t="inlineStr">
        <is>
          <t>Скидка 15% на абонемент 8 или 12 занятий</t>
        </is>
      </c>
      <c r="E479" s="34" t="inlineStr">
        <is>
          <t>При покупке абонемента на 8 или 12 занятий</t>
        </is>
      </c>
      <c r="F479" s="147" t="inlineStr">
        <is>
          <t>FW-L2-9P7ZP-AY97D</t>
        </is>
      </c>
      <c r="G479" s="39" t="inlineStr">
        <is>
          <t>Не использован</t>
        </is>
      </c>
      <c r="H479" s="148" t="n"/>
      <c r="I479" s="34" t="str"/>
      <c r="J479" s="34" t="str"/>
      <c r="K479" s="130" t="n">
        <v>75</v>
      </c>
      <c r="L479" s="43">
        <f>IF(COUNTIF($F$5:$F$2407,F479)=1,"OK","Дубликат")</f>
        <v/>
      </c>
    </row>
    <row r="480" ht="38" customHeight="1">
      <c r="A480" s="146" t="inlineStr">
        <is>
          <t>SUB-L2-08-12-15</t>
        </is>
      </c>
      <c r="B480" s="39" t="inlineStr">
        <is>
          <t>2 уровень</t>
        </is>
      </c>
      <c r="C480" s="34" t="inlineStr">
        <is>
          <t>Закрытые условия на абонементы</t>
        </is>
      </c>
      <c r="D480" s="34" t="inlineStr">
        <is>
          <t>Скидка 15% на абонемент 8 или 12 занятий</t>
        </is>
      </c>
      <c r="E480" s="34" t="inlineStr">
        <is>
          <t>При покупке абонемента на 8 или 12 занятий</t>
        </is>
      </c>
      <c r="F480" s="147" t="inlineStr">
        <is>
          <t>FW-L2-9YE36-UL3E7</t>
        </is>
      </c>
      <c r="G480" s="39" t="inlineStr">
        <is>
          <t>Не использован</t>
        </is>
      </c>
      <c r="H480" s="148" t="n"/>
      <c r="I480" s="34" t="str"/>
      <c r="J480" s="34" t="str"/>
      <c r="K480" s="130" t="n">
        <v>76</v>
      </c>
      <c r="L480" s="43">
        <f>IF(COUNTIF($F$5:$F$2407,F480)=1,"OK","Дубликат")</f>
        <v/>
      </c>
    </row>
    <row r="481" ht="38" customHeight="1">
      <c r="A481" s="146" t="inlineStr">
        <is>
          <t>SUB-L2-08-12-15</t>
        </is>
      </c>
      <c r="B481" s="39" t="inlineStr">
        <is>
          <t>2 уровень</t>
        </is>
      </c>
      <c r="C481" s="34" t="inlineStr">
        <is>
          <t>Закрытые условия на абонементы</t>
        </is>
      </c>
      <c r="D481" s="34" t="inlineStr">
        <is>
          <t>Скидка 15% на абонемент 8 или 12 занятий</t>
        </is>
      </c>
      <c r="E481" s="34" t="inlineStr">
        <is>
          <t>При покупке абонемента на 8 или 12 занятий</t>
        </is>
      </c>
      <c r="F481" s="147" t="inlineStr">
        <is>
          <t>FW-L2-8VT7B-XS9X3</t>
        </is>
      </c>
      <c r="G481" s="39" t="inlineStr">
        <is>
          <t>Не использован</t>
        </is>
      </c>
      <c r="H481" s="148" t="n"/>
      <c r="I481" s="34" t="str"/>
      <c r="J481" s="34" t="str"/>
      <c r="K481" s="130" t="n">
        <v>77</v>
      </c>
      <c r="L481" s="43">
        <f>IF(COUNTIF($F$5:$F$2407,F481)=1,"OK","Дубликат")</f>
        <v/>
      </c>
    </row>
    <row r="482" ht="38" customHeight="1">
      <c r="A482" s="146" t="inlineStr">
        <is>
          <t>SUB-L2-08-12-15</t>
        </is>
      </c>
      <c r="B482" s="39" t="inlineStr">
        <is>
          <t>2 уровень</t>
        </is>
      </c>
      <c r="C482" s="34" t="inlineStr">
        <is>
          <t>Закрытые условия на абонементы</t>
        </is>
      </c>
      <c r="D482" s="34" t="inlineStr">
        <is>
          <t>Скидка 15% на абонемент 8 или 12 занятий</t>
        </is>
      </c>
      <c r="E482" s="34" t="inlineStr">
        <is>
          <t>При покупке абонемента на 8 или 12 занятий</t>
        </is>
      </c>
      <c r="F482" s="147" t="inlineStr">
        <is>
          <t>FW-L2-TU9ZC-K3RTW</t>
        </is>
      </c>
      <c r="G482" s="39" t="inlineStr">
        <is>
          <t>Не использован</t>
        </is>
      </c>
      <c r="H482" s="148" t="n"/>
      <c r="I482" s="34" t="str"/>
      <c r="J482" s="34" t="str"/>
      <c r="K482" s="130" t="n">
        <v>78</v>
      </c>
      <c r="L482" s="43">
        <f>IF(COUNTIF($F$5:$F$2407,F482)=1,"OK","Дубликат")</f>
        <v/>
      </c>
    </row>
    <row r="483" ht="38" customHeight="1">
      <c r="A483" s="146" t="inlineStr">
        <is>
          <t>SUB-L2-08-12-15</t>
        </is>
      </c>
      <c r="B483" s="39" t="inlineStr">
        <is>
          <t>2 уровень</t>
        </is>
      </c>
      <c r="C483" s="34" t="inlineStr">
        <is>
          <t>Закрытые условия на абонементы</t>
        </is>
      </c>
      <c r="D483" s="34" t="inlineStr">
        <is>
          <t>Скидка 15% на абонемент 8 или 12 занятий</t>
        </is>
      </c>
      <c r="E483" s="34" t="inlineStr">
        <is>
          <t>При покупке абонемента на 8 или 12 занятий</t>
        </is>
      </c>
      <c r="F483" s="147" t="inlineStr">
        <is>
          <t>FW-L2-B2S77-YC6JF</t>
        </is>
      </c>
      <c r="G483" s="39" t="inlineStr">
        <is>
          <t>Не использован</t>
        </is>
      </c>
      <c r="H483" s="148" t="n"/>
      <c r="I483" s="34" t="str"/>
      <c r="J483" s="34" t="str"/>
      <c r="K483" s="130" t="n">
        <v>79</v>
      </c>
      <c r="L483" s="43">
        <f>IF(COUNTIF($F$5:$F$2407,F483)=1,"OK","Дубликат")</f>
        <v/>
      </c>
    </row>
    <row r="484" ht="38" customHeight="1">
      <c r="A484" s="146" t="inlineStr">
        <is>
          <t>SUB-L2-08-12-15</t>
        </is>
      </c>
      <c r="B484" s="39" t="inlineStr">
        <is>
          <t>2 уровень</t>
        </is>
      </c>
      <c r="C484" s="34" t="inlineStr">
        <is>
          <t>Закрытые условия на абонементы</t>
        </is>
      </c>
      <c r="D484" s="34" t="inlineStr">
        <is>
          <t>Скидка 15% на абонемент 8 или 12 занятий</t>
        </is>
      </c>
      <c r="E484" s="34" t="inlineStr">
        <is>
          <t>При покупке абонемента на 8 или 12 занятий</t>
        </is>
      </c>
      <c r="F484" s="147" t="inlineStr">
        <is>
          <t>FW-L2-BM9AD-NWCWX</t>
        </is>
      </c>
      <c r="G484" s="39" t="inlineStr">
        <is>
          <t>Не использован</t>
        </is>
      </c>
      <c r="H484" s="148" t="n"/>
      <c r="I484" s="34" t="str"/>
      <c r="J484" s="34" t="str"/>
      <c r="K484" s="130" t="n">
        <v>80</v>
      </c>
      <c r="L484" s="43">
        <f>IF(COUNTIF($F$5:$F$2407,F484)=1,"OK","Дубликат")</f>
        <v/>
      </c>
    </row>
    <row r="485" ht="38" customHeight="1">
      <c r="A485" s="146" t="inlineStr">
        <is>
          <t>SUB-L2-08-12-15</t>
        </is>
      </c>
      <c r="B485" s="39" t="inlineStr">
        <is>
          <t>2 уровень</t>
        </is>
      </c>
      <c r="C485" s="34" t="inlineStr">
        <is>
          <t>Закрытые условия на абонементы</t>
        </is>
      </c>
      <c r="D485" s="34" t="inlineStr">
        <is>
          <t>Скидка 15% на абонемент 8 или 12 занятий</t>
        </is>
      </c>
      <c r="E485" s="34" t="inlineStr">
        <is>
          <t>При покупке абонемента на 8 или 12 занятий</t>
        </is>
      </c>
      <c r="F485" s="147" t="inlineStr">
        <is>
          <t>FW-L2-H5Q5D-TB5QS</t>
        </is>
      </c>
      <c r="G485" s="39" t="inlineStr">
        <is>
          <t>Не использован</t>
        </is>
      </c>
      <c r="H485" s="148" t="n"/>
      <c r="I485" s="34" t="str"/>
      <c r="J485" s="34" t="str"/>
      <c r="K485" s="130" t="n">
        <v>81</v>
      </c>
      <c r="L485" s="43">
        <f>IF(COUNTIF($F$5:$F$2407,F485)=1,"OK","Дубликат")</f>
        <v/>
      </c>
    </row>
    <row r="486" ht="38" customHeight="1">
      <c r="A486" s="146" t="inlineStr">
        <is>
          <t>SUB-L2-08-12-15</t>
        </is>
      </c>
      <c r="B486" s="39" t="inlineStr">
        <is>
          <t>2 уровень</t>
        </is>
      </c>
      <c r="C486" s="34" t="inlineStr">
        <is>
          <t>Закрытые условия на абонементы</t>
        </is>
      </c>
      <c r="D486" s="34" t="inlineStr">
        <is>
          <t>Скидка 15% на абонемент 8 или 12 занятий</t>
        </is>
      </c>
      <c r="E486" s="34" t="inlineStr">
        <is>
          <t>При покупке абонемента на 8 или 12 занятий</t>
        </is>
      </c>
      <c r="F486" s="147" t="inlineStr">
        <is>
          <t>FW-L2-ALH97-7RLFX</t>
        </is>
      </c>
      <c r="G486" s="39" t="inlineStr">
        <is>
          <t>Не использован</t>
        </is>
      </c>
      <c r="H486" s="148" t="n"/>
      <c r="I486" s="34" t="str"/>
      <c r="J486" s="34" t="str"/>
      <c r="K486" s="130" t="n">
        <v>82</v>
      </c>
      <c r="L486" s="43">
        <f>IF(COUNTIF($F$5:$F$2407,F486)=1,"OK","Дубликат")</f>
        <v/>
      </c>
    </row>
    <row r="487" ht="38" customHeight="1">
      <c r="A487" s="146" t="inlineStr">
        <is>
          <t>SUB-L2-08-12-15</t>
        </is>
      </c>
      <c r="B487" s="39" t="inlineStr">
        <is>
          <t>2 уровень</t>
        </is>
      </c>
      <c r="C487" s="34" t="inlineStr">
        <is>
          <t>Закрытые условия на абонементы</t>
        </is>
      </c>
      <c r="D487" s="34" t="inlineStr">
        <is>
          <t>Скидка 15% на абонемент 8 или 12 занятий</t>
        </is>
      </c>
      <c r="E487" s="34" t="inlineStr">
        <is>
          <t>При покупке абонемента на 8 или 12 занятий</t>
        </is>
      </c>
      <c r="F487" s="147" t="inlineStr">
        <is>
          <t>FW-L2-RNMUF-2GT5F</t>
        </is>
      </c>
      <c r="G487" s="39" t="inlineStr">
        <is>
          <t>Не использован</t>
        </is>
      </c>
      <c r="H487" s="148" t="n"/>
      <c r="I487" s="34" t="str"/>
      <c r="J487" s="34" t="str"/>
      <c r="K487" s="130" t="n">
        <v>83</v>
      </c>
      <c r="L487" s="43">
        <f>IF(COUNTIF($F$5:$F$2407,F487)=1,"OK","Дубликат")</f>
        <v/>
      </c>
    </row>
    <row r="488" ht="38" customHeight="1">
      <c r="A488" s="146" t="inlineStr">
        <is>
          <t>SUB-L2-08-12-15</t>
        </is>
      </c>
      <c r="B488" s="39" t="inlineStr">
        <is>
          <t>2 уровень</t>
        </is>
      </c>
      <c r="C488" s="34" t="inlineStr">
        <is>
          <t>Закрытые условия на абонементы</t>
        </is>
      </c>
      <c r="D488" s="34" t="inlineStr">
        <is>
          <t>Скидка 15% на абонемент 8 или 12 занятий</t>
        </is>
      </c>
      <c r="E488" s="34" t="inlineStr">
        <is>
          <t>При покупке абонемента на 8 или 12 занятий</t>
        </is>
      </c>
      <c r="F488" s="147" t="inlineStr">
        <is>
          <t>FW-L2-3UK77-B38A8</t>
        </is>
      </c>
      <c r="G488" s="39" t="inlineStr">
        <is>
          <t>Не использован</t>
        </is>
      </c>
      <c r="H488" s="148" t="n"/>
      <c r="I488" s="34" t="str"/>
      <c r="J488" s="34" t="str"/>
      <c r="K488" s="130" t="n">
        <v>84</v>
      </c>
      <c r="L488" s="43">
        <f>IF(COUNTIF($F$5:$F$2407,F488)=1,"OK","Дубликат")</f>
        <v/>
      </c>
    </row>
    <row r="489" ht="38" customHeight="1">
      <c r="A489" s="146" t="inlineStr">
        <is>
          <t>SUB-L2-08-12-15</t>
        </is>
      </c>
      <c r="B489" s="39" t="inlineStr">
        <is>
          <t>2 уровень</t>
        </is>
      </c>
      <c r="C489" s="34" t="inlineStr">
        <is>
          <t>Закрытые условия на абонементы</t>
        </is>
      </c>
      <c r="D489" s="34" t="inlineStr">
        <is>
          <t>Скидка 15% на абонемент 8 или 12 занятий</t>
        </is>
      </c>
      <c r="E489" s="34" t="inlineStr">
        <is>
          <t>При покупке абонемента на 8 или 12 занятий</t>
        </is>
      </c>
      <c r="F489" s="147" t="inlineStr">
        <is>
          <t>FW-L2-93SGA-TB67E</t>
        </is>
      </c>
      <c r="G489" s="39" t="inlineStr">
        <is>
          <t>Не использован</t>
        </is>
      </c>
      <c r="H489" s="148" t="n"/>
      <c r="I489" s="34" t="str"/>
      <c r="J489" s="34" t="str"/>
      <c r="K489" s="130" t="n">
        <v>85</v>
      </c>
      <c r="L489" s="43">
        <f>IF(COUNTIF($F$5:$F$2407,F489)=1,"OK","Дубликат")</f>
        <v/>
      </c>
    </row>
    <row r="490" ht="38" customHeight="1">
      <c r="A490" s="146" t="inlineStr">
        <is>
          <t>SUB-L2-08-12-15</t>
        </is>
      </c>
      <c r="B490" s="39" t="inlineStr">
        <is>
          <t>2 уровень</t>
        </is>
      </c>
      <c r="C490" s="34" t="inlineStr">
        <is>
          <t>Закрытые условия на абонементы</t>
        </is>
      </c>
      <c r="D490" s="34" t="inlineStr">
        <is>
          <t>Скидка 15% на абонемент 8 или 12 занятий</t>
        </is>
      </c>
      <c r="E490" s="34" t="inlineStr">
        <is>
          <t>При покупке абонемента на 8 или 12 занятий</t>
        </is>
      </c>
      <c r="F490" s="147" t="inlineStr">
        <is>
          <t>FW-L2-65EJM-UM4QY</t>
        </is>
      </c>
      <c r="G490" s="39" t="inlineStr">
        <is>
          <t>Не использован</t>
        </is>
      </c>
      <c r="H490" s="148" t="n"/>
      <c r="I490" s="34" t="str"/>
      <c r="J490" s="34" t="str"/>
      <c r="K490" s="130" t="n">
        <v>86</v>
      </c>
      <c r="L490" s="43">
        <f>IF(COUNTIF($F$5:$F$2407,F490)=1,"OK","Дубликат")</f>
        <v/>
      </c>
    </row>
    <row r="491" ht="38" customHeight="1">
      <c r="A491" s="146" t="inlineStr">
        <is>
          <t>SUB-L2-08-12-15</t>
        </is>
      </c>
      <c r="B491" s="39" t="inlineStr">
        <is>
          <t>2 уровень</t>
        </is>
      </c>
      <c r="C491" s="34" t="inlineStr">
        <is>
          <t>Закрытые условия на абонементы</t>
        </is>
      </c>
      <c r="D491" s="34" t="inlineStr">
        <is>
          <t>Скидка 15% на абонемент 8 или 12 занятий</t>
        </is>
      </c>
      <c r="E491" s="34" t="inlineStr">
        <is>
          <t>При покупке абонемента на 8 или 12 занятий</t>
        </is>
      </c>
      <c r="F491" s="147" t="inlineStr">
        <is>
          <t>FW-L2-Y58BB-2PVMR</t>
        </is>
      </c>
      <c r="G491" s="39" t="inlineStr">
        <is>
          <t>Не использован</t>
        </is>
      </c>
      <c r="H491" s="148" t="n"/>
      <c r="I491" s="34" t="str"/>
      <c r="J491" s="34" t="str"/>
      <c r="K491" s="130" t="n">
        <v>87</v>
      </c>
      <c r="L491" s="43">
        <f>IF(COUNTIF($F$5:$F$2407,F491)=1,"OK","Дубликат")</f>
        <v/>
      </c>
    </row>
    <row r="492" ht="38" customHeight="1">
      <c r="A492" s="146" t="inlineStr">
        <is>
          <t>SUB-L2-08-12-15</t>
        </is>
      </c>
      <c r="B492" s="39" t="inlineStr">
        <is>
          <t>2 уровень</t>
        </is>
      </c>
      <c r="C492" s="34" t="inlineStr">
        <is>
          <t>Закрытые условия на абонементы</t>
        </is>
      </c>
      <c r="D492" s="34" t="inlineStr">
        <is>
          <t>Скидка 15% на абонемент 8 или 12 занятий</t>
        </is>
      </c>
      <c r="E492" s="34" t="inlineStr">
        <is>
          <t>При покупке абонемента на 8 или 12 занятий</t>
        </is>
      </c>
      <c r="F492" s="147" t="inlineStr">
        <is>
          <t>FW-L2-KDL5L-VH2Y2</t>
        </is>
      </c>
      <c r="G492" s="39" t="inlineStr">
        <is>
          <t>Не использован</t>
        </is>
      </c>
      <c r="H492" s="148" t="n"/>
      <c r="I492" s="34" t="str"/>
      <c r="J492" s="34" t="str"/>
      <c r="K492" s="130" t="n">
        <v>88</v>
      </c>
      <c r="L492" s="43">
        <f>IF(COUNTIF($F$5:$F$2407,F492)=1,"OK","Дубликат")</f>
        <v/>
      </c>
    </row>
    <row r="493" ht="38" customHeight="1">
      <c r="A493" s="146" t="inlineStr">
        <is>
          <t>SUB-L2-08-12-15</t>
        </is>
      </c>
      <c r="B493" s="39" t="inlineStr">
        <is>
          <t>2 уровень</t>
        </is>
      </c>
      <c r="C493" s="34" t="inlineStr">
        <is>
          <t>Закрытые условия на абонементы</t>
        </is>
      </c>
      <c r="D493" s="34" t="inlineStr">
        <is>
          <t>Скидка 15% на абонемент 8 или 12 занятий</t>
        </is>
      </c>
      <c r="E493" s="34" t="inlineStr">
        <is>
          <t>При покупке абонемента на 8 или 12 занятий</t>
        </is>
      </c>
      <c r="F493" s="147" t="inlineStr">
        <is>
          <t>FW-L2-WT2Y9-F7J9V</t>
        </is>
      </c>
      <c r="G493" s="39" t="inlineStr">
        <is>
          <t>Не использован</t>
        </is>
      </c>
      <c r="H493" s="148" t="n"/>
      <c r="I493" s="34" t="str"/>
      <c r="J493" s="34" t="str"/>
      <c r="K493" s="130" t="n">
        <v>89</v>
      </c>
      <c r="L493" s="43">
        <f>IF(COUNTIF($F$5:$F$2407,F493)=1,"OK","Дубликат")</f>
        <v/>
      </c>
    </row>
    <row r="494" ht="38" customHeight="1">
      <c r="A494" s="146" t="inlineStr">
        <is>
          <t>SUB-L2-08-12-15</t>
        </is>
      </c>
      <c r="B494" s="39" t="inlineStr">
        <is>
          <t>2 уровень</t>
        </is>
      </c>
      <c r="C494" s="34" t="inlineStr">
        <is>
          <t>Закрытые условия на абонементы</t>
        </is>
      </c>
      <c r="D494" s="34" t="inlineStr">
        <is>
          <t>Скидка 15% на абонемент 8 или 12 занятий</t>
        </is>
      </c>
      <c r="E494" s="34" t="inlineStr">
        <is>
          <t>При покупке абонемента на 8 или 12 занятий</t>
        </is>
      </c>
      <c r="F494" s="147" t="inlineStr">
        <is>
          <t>FW-L2-4ZB9V-DFZ9T</t>
        </is>
      </c>
      <c r="G494" s="39" t="inlineStr">
        <is>
          <t>Не использован</t>
        </is>
      </c>
      <c r="H494" s="148" t="n"/>
      <c r="I494" s="34" t="str"/>
      <c r="J494" s="34" t="str"/>
      <c r="K494" s="130" t="n">
        <v>90</v>
      </c>
      <c r="L494" s="43">
        <f>IF(COUNTIF($F$5:$F$2407,F494)=1,"OK","Дубликат")</f>
        <v/>
      </c>
    </row>
    <row r="495" ht="38" customHeight="1">
      <c r="A495" s="146" t="inlineStr">
        <is>
          <t>SUB-L2-08-12-15</t>
        </is>
      </c>
      <c r="B495" s="39" t="inlineStr">
        <is>
          <t>2 уровень</t>
        </is>
      </c>
      <c r="C495" s="34" t="inlineStr">
        <is>
          <t>Закрытые условия на абонементы</t>
        </is>
      </c>
      <c r="D495" s="34" t="inlineStr">
        <is>
          <t>Скидка 15% на абонемент 8 или 12 занятий</t>
        </is>
      </c>
      <c r="E495" s="34" t="inlineStr">
        <is>
          <t>При покупке абонемента на 8 или 12 занятий</t>
        </is>
      </c>
      <c r="F495" s="147" t="inlineStr">
        <is>
          <t>FW-L2-J5PAX-U6CF2</t>
        </is>
      </c>
      <c r="G495" s="39" t="inlineStr">
        <is>
          <t>Не использован</t>
        </is>
      </c>
      <c r="H495" s="148" t="n"/>
      <c r="I495" s="34" t="str"/>
      <c r="J495" s="34" t="str"/>
      <c r="K495" s="130" t="n">
        <v>91</v>
      </c>
      <c r="L495" s="43">
        <f>IF(COUNTIF($F$5:$F$2407,F495)=1,"OK","Дубликат")</f>
        <v/>
      </c>
    </row>
    <row r="496" ht="38" customHeight="1">
      <c r="A496" s="146" t="inlineStr">
        <is>
          <t>SUB-L2-08-12-15</t>
        </is>
      </c>
      <c r="B496" s="39" t="inlineStr">
        <is>
          <t>2 уровень</t>
        </is>
      </c>
      <c r="C496" s="34" t="inlineStr">
        <is>
          <t>Закрытые условия на абонементы</t>
        </is>
      </c>
      <c r="D496" s="34" t="inlineStr">
        <is>
          <t>Скидка 15% на абонемент 8 или 12 занятий</t>
        </is>
      </c>
      <c r="E496" s="34" t="inlineStr">
        <is>
          <t>При покупке абонемента на 8 или 12 занятий</t>
        </is>
      </c>
      <c r="F496" s="147" t="inlineStr">
        <is>
          <t>FW-L2-FWQR8-CQKMB</t>
        </is>
      </c>
      <c r="G496" s="39" t="inlineStr">
        <is>
          <t>Не использован</t>
        </is>
      </c>
      <c r="H496" s="148" t="n"/>
      <c r="I496" s="34" t="str"/>
      <c r="J496" s="34" t="str"/>
      <c r="K496" s="130" t="n">
        <v>92</v>
      </c>
      <c r="L496" s="43">
        <f>IF(COUNTIF($F$5:$F$2407,F496)=1,"OK","Дубликат")</f>
        <v/>
      </c>
    </row>
    <row r="497" ht="38" customHeight="1">
      <c r="A497" s="146" t="inlineStr">
        <is>
          <t>SUB-L2-08-12-15</t>
        </is>
      </c>
      <c r="B497" s="39" t="inlineStr">
        <is>
          <t>2 уровень</t>
        </is>
      </c>
      <c r="C497" s="34" t="inlineStr">
        <is>
          <t>Закрытые условия на абонементы</t>
        </is>
      </c>
      <c r="D497" s="34" t="inlineStr">
        <is>
          <t>Скидка 15% на абонемент 8 или 12 занятий</t>
        </is>
      </c>
      <c r="E497" s="34" t="inlineStr">
        <is>
          <t>При покупке абонемента на 8 или 12 занятий</t>
        </is>
      </c>
      <c r="F497" s="147" t="inlineStr">
        <is>
          <t>FW-L2-7CCZA-U6SN5</t>
        </is>
      </c>
      <c r="G497" s="39" t="inlineStr">
        <is>
          <t>Не использован</t>
        </is>
      </c>
      <c r="H497" s="148" t="n"/>
      <c r="I497" s="34" t="str"/>
      <c r="J497" s="34" t="str"/>
      <c r="K497" s="130" t="n">
        <v>93</v>
      </c>
      <c r="L497" s="43">
        <f>IF(COUNTIF($F$5:$F$2407,F497)=1,"OK","Дубликат")</f>
        <v/>
      </c>
    </row>
    <row r="498" ht="38" customHeight="1">
      <c r="A498" s="146" t="inlineStr">
        <is>
          <t>SUB-L2-08-12-15</t>
        </is>
      </c>
      <c r="B498" s="39" t="inlineStr">
        <is>
          <t>2 уровень</t>
        </is>
      </c>
      <c r="C498" s="34" t="inlineStr">
        <is>
          <t>Закрытые условия на абонементы</t>
        </is>
      </c>
      <c r="D498" s="34" t="inlineStr">
        <is>
          <t>Скидка 15% на абонемент 8 или 12 занятий</t>
        </is>
      </c>
      <c r="E498" s="34" t="inlineStr">
        <is>
          <t>При покупке абонемента на 8 или 12 занятий</t>
        </is>
      </c>
      <c r="F498" s="147" t="inlineStr">
        <is>
          <t>FW-L2-KJCW8-A6NE3</t>
        </is>
      </c>
      <c r="G498" s="39" t="inlineStr">
        <is>
          <t>Не использован</t>
        </is>
      </c>
      <c r="H498" s="148" t="n"/>
      <c r="I498" s="34" t="str"/>
      <c r="J498" s="34" t="str"/>
      <c r="K498" s="130" t="n">
        <v>94</v>
      </c>
      <c r="L498" s="43">
        <f>IF(COUNTIF($F$5:$F$2407,F498)=1,"OK","Дубликат")</f>
        <v/>
      </c>
    </row>
    <row r="499" ht="38" customHeight="1">
      <c r="A499" s="146" t="inlineStr">
        <is>
          <t>SUB-L2-08-12-15</t>
        </is>
      </c>
      <c r="B499" s="39" t="inlineStr">
        <is>
          <t>2 уровень</t>
        </is>
      </c>
      <c r="C499" s="34" t="inlineStr">
        <is>
          <t>Закрытые условия на абонементы</t>
        </is>
      </c>
      <c r="D499" s="34" t="inlineStr">
        <is>
          <t>Скидка 15% на абонемент 8 или 12 занятий</t>
        </is>
      </c>
      <c r="E499" s="34" t="inlineStr">
        <is>
          <t>При покупке абонемента на 8 или 12 занятий</t>
        </is>
      </c>
      <c r="F499" s="147" t="inlineStr">
        <is>
          <t>FW-L2-32ETQ-Q9TGV</t>
        </is>
      </c>
      <c r="G499" s="39" t="inlineStr">
        <is>
          <t>Не использован</t>
        </is>
      </c>
      <c r="H499" s="148" t="n"/>
      <c r="I499" s="34" t="str"/>
      <c r="J499" s="34" t="str"/>
      <c r="K499" s="130" t="n">
        <v>95</v>
      </c>
      <c r="L499" s="43">
        <f>IF(COUNTIF($F$5:$F$2407,F499)=1,"OK","Дубликат")</f>
        <v/>
      </c>
    </row>
    <row r="500" ht="38" customHeight="1">
      <c r="A500" s="146" t="inlineStr">
        <is>
          <t>SUB-L2-08-12-15</t>
        </is>
      </c>
      <c r="B500" s="39" t="inlineStr">
        <is>
          <t>2 уровень</t>
        </is>
      </c>
      <c r="C500" s="34" t="inlineStr">
        <is>
          <t>Закрытые условия на абонементы</t>
        </is>
      </c>
      <c r="D500" s="34" t="inlineStr">
        <is>
          <t>Скидка 15% на абонемент 8 или 12 занятий</t>
        </is>
      </c>
      <c r="E500" s="34" t="inlineStr">
        <is>
          <t>При покупке абонемента на 8 или 12 занятий</t>
        </is>
      </c>
      <c r="F500" s="147" t="inlineStr">
        <is>
          <t>FW-L2-GNMJQ-XSECY</t>
        </is>
      </c>
      <c r="G500" s="39" t="inlineStr">
        <is>
          <t>Не использован</t>
        </is>
      </c>
      <c r="H500" s="148" t="n"/>
      <c r="I500" s="34" t="str"/>
      <c r="J500" s="34" t="str"/>
      <c r="K500" s="130" t="n">
        <v>96</v>
      </c>
      <c r="L500" s="43">
        <f>IF(COUNTIF($F$5:$F$2407,F500)=1,"OK","Дубликат")</f>
        <v/>
      </c>
    </row>
    <row r="501" ht="38" customHeight="1">
      <c r="A501" s="146" t="inlineStr">
        <is>
          <t>SUB-L2-08-12-15</t>
        </is>
      </c>
      <c r="B501" s="39" t="inlineStr">
        <is>
          <t>2 уровень</t>
        </is>
      </c>
      <c r="C501" s="34" t="inlineStr">
        <is>
          <t>Закрытые условия на абонементы</t>
        </is>
      </c>
      <c r="D501" s="34" t="inlineStr">
        <is>
          <t>Скидка 15% на абонемент 8 или 12 занятий</t>
        </is>
      </c>
      <c r="E501" s="34" t="inlineStr">
        <is>
          <t>При покупке абонемента на 8 или 12 занятий</t>
        </is>
      </c>
      <c r="F501" s="147" t="inlineStr">
        <is>
          <t>FW-L2-QQD8J-SVC5T</t>
        </is>
      </c>
      <c r="G501" s="39" t="inlineStr">
        <is>
          <t>Не использован</t>
        </is>
      </c>
      <c r="H501" s="148" t="n"/>
      <c r="I501" s="34" t="str"/>
      <c r="J501" s="34" t="str"/>
      <c r="K501" s="130" t="n">
        <v>97</v>
      </c>
      <c r="L501" s="43">
        <f>IF(COUNTIF($F$5:$F$2407,F501)=1,"OK","Дубликат")</f>
        <v/>
      </c>
    </row>
    <row r="502" ht="38" customHeight="1">
      <c r="A502" s="146" t="inlineStr">
        <is>
          <t>SUB-L2-08-12-15</t>
        </is>
      </c>
      <c r="B502" s="39" t="inlineStr">
        <is>
          <t>2 уровень</t>
        </is>
      </c>
      <c r="C502" s="34" t="inlineStr">
        <is>
          <t>Закрытые условия на абонементы</t>
        </is>
      </c>
      <c r="D502" s="34" t="inlineStr">
        <is>
          <t>Скидка 15% на абонемент 8 или 12 занятий</t>
        </is>
      </c>
      <c r="E502" s="34" t="inlineStr">
        <is>
          <t>При покупке абонемента на 8 или 12 занятий</t>
        </is>
      </c>
      <c r="F502" s="147" t="inlineStr">
        <is>
          <t>FW-L2-L4MEU-TMTZC</t>
        </is>
      </c>
      <c r="G502" s="39" t="inlineStr">
        <is>
          <t>Не использован</t>
        </is>
      </c>
      <c r="H502" s="148" t="n"/>
      <c r="I502" s="34" t="str"/>
      <c r="J502" s="34" t="str"/>
      <c r="K502" s="130" t="n">
        <v>98</v>
      </c>
      <c r="L502" s="43">
        <f>IF(COUNTIF($F$5:$F$2407,F502)=1,"OK","Дубликат")</f>
        <v/>
      </c>
    </row>
    <row r="503" ht="38" customHeight="1">
      <c r="A503" s="146" t="inlineStr">
        <is>
          <t>SUB-L2-08-12-15</t>
        </is>
      </c>
      <c r="B503" s="39" t="inlineStr">
        <is>
          <t>2 уровень</t>
        </is>
      </c>
      <c r="C503" s="34" t="inlineStr">
        <is>
          <t>Закрытые условия на абонементы</t>
        </is>
      </c>
      <c r="D503" s="34" t="inlineStr">
        <is>
          <t>Скидка 15% на абонемент 8 или 12 занятий</t>
        </is>
      </c>
      <c r="E503" s="34" t="inlineStr">
        <is>
          <t>При покупке абонемента на 8 или 12 занятий</t>
        </is>
      </c>
      <c r="F503" s="147" t="inlineStr">
        <is>
          <t>FW-L2-Z2YC3-Q8A8L</t>
        </is>
      </c>
      <c r="G503" s="39" t="inlineStr">
        <is>
          <t>Не использован</t>
        </is>
      </c>
      <c r="H503" s="148" t="n"/>
      <c r="I503" s="34" t="str"/>
      <c r="J503" s="34" t="str"/>
      <c r="K503" s="130" t="n">
        <v>99</v>
      </c>
      <c r="L503" s="43">
        <f>IF(COUNTIF($F$5:$F$2407,F503)=1,"OK","Дубликат")</f>
        <v/>
      </c>
    </row>
    <row r="504" ht="38" customHeight="1">
      <c r="A504" s="146" t="inlineStr">
        <is>
          <t>SUB-L2-08-12-15</t>
        </is>
      </c>
      <c r="B504" s="39" t="inlineStr">
        <is>
          <t>2 уровень</t>
        </is>
      </c>
      <c r="C504" s="34" t="inlineStr">
        <is>
          <t>Закрытые условия на абонементы</t>
        </is>
      </c>
      <c r="D504" s="34" t="inlineStr">
        <is>
          <t>Скидка 15% на абонемент 8 или 12 занятий</t>
        </is>
      </c>
      <c r="E504" s="34" t="inlineStr">
        <is>
          <t>При покупке абонемента на 8 или 12 занятий</t>
        </is>
      </c>
      <c r="F504" s="147" t="inlineStr">
        <is>
          <t>FW-L2-AXT7B-ULJW8</t>
        </is>
      </c>
      <c r="G504" s="39" t="inlineStr">
        <is>
          <t>Не использован</t>
        </is>
      </c>
      <c r="H504" s="148" t="n"/>
      <c r="I504" s="34" t="str"/>
      <c r="J504" s="34" t="str"/>
      <c r="K504" s="130" t="n">
        <v>100</v>
      </c>
      <c r="L504" s="43">
        <f>IF(COUNTIF($F$5:$F$2407,F504)=1,"OK","Дубликат")</f>
        <v/>
      </c>
    </row>
    <row r="505" ht="38" customHeight="1">
      <c r="A505" s="146" t="inlineStr">
        <is>
          <t>SUB-L2-08-12-15</t>
        </is>
      </c>
      <c r="B505" s="39" t="inlineStr">
        <is>
          <t>2 уровень</t>
        </is>
      </c>
      <c r="C505" s="34" t="inlineStr">
        <is>
          <t>Закрытые условия на абонементы</t>
        </is>
      </c>
      <c r="D505" s="34" t="inlineStr">
        <is>
          <t>Скидка 15% на абонемент 8 или 12 занятий</t>
        </is>
      </c>
      <c r="E505" s="34" t="inlineStr">
        <is>
          <t>При покупке абонемента на 8 или 12 занятий</t>
        </is>
      </c>
      <c r="F505" s="147" t="inlineStr">
        <is>
          <t>FW-L2-WT5CJ-8H22N</t>
        </is>
      </c>
      <c r="G505" s="39" t="inlineStr">
        <is>
          <t>Не использован</t>
        </is>
      </c>
      <c r="H505" s="148" t="n"/>
      <c r="I505" s="34" t="str"/>
      <c r="J505" s="34" t="str"/>
      <c r="K505" s="130" t="n">
        <v>101</v>
      </c>
      <c r="L505" s="43">
        <f>IF(COUNTIF($F$5:$F$2407,F505)=1,"OK","Дубликат")</f>
        <v/>
      </c>
    </row>
    <row r="506" ht="38" customHeight="1">
      <c r="A506" s="146" t="inlineStr">
        <is>
          <t>SUB-L2-08-12-15</t>
        </is>
      </c>
      <c r="B506" s="39" t="inlineStr">
        <is>
          <t>2 уровень</t>
        </is>
      </c>
      <c r="C506" s="34" t="inlineStr">
        <is>
          <t>Закрытые условия на абонементы</t>
        </is>
      </c>
      <c r="D506" s="34" t="inlineStr">
        <is>
          <t>Скидка 15% на абонемент 8 или 12 занятий</t>
        </is>
      </c>
      <c r="E506" s="34" t="inlineStr">
        <is>
          <t>При покупке абонемента на 8 или 12 занятий</t>
        </is>
      </c>
      <c r="F506" s="147" t="inlineStr">
        <is>
          <t>FW-L2-YB8VX-Y2THV</t>
        </is>
      </c>
      <c r="G506" s="39" t="inlineStr">
        <is>
          <t>Не использован</t>
        </is>
      </c>
      <c r="H506" s="148" t="n"/>
      <c r="I506" s="34" t="str"/>
      <c r="J506" s="34" t="str"/>
      <c r="K506" s="130" t="n">
        <v>102</v>
      </c>
      <c r="L506" s="43">
        <f>IF(COUNTIF($F$5:$F$2407,F506)=1,"OK","Дубликат")</f>
        <v/>
      </c>
    </row>
    <row r="507" ht="38" customHeight="1">
      <c r="A507" s="146" t="inlineStr">
        <is>
          <t>SUB-L2-08-12-15</t>
        </is>
      </c>
      <c r="B507" s="39" t="inlineStr">
        <is>
          <t>2 уровень</t>
        </is>
      </c>
      <c r="C507" s="34" t="inlineStr">
        <is>
          <t>Закрытые условия на абонементы</t>
        </is>
      </c>
      <c r="D507" s="34" t="inlineStr">
        <is>
          <t>Скидка 15% на абонемент 8 или 12 занятий</t>
        </is>
      </c>
      <c r="E507" s="34" t="inlineStr">
        <is>
          <t>При покупке абонемента на 8 или 12 занятий</t>
        </is>
      </c>
      <c r="F507" s="147" t="inlineStr">
        <is>
          <t>FW-L2-6V8LY-BGUEM</t>
        </is>
      </c>
      <c r="G507" s="39" t="inlineStr">
        <is>
          <t>Не использован</t>
        </is>
      </c>
      <c r="H507" s="148" t="n"/>
      <c r="I507" s="34" t="str"/>
      <c r="J507" s="34" t="str"/>
      <c r="K507" s="130" t="n">
        <v>103</v>
      </c>
      <c r="L507" s="43">
        <f>IF(COUNTIF($F$5:$F$2407,F507)=1,"OK","Дубликат")</f>
        <v/>
      </c>
    </row>
    <row r="508" ht="38" customHeight="1">
      <c r="A508" s="146" t="inlineStr">
        <is>
          <t>SUB-L2-08-12-15</t>
        </is>
      </c>
      <c r="B508" s="39" t="inlineStr">
        <is>
          <t>2 уровень</t>
        </is>
      </c>
      <c r="C508" s="34" t="inlineStr">
        <is>
          <t>Закрытые условия на абонементы</t>
        </is>
      </c>
      <c r="D508" s="34" t="inlineStr">
        <is>
          <t>Скидка 15% на абонемент 8 или 12 занятий</t>
        </is>
      </c>
      <c r="E508" s="34" t="inlineStr">
        <is>
          <t>При покупке абонемента на 8 или 12 занятий</t>
        </is>
      </c>
      <c r="F508" s="147" t="inlineStr">
        <is>
          <t>FW-L2-2DS5V-MML64</t>
        </is>
      </c>
      <c r="G508" s="39" t="inlineStr">
        <is>
          <t>Не использован</t>
        </is>
      </c>
      <c r="H508" s="148" t="n"/>
      <c r="I508" s="34" t="str"/>
      <c r="J508" s="34" t="str"/>
      <c r="K508" s="130" t="n">
        <v>104</v>
      </c>
      <c r="L508" s="43">
        <f>IF(COUNTIF($F$5:$F$2407,F508)=1,"OK","Дубликат")</f>
        <v/>
      </c>
    </row>
    <row r="509" ht="38" customHeight="1">
      <c r="A509" s="146" t="inlineStr">
        <is>
          <t>SUB-L2-08-12-15</t>
        </is>
      </c>
      <c r="B509" s="39" t="inlineStr">
        <is>
          <t>2 уровень</t>
        </is>
      </c>
      <c r="C509" s="34" t="inlineStr">
        <is>
          <t>Закрытые условия на абонементы</t>
        </is>
      </c>
      <c r="D509" s="34" t="inlineStr">
        <is>
          <t>Скидка 15% на абонемент 8 или 12 занятий</t>
        </is>
      </c>
      <c r="E509" s="34" t="inlineStr">
        <is>
          <t>При покупке абонемента на 8 или 12 занятий</t>
        </is>
      </c>
      <c r="F509" s="147" t="inlineStr">
        <is>
          <t>FW-L2-97LGT-9RUNK</t>
        </is>
      </c>
      <c r="G509" s="39" t="inlineStr">
        <is>
          <t>Не использован</t>
        </is>
      </c>
      <c r="H509" s="148" t="n"/>
      <c r="I509" s="34" t="str"/>
      <c r="J509" s="34" t="str"/>
      <c r="K509" s="130" t="n">
        <v>105</v>
      </c>
      <c r="L509" s="43">
        <f>IF(COUNTIF($F$5:$F$2407,F509)=1,"OK","Дубликат")</f>
        <v/>
      </c>
    </row>
    <row r="510" ht="38" customHeight="1">
      <c r="A510" s="146" t="inlineStr">
        <is>
          <t>SUB-L2-08-12-15</t>
        </is>
      </c>
      <c r="B510" s="39" t="inlineStr">
        <is>
          <t>2 уровень</t>
        </is>
      </c>
      <c r="C510" s="34" t="inlineStr">
        <is>
          <t>Закрытые условия на абонементы</t>
        </is>
      </c>
      <c r="D510" s="34" t="inlineStr">
        <is>
          <t>Скидка 15% на абонемент 8 или 12 занятий</t>
        </is>
      </c>
      <c r="E510" s="34" t="inlineStr">
        <is>
          <t>При покупке абонемента на 8 или 12 занятий</t>
        </is>
      </c>
      <c r="F510" s="147" t="inlineStr">
        <is>
          <t>FW-L2-M9GJ7-Z7PPC</t>
        </is>
      </c>
      <c r="G510" s="39" t="inlineStr">
        <is>
          <t>Не использован</t>
        </is>
      </c>
      <c r="H510" s="148" t="n"/>
      <c r="I510" s="34" t="str"/>
      <c r="J510" s="34" t="str"/>
      <c r="K510" s="130" t="n">
        <v>106</v>
      </c>
      <c r="L510" s="43">
        <f>IF(COUNTIF($F$5:$F$2407,F510)=1,"OK","Дубликат")</f>
        <v/>
      </c>
    </row>
    <row r="511" ht="38" customHeight="1">
      <c r="A511" s="146" t="inlineStr">
        <is>
          <t>SUB-L2-08-12-15</t>
        </is>
      </c>
      <c r="B511" s="39" t="inlineStr">
        <is>
          <t>2 уровень</t>
        </is>
      </c>
      <c r="C511" s="34" t="inlineStr">
        <is>
          <t>Закрытые условия на абонементы</t>
        </is>
      </c>
      <c r="D511" s="34" t="inlineStr">
        <is>
          <t>Скидка 15% на абонемент 8 или 12 занятий</t>
        </is>
      </c>
      <c r="E511" s="34" t="inlineStr">
        <is>
          <t>При покупке абонемента на 8 или 12 занятий</t>
        </is>
      </c>
      <c r="F511" s="147" t="inlineStr">
        <is>
          <t>FW-L2-S45NW-9L7QC</t>
        </is>
      </c>
      <c r="G511" s="39" t="inlineStr">
        <is>
          <t>Не использован</t>
        </is>
      </c>
      <c r="H511" s="148" t="n"/>
      <c r="I511" s="34" t="str"/>
      <c r="J511" s="34" t="str"/>
      <c r="K511" s="130" t="n">
        <v>107</v>
      </c>
      <c r="L511" s="43">
        <f>IF(COUNTIF($F$5:$F$2407,F511)=1,"OK","Дубликат")</f>
        <v/>
      </c>
    </row>
    <row r="512" ht="38" customHeight="1">
      <c r="A512" s="146" t="inlineStr">
        <is>
          <t>SUB-L2-08-12-15</t>
        </is>
      </c>
      <c r="B512" s="39" t="inlineStr">
        <is>
          <t>2 уровень</t>
        </is>
      </c>
      <c r="C512" s="34" t="inlineStr">
        <is>
          <t>Закрытые условия на абонементы</t>
        </is>
      </c>
      <c r="D512" s="34" t="inlineStr">
        <is>
          <t>Скидка 15% на абонемент 8 или 12 занятий</t>
        </is>
      </c>
      <c r="E512" s="34" t="inlineStr">
        <is>
          <t>При покупке абонемента на 8 или 12 занятий</t>
        </is>
      </c>
      <c r="F512" s="147" t="inlineStr">
        <is>
          <t>FW-L2-EPWQU-6MX5C</t>
        </is>
      </c>
      <c r="G512" s="39" t="inlineStr">
        <is>
          <t>Не использован</t>
        </is>
      </c>
      <c r="H512" s="148" t="n"/>
      <c r="I512" s="34" t="str"/>
      <c r="J512" s="34" t="str"/>
      <c r="K512" s="130" t="n">
        <v>108</v>
      </c>
      <c r="L512" s="43">
        <f>IF(COUNTIF($F$5:$F$2407,F512)=1,"OK","Дубликат")</f>
        <v/>
      </c>
    </row>
    <row r="513" ht="38" customHeight="1">
      <c r="A513" s="146" t="inlineStr">
        <is>
          <t>SUB-L2-08-12-15</t>
        </is>
      </c>
      <c r="B513" s="39" t="inlineStr">
        <is>
          <t>2 уровень</t>
        </is>
      </c>
      <c r="C513" s="34" t="inlineStr">
        <is>
          <t>Закрытые условия на абонементы</t>
        </is>
      </c>
      <c r="D513" s="34" t="inlineStr">
        <is>
          <t>Скидка 15% на абонемент 8 или 12 занятий</t>
        </is>
      </c>
      <c r="E513" s="34" t="inlineStr">
        <is>
          <t>При покупке абонемента на 8 или 12 занятий</t>
        </is>
      </c>
      <c r="F513" s="147" t="inlineStr">
        <is>
          <t>FW-L2-8FQ2U-7RWHX</t>
        </is>
      </c>
      <c r="G513" s="39" t="inlineStr">
        <is>
          <t>Не использован</t>
        </is>
      </c>
      <c r="H513" s="148" t="n"/>
      <c r="I513" s="34" t="str"/>
      <c r="J513" s="34" t="str"/>
      <c r="K513" s="130" t="n">
        <v>109</v>
      </c>
      <c r="L513" s="43">
        <f>IF(COUNTIF($F$5:$F$2407,F513)=1,"OK","Дубликат")</f>
        <v/>
      </c>
    </row>
    <row r="514" ht="38" customHeight="1">
      <c r="A514" s="146" t="inlineStr">
        <is>
          <t>SUB-L2-08-12-15</t>
        </is>
      </c>
      <c r="B514" s="39" t="inlineStr">
        <is>
          <t>2 уровень</t>
        </is>
      </c>
      <c r="C514" s="34" t="inlineStr">
        <is>
          <t>Закрытые условия на абонементы</t>
        </is>
      </c>
      <c r="D514" s="34" t="inlineStr">
        <is>
          <t>Скидка 15% на абонемент 8 или 12 занятий</t>
        </is>
      </c>
      <c r="E514" s="34" t="inlineStr">
        <is>
          <t>При покупке абонемента на 8 или 12 занятий</t>
        </is>
      </c>
      <c r="F514" s="147" t="inlineStr">
        <is>
          <t>FW-L2-PUQN6-27EAW</t>
        </is>
      </c>
      <c r="G514" s="39" t="inlineStr">
        <is>
          <t>Не использован</t>
        </is>
      </c>
      <c r="H514" s="148" t="n"/>
      <c r="I514" s="34" t="str"/>
      <c r="J514" s="34" t="str"/>
      <c r="K514" s="130" t="n">
        <v>110</v>
      </c>
      <c r="L514" s="43">
        <f>IF(COUNTIF($F$5:$F$2407,F514)=1,"OK","Дубликат")</f>
        <v/>
      </c>
    </row>
    <row r="515" ht="38" customHeight="1">
      <c r="A515" s="146" t="inlineStr">
        <is>
          <t>SUB-L2-08-12-15</t>
        </is>
      </c>
      <c r="B515" s="39" t="inlineStr">
        <is>
          <t>2 уровень</t>
        </is>
      </c>
      <c r="C515" s="34" t="inlineStr">
        <is>
          <t>Закрытые условия на абонементы</t>
        </is>
      </c>
      <c r="D515" s="34" t="inlineStr">
        <is>
          <t>Скидка 15% на абонемент 8 или 12 занятий</t>
        </is>
      </c>
      <c r="E515" s="34" t="inlineStr">
        <is>
          <t>При покупке абонемента на 8 или 12 занятий</t>
        </is>
      </c>
      <c r="F515" s="147" t="inlineStr">
        <is>
          <t>FW-L2-KSPV9-FRRDV</t>
        </is>
      </c>
      <c r="G515" s="39" t="inlineStr">
        <is>
          <t>Не использован</t>
        </is>
      </c>
      <c r="H515" s="148" t="n"/>
      <c r="I515" s="34" t="str"/>
      <c r="J515" s="34" t="str"/>
      <c r="K515" s="130" t="n">
        <v>111</v>
      </c>
      <c r="L515" s="43">
        <f>IF(COUNTIF($F$5:$F$2407,F515)=1,"OK","Дубликат")</f>
        <v/>
      </c>
    </row>
    <row r="516" ht="38" customHeight="1">
      <c r="A516" s="146" t="inlineStr">
        <is>
          <t>SUB-L2-08-12-15</t>
        </is>
      </c>
      <c r="B516" s="39" t="inlineStr">
        <is>
          <t>2 уровень</t>
        </is>
      </c>
      <c r="C516" s="34" t="inlineStr">
        <is>
          <t>Закрытые условия на абонементы</t>
        </is>
      </c>
      <c r="D516" s="34" t="inlineStr">
        <is>
          <t>Скидка 15% на абонемент 8 или 12 занятий</t>
        </is>
      </c>
      <c r="E516" s="34" t="inlineStr">
        <is>
          <t>При покупке абонемента на 8 или 12 занятий</t>
        </is>
      </c>
      <c r="F516" s="147" t="inlineStr">
        <is>
          <t>FW-L2-E6YRB-79PMJ</t>
        </is>
      </c>
      <c r="G516" s="39" t="inlineStr">
        <is>
          <t>Не использован</t>
        </is>
      </c>
      <c r="H516" s="148" t="n"/>
      <c r="I516" s="34" t="str"/>
      <c r="J516" s="34" t="str"/>
      <c r="K516" s="130" t="n">
        <v>112</v>
      </c>
      <c r="L516" s="43">
        <f>IF(COUNTIF($F$5:$F$2407,F516)=1,"OK","Дубликат")</f>
        <v/>
      </c>
    </row>
    <row r="517" ht="38" customHeight="1">
      <c r="A517" s="146" t="inlineStr">
        <is>
          <t>SUB-L2-08-12-15</t>
        </is>
      </c>
      <c r="B517" s="39" t="inlineStr">
        <is>
          <t>2 уровень</t>
        </is>
      </c>
      <c r="C517" s="34" t="inlineStr">
        <is>
          <t>Закрытые условия на абонементы</t>
        </is>
      </c>
      <c r="D517" s="34" t="inlineStr">
        <is>
          <t>Скидка 15% на абонемент 8 или 12 занятий</t>
        </is>
      </c>
      <c r="E517" s="34" t="inlineStr">
        <is>
          <t>При покупке абонемента на 8 или 12 занятий</t>
        </is>
      </c>
      <c r="F517" s="147" t="inlineStr">
        <is>
          <t>FW-L2-T49R7-4B5TN</t>
        </is>
      </c>
      <c r="G517" s="39" t="inlineStr">
        <is>
          <t>Не использован</t>
        </is>
      </c>
      <c r="H517" s="148" t="n"/>
      <c r="I517" s="34" t="str"/>
      <c r="J517" s="34" t="str"/>
      <c r="K517" s="130" t="n">
        <v>113</v>
      </c>
      <c r="L517" s="43">
        <f>IF(COUNTIF($F$5:$F$2407,F517)=1,"OK","Дубликат")</f>
        <v/>
      </c>
    </row>
    <row r="518" ht="38" customHeight="1">
      <c r="A518" s="146" t="inlineStr">
        <is>
          <t>SUB-L2-08-12-15</t>
        </is>
      </c>
      <c r="B518" s="39" t="inlineStr">
        <is>
          <t>2 уровень</t>
        </is>
      </c>
      <c r="C518" s="34" t="inlineStr">
        <is>
          <t>Закрытые условия на абонементы</t>
        </is>
      </c>
      <c r="D518" s="34" t="inlineStr">
        <is>
          <t>Скидка 15% на абонемент 8 или 12 занятий</t>
        </is>
      </c>
      <c r="E518" s="34" t="inlineStr">
        <is>
          <t>При покупке абонемента на 8 или 12 занятий</t>
        </is>
      </c>
      <c r="F518" s="147" t="inlineStr">
        <is>
          <t>FW-L2-LZE99-DC8TE</t>
        </is>
      </c>
      <c r="G518" s="39" t="inlineStr">
        <is>
          <t>Не использован</t>
        </is>
      </c>
      <c r="H518" s="148" t="n"/>
      <c r="I518" s="34" t="str"/>
      <c r="J518" s="34" t="str"/>
      <c r="K518" s="130" t="n">
        <v>114</v>
      </c>
      <c r="L518" s="43">
        <f>IF(COUNTIF($F$5:$F$2407,F518)=1,"OK","Дубликат")</f>
        <v/>
      </c>
    </row>
    <row r="519" ht="38" customHeight="1">
      <c r="A519" s="146" t="inlineStr">
        <is>
          <t>SUB-L2-08-12-15</t>
        </is>
      </c>
      <c r="B519" s="39" t="inlineStr">
        <is>
          <t>2 уровень</t>
        </is>
      </c>
      <c r="C519" s="34" t="inlineStr">
        <is>
          <t>Закрытые условия на абонементы</t>
        </is>
      </c>
      <c r="D519" s="34" t="inlineStr">
        <is>
          <t>Скидка 15% на абонемент 8 или 12 занятий</t>
        </is>
      </c>
      <c r="E519" s="34" t="inlineStr">
        <is>
          <t>При покупке абонемента на 8 или 12 занятий</t>
        </is>
      </c>
      <c r="F519" s="147" t="inlineStr">
        <is>
          <t>FW-L2-C39RV-B9RGG</t>
        </is>
      </c>
      <c r="G519" s="39" t="inlineStr">
        <is>
          <t>Не использован</t>
        </is>
      </c>
      <c r="H519" s="148" t="n"/>
      <c r="I519" s="34" t="str"/>
      <c r="J519" s="34" t="str"/>
      <c r="K519" s="130" t="n">
        <v>115</v>
      </c>
      <c r="L519" s="43">
        <f>IF(COUNTIF($F$5:$F$2407,F519)=1,"OK","Дубликат")</f>
        <v/>
      </c>
    </row>
    <row r="520" ht="38" customHeight="1">
      <c r="A520" s="146" t="inlineStr">
        <is>
          <t>SUB-L2-08-12-15</t>
        </is>
      </c>
      <c r="B520" s="39" t="inlineStr">
        <is>
          <t>2 уровень</t>
        </is>
      </c>
      <c r="C520" s="34" t="inlineStr">
        <is>
          <t>Закрытые условия на абонементы</t>
        </is>
      </c>
      <c r="D520" s="34" t="inlineStr">
        <is>
          <t>Скидка 15% на абонемент 8 или 12 занятий</t>
        </is>
      </c>
      <c r="E520" s="34" t="inlineStr">
        <is>
          <t>При покупке абонемента на 8 или 12 занятий</t>
        </is>
      </c>
      <c r="F520" s="147" t="inlineStr">
        <is>
          <t>FW-L2-LGY7A-H9FXQ</t>
        </is>
      </c>
      <c r="G520" s="39" t="inlineStr">
        <is>
          <t>Не использован</t>
        </is>
      </c>
      <c r="H520" s="148" t="n"/>
      <c r="I520" s="34" t="str"/>
      <c r="J520" s="34" t="str"/>
      <c r="K520" s="130" t="n">
        <v>116</v>
      </c>
      <c r="L520" s="43">
        <f>IF(COUNTIF($F$5:$F$2407,F520)=1,"OK","Дубликат")</f>
        <v/>
      </c>
    </row>
    <row r="521" ht="38" customHeight="1">
      <c r="A521" s="146" t="inlineStr">
        <is>
          <t>SUB-L2-08-12-15</t>
        </is>
      </c>
      <c r="B521" s="39" t="inlineStr">
        <is>
          <t>2 уровень</t>
        </is>
      </c>
      <c r="C521" s="34" t="inlineStr">
        <is>
          <t>Закрытые условия на абонементы</t>
        </is>
      </c>
      <c r="D521" s="34" t="inlineStr">
        <is>
          <t>Скидка 15% на абонемент 8 или 12 занятий</t>
        </is>
      </c>
      <c r="E521" s="34" t="inlineStr">
        <is>
          <t>При покупке абонемента на 8 или 12 занятий</t>
        </is>
      </c>
      <c r="F521" s="147" t="inlineStr">
        <is>
          <t>FW-L2-U7F2M-2SB9J</t>
        </is>
      </c>
      <c r="G521" s="39" t="inlineStr">
        <is>
          <t>Не использован</t>
        </is>
      </c>
      <c r="H521" s="148" t="n"/>
      <c r="I521" s="34" t="str"/>
      <c r="J521" s="34" t="str"/>
      <c r="K521" s="130" t="n">
        <v>117</v>
      </c>
      <c r="L521" s="43">
        <f>IF(COUNTIF($F$5:$F$2407,F521)=1,"OK","Дубликат")</f>
        <v/>
      </c>
    </row>
    <row r="522" ht="38" customHeight="1">
      <c r="A522" s="146" t="inlineStr">
        <is>
          <t>SUB-L2-08-12-15</t>
        </is>
      </c>
      <c r="B522" s="39" t="inlineStr">
        <is>
          <t>2 уровень</t>
        </is>
      </c>
      <c r="C522" s="34" t="inlineStr">
        <is>
          <t>Закрытые условия на абонементы</t>
        </is>
      </c>
      <c r="D522" s="34" t="inlineStr">
        <is>
          <t>Скидка 15% на абонемент 8 или 12 занятий</t>
        </is>
      </c>
      <c r="E522" s="34" t="inlineStr">
        <is>
          <t>При покупке абонемента на 8 или 12 занятий</t>
        </is>
      </c>
      <c r="F522" s="147" t="inlineStr">
        <is>
          <t>FW-L2-J4UAM-F8376</t>
        </is>
      </c>
      <c r="G522" s="39" t="inlineStr">
        <is>
          <t>Не использован</t>
        </is>
      </c>
      <c r="H522" s="148" t="n"/>
      <c r="I522" s="34" t="str"/>
      <c r="J522" s="34" t="str"/>
      <c r="K522" s="130" t="n">
        <v>118</v>
      </c>
      <c r="L522" s="43">
        <f>IF(COUNTIF($F$5:$F$2407,F522)=1,"OK","Дубликат")</f>
        <v/>
      </c>
    </row>
    <row r="523" ht="38" customHeight="1">
      <c r="A523" s="146" t="inlineStr">
        <is>
          <t>SUB-L2-08-12-15</t>
        </is>
      </c>
      <c r="B523" s="39" t="inlineStr">
        <is>
          <t>2 уровень</t>
        </is>
      </c>
      <c r="C523" s="34" t="inlineStr">
        <is>
          <t>Закрытые условия на абонементы</t>
        </is>
      </c>
      <c r="D523" s="34" t="inlineStr">
        <is>
          <t>Скидка 15% на абонемент 8 или 12 занятий</t>
        </is>
      </c>
      <c r="E523" s="34" t="inlineStr">
        <is>
          <t>При покупке абонемента на 8 или 12 занятий</t>
        </is>
      </c>
      <c r="F523" s="147" t="inlineStr">
        <is>
          <t>FW-L2-6U3JH-8YBTC</t>
        </is>
      </c>
      <c r="G523" s="39" t="inlineStr">
        <is>
          <t>Не использован</t>
        </is>
      </c>
      <c r="H523" s="148" t="n"/>
      <c r="I523" s="34" t="str"/>
      <c r="J523" s="34" t="str"/>
      <c r="K523" s="130" t="n">
        <v>119</v>
      </c>
      <c r="L523" s="43">
        <f>IF(COUNTIF($F$5:$F$2407,F523)=1,"OK","Дубликат")</f>
        <v/>
      </c>
    </row>
    <row r="524" ht="38" customHeight="1">
      <c r="A524" s="146" t="inlineStr">
        <is>
          <t>SUB-L2-08-12-15</t>
        </is>
      </c>
      <c r="B524" s="39" t="inlineStr">
        <is>
          <t>2 уровень</t>
        </is>
      </c>
      <c r="C524" s="34" t="inlineStr">
        <is>
          <t>Закрытые условия на абонементы</t>
        </is>
      </c>
      <c r="D524" s="34" t="inlineStr">
        <is>
          <t>Скидка 15% на абонемент 8 или 12 занятий</t>
        </is>
      </c>
      <c r="E524" s="34" t="inlineStr">
        <is>
          <t>При покупке абонемента на 8 или 12 занятий</t>
        </is>
      </c>
      <c r="F524" s="147" t="inlineStr">
        <is>
          <t>FW-L2-D8XQD-CA3BZ</t>
        </is>
      </c>
      <c r="G524" s="39" t="inlineStr">
        <is>
          <t>Не использован</t>
        </is>
      </c>
      <c r="H524" s="148" t="n"/>
      <c r="I524" s="34" t="str"/>
      <c r="J524" s="34" t="str"/>
      <c r="K524" s="130" t="n">
        <v>120</v>
      </c>
      <c r="L524" s="43">
        <f>IF(COUNTIF($F$5:$F$2407,F524)=1,"OK","Дубликат")</f>
        <v/>
      </c>
    </row>
    <row r="525" ht="38" customHeight="1">
      <c r="A525" s="146" t="inlineStr">
        <is>
          <t>SUB-L2-08-12-15</t>
        </is>
      </c>
      <c r="B525" s="39" t="inlineStr">
        <is>
          <t>2 уровень</t>
        </is>
      </c>
      <c r="C525" s="34" t="inlineStr">
        <is>
          <t>Закрытые условия на абонементы</t>
        </is>
      </c>
      <c r="D525" s="34" t="inlineStr">
        <is>
          <t>Скидка 15% на абонемент 8 или 12 занятий</t>
        </is>
      </c>
      <c r="E525" s="34" t="inlineStr">
        <is>
          <t>При покупке абонемента на 8 или 12 занятий</t>
        </is>
      </c>
      <c r="F525" s="147" t="inlineStr">
        <is>
          <t>FW-L2-DPKMX-RB8XJ</t>
        </is>
      </c>
      <c r="G525" s="39" t="inlineStr">
        <is>
          <t>Не использован</t>
        </is>
      </c>
      <c r="H525" s="148" t="n"/>
      <c r="I525" s="34" t="str"/>
      <c r="J525" s="34" t="str"/>
      <c r="K525" s="130" t="n">
        <v>121</v>
      </c>
      <c r="L525" s="43">
        <f>IF(COUNTIF($F$5:$F$2407,F525)=1,"OK","Дубликат")</f>
        <v/>
      </c>
    </row>
    <row r="526" ht="38" customHeight="1">
      <c r="A526" s="146" t="inlineStr">
        <is>
          <t>SUB-L2-08-12-15</t>
        </is>
      </c>
      <c r="B526" s="39" t="inlineStr">
        <is>
          <t>2 уровень</t>
        </is>
      </c>
      <c r="C526" s="34" t="inlineStr">
        <is>
          <t>Закрытые условия на абонементы</t>
        </is>
      </c>
      <c r="D526" s="34" t="inlineStr">
        <is>
          <t>Скидка 15% на абонемент 8 или 12 занятий</t>
        </is>
      </c>
      <c r="E526" s="34" t="inlineStr">
        <is>
          <t>При покупке абонемента на 8 или 12 занятий</t>
        </is>
      </c>
      <c r="F526" s="147" t="inlineStr">
        <is>
          <t>FW-L2-F6WLF-ZSP83</t>
        </is>
      </c>
      <c r="G526" s="39" t="inlineStr">
        <is>
          <t>Не использован</t>
        </is>
      </c>
      <c r="H526" s="148" t="n"/>
      <c r="I526" s="34" t="str"/>
      <c r="J526" s="34" t="str"/>
      <c r="K526" s="130" t="n">
        <v>122</v>
      </c>
      <c r="L526" s="43">
        <f>IF(COUNTIF($F$5:$F$2407,F526)=1,"OK","Дубликат")</f>
        <v/>
      </c>
    </row>
    <row r="527" ht="38" customHeight="1">
      <c r="A527" s="146" t="inlineStr">
        <is>
          <t>SUB-L2-08-12-15</t>
        </is>
      </c>
      <c r="B527" s="39" t="inlineStr">
        <is>
          <t>2 уровень</t>
        </is>
      </c>
      <c r="C527" s="34" t="inlineStr">
        <is>
          <t>Закрытые условия на абонементы</t>
        </is>
      </c>
      <c r="D527" s="34" t="inlineStr">
        <is>
          <t>Скидка 15% на абонемент 8 или 12 занятий</t>
        </is>
      </c>
      <c r="E527" s="34" t="inlineStr">
        <is>
          <t>При покупке абонемента на 8 или 12 занятий</t>
        </is>
      </c>
      <c r="F527" s="147" t="inlineStr">
        <is>
          <t>FW-L2-UP2N3-JM2QJ</t>
        </is>
      </c>
      <c r="G527" s="39" t="inlineStr">
        <is>
          <t>Не использован</t>
        </is>
      </c>
      <c r="H527" s="148" t="n"/>
      <c r="I527" s="34" t="str"/>
      <c r="J527" s="34" t="str"/>
      <c r="K527" s="130" t="n">
        <v>123</v>
      </c>
      <c r="L527" s="43">
        <f>IF(COUNTIF($F$5:$F$2407,F527)=1,"OK","Дубликат")</f>
        <v/>
      </c>
    </row>
    <row r="528" ht="38" customHeight="1">
      <c r="A528" s="146" t="inlineStr">
        <is>
          <t>SUB-L2-08-12-15</t>
        </is>
      </c>
      <c r="B528" s="39" t="inlineStr">
        <is>
          <t>2 уровень</t>
        </is>
      </c>
      <c r="C528" s="34" t="inlineStr">
        <is>
          <t>Закрытые условия на абонементы</t>
        </is>
      </c>
      <c r="D528" s="34" t="inlineStr">
        <is>
          <t>Скидка 15% на абонемент 8 или 12 занятий</t>
        </is>
      </c>
      <c r="E528" s="34" t="inlineStr">
        <is>
          <t>При покупке абонемента на 8 или 12 занятий</t>
        </is>
      </c>
      <c r="F528" s="147" t="inlineStr">
        <is>
          <t>FW-L2-DL7CY-NE5WV</t>
        </is>
      </c>
      <c r="G528" s="39" t="inlineStr">
        <is>
          <t>Не использован</t>
        </is>
      </c>
      <c r="H528" s="148" t="n"/>
      <c r="I528" s="34" t="str"/>
      <c r="J528" s="34" t="str"/>
      <c r="K528" s="130" t="n">
        <v>124</v>
      </c>
      <c r="L528" s="43">
        <f>IF(COUNTIF($F$5:$F$2407,F528)=1,"OK","Дубликат")</f>
        <v/>
      </c>
    </row>
    <row r="529" ht="38" customHeight="1">
      <c r="A529" s="146" t="inlineStr">
        <is>
          <t>SUB-L2-08-12-15</t>
        </is>
      </c>
      <c r="B529" s="39" t="inlineStr">
        <is>
          <t>2 уровень</t>
        </is>
      </c>
      <c r="C529" s="34" t="inlineStr">
        <is>
          <t>Закрытые условия на абонементы</t>
        </is>
      </c>
      <c r="D529" s="34" t="inlineStr">
        <is>
          <t>Скидка 15% на абонемент 8 или 12 занятий</t>
        </is>
      </c>
      <c r="E529" s="34" t="inlineStr">
        <is>
          <t>При покупке абонемента на 8 или 12 занятий</t>
        </is>
      </c>
      <c r="F529" s="147" t="inlineStr">
        <is>
          <t>FW-L2-ZT2A6-WYFUL</t>
        </is>
      </c>
      <c r="G529" s="39" t="inlineStr">
        <is>
          <t>Не использован</t>
        </is>
      </c>
      <c r="H529" s="148" t="n"/>
      <c r="I529" s="34" t="str"/>
      <c r="J529" s="34" t="str"/>
      <c r="K529" s="130" t="n">
        <v>125</v>
      </c>
      <c r="L529" s="43">
        <f>IF(COUNTIF($F$5:$F$2407,F529)=1,"OK","Дубликат")</f>
        <v/>
      </c>
    </row>
    <row r="530" ht="38" customHeight="1">
      <c r="A530" s="146" t="inlineStr">
        <is>
          <t>SUB-L2-08-12-15</t>
        </is>
      </c>
      <c r="B530" s="39" t="inlineStr">
        <is>
          <t>2 уровень</t>
        </is>
      </c>
      <c r="C530" s="34" t="inlineStr">
        <is>
          <t>Закрытые условия на абонементы</t>
        </is>
      </c>
      <c r="D530" s="34" t="inlineStr">
        <is>
          <t>Скидка 15% на абонемент 8 или 12 занятий</t>
        </is>
      </c>
      <c r="E530" s="34" t="inlineStr">
        <is>
          <t>При покупке абонемента на 8 или 12 занятий</t>
        </is>
      </c>
      <c r="F530" s="147" t="inlineStr">
        <is>
          <t>FW-L2-L6ZE2-ED43G</t>
        </is>
      </c>
      <c r="G530" s="39" t="inlineStr">
        <is>
          <t>Не использован</t>
        </is>
      </c>
      <c r="H530" s="148" t="n"/>
      <c r="I530" s="34" t="str"/>
      <c r="J530" s="34" t="str"/>
      <c r="K530" s="130" t="n">
        <v>126</v>
      </c>
      <c r="L530" s="43">
        <f>IF(COUNTIF($F$5:$F$2407,F530)=1,"OK","Дубликат")</f>
        <v/>
      </c>
    </row>
    <row r="531" ht="38" customHeight="1">
      <c r="A531" s="146" t="inlineStr">
        <is>
          <t>SUB-L2-08-12-15</t>
        </is>
      </c>
      <c r="B531" s="39" t="inlineStr">
        <is>
          <t>2 уровень</t>
        </is>
      </c>
      <c r="C531" s="34" t="inlineStr">
        <is>
          <t>Закрытые условия на абонементы</t>
        </is>
      </c>
      <c r="D531" s="34" t="inlineStr">
        <is>
          <t>Скидка 15% на абонемент 8 или 12 занятий</t>
        </is>
      </c>
      <c r="E531" s="34" t="inlineStr">
        <is>
          <t>При покупке абонемента на 8 или 12 занятий</t>
        </is>
      </c>
      <c r="F531" s="147" t="inlineStr">
        <is>
          <t>FW-L2-MS3A8-4A6XW</t>
        </is>
      </c>
      <c r="G531" s="39" t="inlineStr">
        <is>
          <t>Не использован</t>
        </is>
      </c>
      <c r="H531" s="148" t="n"/>
      <c r="I531" s="34" t="str"/>
      <c r="J531" s="34" t="str"/>
      <c r="K531" s="130" t="n">
        <v>127</v>
      </c>
      <c r="L531" s="43">
        <f>IF(COUNTIF($F$5:$F$2407,F531)=1,"OK","Дубликат")</f>
        <v/>
      </c>
    </row>
    <row r="532" ht="38" customHeight="1">
      <c r="A532" s="146" t="inlineStr">
        <is>
          <t>SUB-L2-08-12-15</t>
        </is>
      </c>
      <c r="B532" s="39" t="inlineStr">
        <is>
          <t>2 уровень</t>
        </is>
      </c>
      <c r="C532" s="34" t="inlineStr">
        <is>
          <t>Закрытые условия на абонементы</t>
        </is>
      </c>
      <c r="D532" s="34" t="inlineStr">
        <is>
          <t>Скидка 15% на абонемент 8 или 12 занятий</t>
        </is>
      </c>
      <c r="E532" s="34" t="inlineStr">
        <is>
          <t>При покупке абонемента на 8 или 12 занятий</t>
        </is>
      </c>
      <c r="F532" s="147" t="inlineStr">
        <is>
          <t>FW-L2-G3Z2F-P6TUK</t>
        </is>
      </c>
      <c r="G532" s="39" t="inlineStr">
        <is>
          <t>Не использован</t>
        </is>
      </c>
      <c r="H532" s="148" t="n"/>
      <c r="I532" s="34" t="str"/>
      <c r="J532" s="34" t="str"/>
      <c r="K532" s="130" t="n">
        <v>128</v>
      </c>
      <c r="L532" s="43">
        <f>IF(COUNTIF($F$5:$F$2407,F532)=1,"OK","Дубликат")</f>
        <v/>
      </c>
    </row>
    <row r="533" ht="38" customHeight="1">
      <c r="A533" s="146" t="inlineStr">
        <is>
          <t>SUB-L2-08-12-15</t>
        </is>
      </c>
      <c r="B533" s="39" t="inlineStr">
        <is>
          <t>2 уровень</t>
        </is>
      </c>
      <c r="C533" s="34" t="inlineStr">
        <is>
          <t>Закрытые условия на абонементы</t>
        </is>
      </c>
      <c r="D533" s="34" t="inlineStr">
        <is>
          <t>Скидка 15% на абонемент 8 или 12 занятий</t>
        </is>
      </c>
      <c r="E533" s="34" t="inlineStr">
        <is>
          <t>При покупке абонемента на 8 или 12 занятий</t>
        </is>
      </c>
      <c r="F533" s="147" t="inlineStr">
        <is>
          <t>FW-L2-62LZL-6HKW9</t>
        </is>
      </c>
      <c r="G533" s="39" t="inlineStr">
        <is>
          <t>Не использован</t>
        </is>
      </c>
      <c r="H533" s="148" t="n"/>
      <c r="I533" s="34" t="str"/>
      <c r="J533" s="34" t="str"/>
      <c r="K533" s="130" t="n">
        <v>129</v>
      </c>
      <c r="L533" s="43">
        <f>IF(COUNTIF($F$5:$F$2407,F533)=1,"OK","Дубликат")</f>
        <v/>
      </c>
    </row>
    <row r="534" ht="38" customHeight="1">
      <c r="A534" s="146" t="inlineStr">
        <is>
          <t>SUB-L2-08-12-15</t>
        </is>
      </c>
      <c r="B534" s="39" t="inlineStr">
        <is>
          <t>2 уровень</t>
        </is>
      </c>
      <c r="C534" s="34" t="inlineStr">
        <is>
          <t>Закрытые условия на абонементы</t>
        </is>
      </c>
      <c r="D534" s="34" t="inlineStr">
        <is>
          <t>Скидка 15% на абонемент 8 или 12 занятий</t>
        </is>
      </c>
      <c r="E534" s="34" t="inlineStr">
        <is>
          <t>При покупке абонемента на 8 или 12 занятий</t>
        </is>
      </c>
      <c r="F534" s="147" t="inlineStr">
        <is>
          <t>FW-L2-RR5JA-DJCRF</t>
        </is>
      </c>
      <c r="G534" s="39" t="inlineStr">
        <is>
          <t>Не использован</t>
        </is>
      </c>
      <c r="H534" s="148" t="n"/>
      <c r="I534" s="34" t="str"/>
      <c r="J534" s="34" t="str"/>
      <c r="K534" s="130" t="n">
        <v>130</v>
      </c>
      <c r="L534" s="43">
        <f>IF(COUNTIF($F$5:$F$2407,F534)=1,"OK","Дубликат")</f>
        <v/>
      </c>
    </row>
    <row r="535" ht="38" customHeight="1">
      <c r="A535" s="146" t="inlineStr">
        <is>
          <t>SUB-L2-08-12-15</t>
        </is>
      </c>
      <c r="B535" s="39" t="inlineStr">
        <is>
          <t>2 уровень</t>
        </is>
      </c>
      <c r="C535" s="34" t="inlineStr">
        <is>
          <t>Закрытые условия на абонементы</t>
        </is>
      </c>
      <c r="D535" s="34" t="inlineStr">
        <is>
          <t>Скидка 15% на абонемент 8 или 12 занятий</t>
        </is>
      </c>
      <c r="E535" s="34" t="inlineStr">
        <is>
          <t>При покупке абонемента на 8 или 12 занятий</t>
        </is>
      </c>
      <c r="F535" s="147" t="inlineStr">
        <is>
          <t>FW-L2-G4U99-LQKA3</t>
        </is>
      </c>
      <c r="G535" s="39" t="inlineStr">
        <is>
          <t>Не использован</t>
        </is>
      </c>
      <c r="H535" s="148" t="n"/>
      <c r="I535" s="34" t="str"/>
      <c r="J535" s="34" t="str"/>
      <c r="K535" s="130" t="n">
        <v>131</v>
      </c>
      <c r="L535" s="43">
        <f>IF(COUNTIF($F$5:$F$2407,F535)=1,"OK","Дубликат")</f>
        <v/>
      </c>
    </row>
    <row r="536" ht="38" customHeight="1">
      <c r="A536" s="146" t="inlineStr">
        <is>
          <t>SUB-L2-08-12-15</t>
        </is>
      </c>
      <c r="B536" s="39" t="inlineStr">
        <is>
          <t>2 уровень</t>
        </is>
      </c>
      <c r="C536" s="34" t="inlineStr">
        <is>
          <t>Закрытые условия на абонементы</t>
        </is>
      </c>
      <c r="D536" s="34" t="inlineStr">
        <is>
          <t>Скидка 15% на абонемент 8 или 12 занятий</t>
        </is>
      </c>
      <c r="E536" s="34" t="inlineStr">
        <is>
          <t>При покупке абонемента на 8 или 12 занятий</t>
        </is>
      </c>
      <c r="F536" s="147" t="inlineStr">
        <is>
          <t>FW-L2-72HHX-6HHGD</t>
        </is>
      </c>
      <c r="G536" s="39" t="inlineStr">
        <is>
          <t>Не использован</t>
        </is>
      </c>
      <c r="H536" s="148" t="n"/>
      <c r="I536" s="34" t="str"/>
      <c r="J536" s="34" t="str"/>
      <c r="K536" s="130" t="n">
        <v>132</v>
      </c>
      <c r="L536" s="43">
        <f>IF(COUNTIF($F$5:$F$2407,F536)=1,"OK","Дубликат")</f>
        <v/>
      </c>
    </row>
    <row r="537" ht="38" customHeight="1">
      <c r="A537" s="146" t="inlineStr">
        <is>
          <t>SUB-L2-08-12-15</t>
        </is>
      </c>
      <c r="B537" s="39" t="inlineStr">
        <is>
          <t>2 уровень</t>
        </is>
      </c>
      <c r="C537" s="34" t="inlineStr">
        <is>
          <t>Закрытые условия на абонементы</t>
        </is>
      </c>
      <c r="D537" s="34" t="inlineStr">
        <is>
          <t>Скидка 15% на абонемент 8 или 12 занятий</t>
        </is>
      </c>
      <c r="E537" s="34" t="inlineStr">
        <is>
          <t>При покупке абонемента на 8 или 12 занятий</t>
        </is>
      </c>
      <c r="F537" s="147" t="inlineStr">
        <is>
          <t>FW-L2-W47NU-XWCW8</t>
        </is>
      </c>
      <c r="G537" s="39" t="inlineStr">
        <is>
          <t>Не использован</t>
        </is>
      </c>
      <c r="H537" s="148" t="n"/>
      <c r="I537" s="34" t="str"/>
      <c r="J537" s="34" t="str"/>
      <c r="K537" s="130" t="n">
        <v>133</v>
      </c>
      <c r="L537" s="43">
        <f>IF(COUNTIF($F$5:$F$2407,F537)=1,"OK","Дубликат")</f>
        <v/>
      </c>
    </row>
    <row r="538" ht="38" customHeight="1">
      <c r="A538" s="146" t="inlineStr">
        <is>
          <t>SUB-L2-08-12-15</t>
        </is>
      </c>
      <c r="B538" s="39" t="inlineStr">
        <is>
          <t>2 уровень</t>
        </is>
      </c>
      <c r="C538" s="34" t="inlineStr">
        <is>
          <t>Закрытые условия на абонементы</t>
        </is>
      </c>
      <c r="D538" s="34" t="inlineStr">
        <is>
          <t>Скидка 15% на абонемент 8 или 12 занятий</t>
        </is>
      </c>
      <c r="E538" s="34" t="inlineStr">
        <is>
          <t>При покупке абонемента на 8 или 12 занятий</t>
        </is>
      </c>
      <c r="F538" s="147" t="inlineStr">
        <is>
          <t>FW-L2-T2V44-Y723W</t>
        </is>
      </c>
      <c r="G538" s="39" t="inlineStr">
        <is>
          <t>Не использован</t>
        </is>
      </c>
      <c r="H538" s="148" t="n"/>
      <c r="I538" s="34" t="str"/>
      <c r="J538" s="34" t="str"/>
      <c r="K538" s="130" t="n">
        <v>134</v>
      </c>
      <c r="L538" s="43">
        <f>IF(COUNTIF($F$5:$F$2407,F538)=1,"OK","Дубликат")</f>
        <v/>
      </c>
    </row>
    <row r="539" ht="38" customHeight="1">
      <c r="A539" s="146" t="inlineStr">
        <is>
          <t>SUB-L2-08-12-15</t>
        </is>
      </c>
      <c r="B539" s="39" t="inlineStr">
        <is>
          <t>2 уровень</t>
        </is>
      </c>
      <c r="C539" s="34" t="inlineStr">
        <is>
          <t>Закрытые условия на абонементы</t>
        </is>
      </c>
      <c r="D539" s="34" t="inlineStr">
        <is>
          <t>Скидка 15% на абонемент 8 или 12 занятий</t>
        </is>
      </c>
      <c r="E539" s="34" t="inlineStr">
        <is>
          <t>При покупке абонемента на 8 или 12 занятий</t>
        </is>
      </c>
      <c r="F539" s="147" t="inlineStr">
        <is>
          <t>FW-L2-67V8T-FX29C</t>
        </is>
      </c>
      <c r="G539" s="39" t="inlineStr">
        <is>
          <t>Не использован</t>
        </is>
      </c>
      <c r="H539" s="148" t="n"/>
      <c r="I539" s="34" t="str"/>
      <c r="J539" s="34" t="str"/>
      <c r="K539" s="130" t="n">
        <v>135</v>
      </c>
      <c r="L539" s="43">
        <f>IF(COUNTIF($F$5:$F$2407,F539)=1,"OK","Дубликат")</f>
        <v/>
      </c>
    </row>
    <row r="540" ht="38" customHeight="1">
      <c r="A540" s="146" t="inlineStr">
        <is>
          <t>SUB-L2-08-12-15</t>
        </is>
      </c>
      <c r="B540" s="39" t="inlineStr">
        <is>
          <t>2 уровень</t>
        </is>
      </c>
      <c r="C540" s="34" t="inlineStr">
        <is>
          <t>Закрытые условия на абонементы</t>
        </is>
      </c>
      <c r="D540" s="34" t="inlineStr">
        <is>
          <t>Скидка 15% на абонемент 8 или 12 занятий</t>
        </is>
      </c>
      <c r="E540" s="34" t="inlineStr">
        <is>
          <t>При покупке абонемента на 8 или 12 занятий</t>
        </is>
      </c>
      <c r="F540" s="147" t="inlineStr">
        <is>
          <t>FW-L2-NMBRY-H9377</t>
        </is>
      </c>
      <c r="G540" s="39" t="inlineStr">
        <is>
          <t>Не использован</t>
        </is>
      </c>
      <c r="H540" s="148" t="n"/>
      <c r="I540" s="34" t="str"/>
      <c r="J540" s="34" t="str"/>
      <c r="K540" s="130" t="n">
        <v>136</v>
      </c>
      <c r="L540" s="43">
        <f>IF(COUNTIF($F$5:$F$2407,F540)=1,"OK","Дубликат")</f>
        <v/>
      </c>
    </row>
    <row r="541" ht="38" customHeight="1">
      <c r="A541" s="146" t="inlineStr">
        <is>
          <t>SUB-L2-08-12-15</t>
        </is>
      </c>
      <c r="B541" s="39" t="inlineStr">
        <is>
          <t>2 уровень</t>
        </is>
      </c>
      <c r="C541" s="34" t="inlineStr">
        <is>
          <t>Закрытые условия на абонементы</t>
        </is>
      </c>
      <c r="D541" s="34" t="inlineStr">
        <is>
          <t>Скидка 15% на абонемент 8 или 12 занятий</t>
        </is>
      </c>
      <c r="E541" s="34" t="inlineStr">
        <is>
          <t>При покупке абонемента на 8 или 12 занятий</t>
        </is>
      </c>
      <c r="F541" s="147" t="inlineStr">
        <is>
          <t>FW-L2-SJDUW-VDWN5</t>
        </is>
      </c>
      <c r="G541" s="39" t="inlineStr">
        <is>
          <t>Не использован</t>
        </is>
      </c>
      <c r="H541" s="148" t="n"/>
      <c r="I541" s="34" t="str"/>
      <c r="J541" s="34" t="str"/>
      <c r="K541" s="130" t="n">
        <v>137</v>
      </c>
      <c r="L541" s="43">
        <f>IF(COUNTIF($F$5:$F$2407,F541)=1,"OK","Дубликат")</f>
        <v/>
      </c>
    </row>
    <row r="542" ht="38" customHeight="1">
      <c r="A542" s="146" t="inlineStr">
        <is>
          <t>SUB-L2-08-12-15</t>
        </is>
      </c>
      <c r="B542" s="39" t="inlineStr">
        <is>
          <t>2 уровень</t>
        </is>
      </c>
      <c r="C542" s="34" t="inlineStr">
        <is>
          <t>Закрытые условия на абонементы</t>
        </is>
      </c>
      <c r="D542" s="34" t="inlineStr">
        <is>
          <t>Скидка 15% на абонемент 8 или 12 занятий</t>
        </is>
      </c>
      <c r="E542" s="34" t="inlineStr">
        <is>
          <t>При покупке абонемента на 8 или 12 занятий</t>
        </is>
      </c>
      <c r="F542" s="147" t="inlineStr">
        <is>
          <t>FW-L2-XGZQR-XW3WA</t>
        </is>
      </c>
      <c r="G542" s="39" t="inlineStr">
        <is>
          <t>Не использован</t>
        </is>
      </c>
      <c r="H542" s="148" t="n"/>
      <c r="I542" s="34" t="str"/>
      <c r="J542" s="34" t="str"/>
      <c r="K542" s="130" t="n">
        <v>138</v>
      </c>
      <c r="L542" s="43">
        <f>IF(COUNTIF($F$5:$F$2407,F542)=1,"OK","Дубликат")</f>
        <v/>
      </c>
    </row>
    <row r="543" ht="38" customHeight="1">
      <c r="A543" s="146" t="inlineStr">
        <is>
          <t>SUB-L2-08-12-15</t>
        </is>
      </c>
      <c r="B543" s="39" t="inlineStr">
        <is>
          <t>2 уровень</t>
        </is>
      </c>
      <c r="C543" s="34" t="inlineStr">
        <is>
          <t>Закрытые условия на абонементы</t>
        </is>
      </c>
      <c r="D543" s="34" t="inlineStr">
        <is>
          <t>Скидка 15% на абонемент 8 или 12 занятий</t>
        </is>
      </c>
      <c r="E543" s="34" t="inlineStr">
        <is>
          <t>При покупке абонемента на 8 или 12 занятий</t>
        </is>
      </c>
      <c r="F543" s="147" t="inlineStr">
        <is>
          <t>FW-L2-JD6YK-UYJF6</t>
        </is>
      </c>
      <c r="G543" s="39" t="inlineStr">
        <is>
          <t>Не использован</t>
        </is>
      </c>
      <c r="H543" s="148" t="n"/>
      <c r="I543" s="34" t="str"/>
      <c r="J543" s="34" t="str"/>
      <c r="K543" s="130" t="n">
        <v>139</v>
      </c>
      <c r="L543" s="43">
        <f>IF(COUNTIF($F$5:$F$2407,F543)=1,"OK","Дубликат")</f>
        <v/>
      </c>
    </row>
    <row r="544" ht="38" customHeight="1">
      <c r="A544" s="146" t="inlineStr">
        <is>
          <t>SUB-L2-08-12-15</t>
        </is>
      </c>
      <c r="B544" s="39" t="inlineStr">
        <is>
          <t>2 уровень</t>
        </is>
      </c>
      <c r="C544" s="34" t="inlineStr">
        <is>
          <t>Закрытые условия на абонементы</t>
        </is>
      </c>
      <c r="D544" s="34" t="inlineStr">
        <is>
          <t>Скидка 15% на абонемент 8 или 12 занятий</t>
        </is>
      </c>
      <c r="E544" s="34" t="inlineStr">
        <is>
          <t>При покупке абонемента на 8 или 12 занятий</t>
        </is>
      </c>
      <c r="F544" s="147" t="inlineStr">
        <is>
          <t>FW-L2-4BC4U-4ACBE</t>
        </is>
      </c>
      <c r="G544" s="39" t="inlineStr">
        <is>
          <t>Не использован</t>
        </is>
      </c>
      <c r="H544" s="148" t="n"/>
      <c r="I544" s="34" t="str"/>
      <c r="J544" s="34" t="str"/>
      <c r="K544" s="130" t="n">
        <v>140</v>
      </c>
      <c r="L544" s="43">
        <f>IF(COUNTIF($F$5:$F$2407,F544)=1,"OK","Дубликат")</f>
        <v/>
      </c>
    </row>
    <row r="545" ht="38" customHeight="1">
      <c r="A545" s="146" t="inlineStr">
        <is>
          <t>SUB-L2-08-12-15</t>
        </is>
      </c>
      <c r="B545" s="39" t="inlineStr">
        <is>
          <t>2 уровень</t>
        </is>
      </c>
      <c r="C545" s="34" t="inlineStr">
        <is>
          <t>Закрытые условия на абонементы</t>
        </is>
      </c>
      <c r="D545" s="34" t="inlineStr">
        <is>
          <t>Скидка 15% на абонемент 8 или 12 занятий</t>
        </is>
      </c>
      <c r="E545" s="34" t="inlineStr">
        <is>
          <t>При покупке абонемента на 8 или 12 занятий</t>
        </is>
      </c>
      <c r="F545" s="147" t="inlineStr">
        <is>
          <t>FW-L2-PQT46-CY5U6</t>
        </is>
      </c>
      <c r="G545" s="39" t="inlineStr">
        <is>
          <t>Не использован</t>
        </is>
      </c>
      <c r="H545" s="148" t="n"/>
      <c r="I545" s="34" t="str"/>
      <c r="J545" s="34" t="str"/>
      <c r="K545" s="130" t="n">
        <v>141</v>
      </c>
      <c r="L545" s="43">
        <f>IF(COUNTIF($F$5:$F$2407,F545)=1,"OK","Дубликат")</f>
        <v/>
      </c>
    </row>
    <row r="546" ht="38" customHeight="1">
      <c r="A546" s="146" t="inlineStr">
        <is>
          <t>SUB-L2-08-12-15</t>
        </is>
      </c>
      <c r="B546" s="39" t="inlineStr">
        <is>
          <t>2 уровень</t>
        </is>
      </c>
      <c r="C546" s="34" t="inlineStr">
        <is>
          <t>Закрытые условия на абонементы</t>
        </is>
      </c>
      <c r="D546" s="34" t="inlineStr">
        <is>
          <t>Скидка 15% на абонемент 8 или 12 занятий</t>
        </is>
      </c>
      <c r="E546" s="34" t="inlineStr">
        <is>
          <t>При покупке абонемента на 8 или 12 занятий</t>
        </is>
      </c>
      <c r="F546" s="147" t="inlineStr">
        <is>
          <t>FW-L2-TFN9P-XJ8A9</t>
        </is>
      </c>
      <c r="G546" s="39" t="inlineStr">
        <is>
          <t>Не использован</t>
        </is>
      </c>
      <c r="H546" s="148" t="n"/>
      <c r="I546" s="34" t="str"/>
      <c r="J546" s="34" t="str"/>
      <c r="K546" s="130" t="n">
        <v>142</v>
      </c>
      <c r="L546" s="43">
        <f>IF(COUNTIF($F$5:$F$2407,F546)=1,"OK","Дубликат")</f>
        <v/>
      </c>
    </row>
    <row r="547" ht="38" customHeight="1">
      <c r="A547" s="146" t="inlineStr">
        <is>
          <t>SUB-L2-08-12-15</t>
        </is>
      </c>
      <c r="B547" s="39" t="inlineStr">
        <is>
          <t>2 уровень</t>
        </is>
      </c>
      <c r="C547" s="34" t="inlineStr">
        <is>
          <t>Закрытые условия на абонементы</t>
        </is>
      </c>
      <c r="D547" s="34" t="inlineStr">
        <is>
          <t>Скидка 15% на абонемент 8 или 12 занятий</t>
        </is>
      </c>
      <c r="E547" s="34" t="inlineStr">
        <is>
          <t>При покупке абонемента на 8 или 12 занятий</t>
        </is>
      </c>
      <c r="F547" s="147" t="inlineStr">
        <is>
          <t>FW-L2-WNRX9-X7G27</t>
        </is>
      </c>
      <c r="G547" s="39" t="inlineStr">
        <is>
          <t>Не использован</t>
        </is>
      </c>
      <c r="H547" s="148" t="n"/>
      <c r="I547" s="34" t="str"/>
      <c r="J547" s="34" t="str"/>
      <c r="K547" s="130" t="n">
        <v>143</v>
      </c>
      <c r="L547" s="43">
        <f>IF(COUNTIF($F$5:$F$2407,F547)=1,"OK","Дубликат")</f>
        <v/>
      </c>
    </row>
    <row r="548" ht="38" customHeight="1">
      <c r="A548" s="146" t="inlineStr">
        <is>
          <t>SUB-L2-08-12-15</t>
        </is>
      </c>
      <c r="B548" s="39" t="inlineStr">
        <is>
          <t>2 уровень</t>
        </is>
      </c>
      <c r="C548" s="34" t="inlineStr">
        <is>
          <t>Закрытые условия на абонементы</t>
        </is>
      </c>
      <c r="D548" s="34" t="inlineStr">
        <is>
          <t>Скидка 15% на абонемент 8 или 12 занятий</t>
        </is>
      </c>
      <c r="E548" s="34" t="inlineStr">
        <is>
          <t>При покупке абонемента на 8 или 12 занятий</t>
        </is>
      </c>
      <c r="F548" s="147" t="inlineStr">
        <is>
          <t>FW-L2-AYCNV-SBLGS</t>
        </is>
      </c>
      <c r="G548" s="39" t="inlineStr">
        <is>
          <t>Не использован</t>
        </is>
      </c>
      <c r="H548" s="148" t="n"/>
      <c r="I548" s="34" t="str"/>
      <c r="J548" s="34" t="str"/>
      <c r="K548" s="130" t="n">
        <v>144</v>
      </c>
      <c r="L548" s="43">
        <f>IF(COUNTIF($F$5:$F$2407,F548)=1,"OK","Дубликат")</f>
        <v/>
      </c>
    </row>
    <row r="549" ht="38" customHeight="1">
      <c r="A549" s="146" t="inlineStr">
        <is>
          <t>SUB-L2-08-12-15</t>
        </is>
      </c>
      <c r="B549" s="39" t="inlineStr">
        <is>
          <t>2 уровень</t>
        </is>
      </c>
      <c r="C549" s="34" t="inlineStr">
        <is>
          <t>Закрытые условия на абонементы</t>
        </is>
      </c>
      <c r="D549" s="34" t="inlineStr">
        <is>
          <t>Скидка 15% на абонемент 8 или 12 занятий</t>
        </is>
      </c>
      <c r="E549" s="34" t="inlineStr">
        <is>
          <t>При покупке абонемента на 8 или 12 занятий</t>
        </is>
      </c>
      <c r="F549" s="147" t="inlineStr">
        <is>
          <t>FW-L2-58EFL-FF8V7</t>
        </is>
      </c>
      <c r="G549" s="39" t="inlineStr">
        <is>
          <t>Не использован</t>
        </is>
      </c>
      <c r="H549" s="148" t="n"/>
      <c r="I549" s="34" t="str"/>
      <c r="J549" s="34" t="str"/>
      <c r="K549" s="130" t="n">
        <v>145</v>
      </c>
      <c r="L549" s="43">
        <f>IF(COUNTIF($F$5:$F$2407,F549)=1,"OK","Дубликат")</f>
        <v/>
      </c>
    </row>
    <row r="550" ht="38" customHeight="1">
      <c r="A550" s="146" t="inlineStr">
        <is>
          <t>SUB-L2-08-12-15</t>
        </is>
      </c>
      <c r="B550" s="39" t="inlineStr">
        <is>
          <t>2 уровень</t>
        </is>
      </c>
      <c r="C550" s="34" t="inlineStr">
        <is>
          <t>Закрытые условия на абонементы</t>
        </is>
      </c>
      <c r="D550" s="34" t="inlineStr">
        <is>
          <t>Скидка 15% на абонемент 8 или 12 занятий</t>
        </is>
      </c>
      <c r="E550" s="34" t="inlineStr">
        <is>
          <t>При покупке абонемента на 8 или 12 занятий</t>
        </is>
      </c>
      <c r="F550" s="147" t="inlineStr">
        <is>
          <t>FW-L2-BXJVM-MNU2R</t>
        </is>
      </c>
      <c r="G550" s="39" t="inlineStr">
        <is>
          <t>Не использован</t>
        </is>
      </c>
      <c r="H550" s="148" t="n"/>
      <c r="I550" s="34" t="str"/>
      <c r="J550" s="34" t="str"/>
      <c r="K550" s="130" t="n">
        <v>146</v>
      </c>
      <c r="L550" s="43">
        <f>IF(COUNTIF($F$5:$F$2407,F550)=1,"OK","Дубликат")</f>
        <v/>
      </c>
    </row>
    <row r="551" ht="38" customHeight="1">
      <c r="A551" s="146" t="inlineStr">
        <is>
          <t>SUB-L2-08-12-15</t>
        </is>
      </c>
      <c r="B551" s="39" t="inlineStr">
        <is>
          <t>2 уровень</t>
        </is>
      </c>
      <c r="C551" s="34" t="inlineStr">
        <is>
          <t>Закрытые условия на абонементы</t>
        </is>
      </c>
      <c r="D551" s="34" t="inlineStr">
        <is>
          <t>Скидка 15% на абонемент 8 или 12 занятий</t>
        </is>
      </c>
      <c r="E551" s="34" t="inlineStr">
        <is>
          <t>При покупке абонемента на 8 или 12 занятий</t>
        </is>
      </c>
      <c r="F551" s="147" t="inlineStr">
        <is>
          <t>FW-L2-EFC4Z-HS222</t>
        </is>
      </c>
      <c r="G551" s="39" t="inlineStr">
        <is>
          <t>Не использован</t>
        </is>
      </c>
      <c r="H551" s="148" t="n"/>
      <c r="I551" s="34" t="str"/>
      <c r="J551" s="34" t="str"/>
      <c r="K551" s="130" t="n">
        <v>147</v>
      </c>
      <c r="L551" s="43">
        <f>IF(COUNTIF($F$5:$F$2407,F551)=1,"OK","Дубликат")</f>
        <v/>
      </c>
    </row>
    <row r="552" ht="38" customHeight="1">
      <c r="A552" s="146" t="inlineStr">
        <is>
          <t>SUB-L2-08-12-15</t>
        </is>
      </c>
      <c r="B552" s="39" t="inlineStr">
        <is>
          <t>2 уровень</t>
        </is>
      </c>
      <c r="C552" s="34" t="inlineStr">
        <is>
          <t>Закрытые условия на абонементы</t>
        </is>
      </c>
      <c r="D552" s="34" t="inlineStr">
        <is>
          <t>Скидка 15% на абонемент 8 или 12 занятий</t>
        </is>
      </c>
      <c r="E552" s="34" t="inlineStr">
        <is>
          <t>При покупке абонемента на 8 или 12 занятий</t>
        </is>
      </c>
      <c r="F552" s="147" t="inlineStr">
        <is>
          <t>FW-L2-PZZKR-4Y2NH</t>
        </is>
      </c>
      <c r="G552" s="39" t="inlineStr">
        <is>
          <t>Не использован</t>
        </is>
      </c>
      <c r="H552" s="148" t="n"/>
      <c r="I552" s="34" t="str"/>
      <c r="J552" s="34" t="str"/>
      <c r="K552" s="130" t="n">
        <v>148</v>
      </c>
      <c r="L552" s="43">
        <f>IF(COUNTIF($F$5:$F$2407,F552)=1,"OK","Дубликат")</f>
        <v/>
      </c>
    </row>
    <row r="553" ht="38" customHeight="1">
      <c r="A553" s="146" t="inlineStr">
        <is>
          <t>SUB-L2-08-12-15</t>
        </is>
      </c>
      <c r="B553" s="39" t="inlineStr">
        <is>
          <t>2 уровень</t>
        </is>
      </c>
      <c r="C553" s="34" t="inlineStr">
        <is>
          <t>Закрытые условия на абонементы</t>
        </is>
      </c>
      <c r="D553" s="34" t="inlineStr">
        <is>
          <t>Скидка 15% на абонемент 8 или 12 занятий</t>
        </is>
      </c>
      <c r="E553" s="34" t="inlineStr">
        <is>
          <t>При покупке абонемента на 8 или 12 занятий</t>
        </is>
      </c>
      <c r="F553" s="147" t="inlineStr">
        <is>
          <t>FW-L2-LWG8Q-SQHRJ</t>
        </is>
      </c>
      <c r="G553" s="39" t="inlineStr">
        <is>
          <t>Не использован</t>
        </is>
      </c>
      <c r="H553" s="148" t="n"/>
      <c r="I553" s="34" t="str"/>
      <c r="J553" s="34" t="str"/>
      <c r="K553" s="130" t="n">
        <v>149</v>
      </c>
      <c r="L553" s="43">
        <f>IF(COUNTIF($F$5:$F$2407,F553)=1,"OK","Дубликат")</f>
        <v/>
      </c>
    </row>
    <row r="554" ht="38" customHeight="1">
      <c r="A554" s="146" t="inlineStr">
        <is>
          <t>SUB-L2-08-12-15</t>
        </is>
      </c>
      <c r="B554" s="39" t="inlineStr">
        <is>
          <t>2 уровень</t>
        </is>
      </c>
      <c r="C554" s="34" t="inlineStr">
        <is>
          <t>Закрытые условия на абонементы</t>
        </is>
      </c>
      <c r="D554" s="34" t="inlineStr">
        <is>
          <t>Скидка 15% на абонемент 8 или 12 занятий</t>
        </is>
      </c>
      <c r="E554" s="34" t="inlineStr">
        <is>
          <t>При покупке абонемента на 8 или 12 занятий</t>
        </is>
      </c>
      <c r="F554" s="147" t="inlineStr">
        <is>
          <t>FW-L2-RRGA7-3ZUTG</t>
        </is>
      </c>
      <c r="G554" s="39" t="inlineStr">
        <is>
          <t>Не использован</t>
        </is>
      </c>
      <c r="H554" s="148" t="n"/>
      <c r="I554" s="34" t="str"/>
      <c r="J554" s="34" t="str"/>
      <c r="K554" s="130" t="n">
        <v>150</v>
      </c>
      <c r="L554" s="43">
        <f>IF(COUNTIF($F$5:$F$2407,F554)=1,"OK","Дубликат")</f>
        <v/>
      </c>
    </row>
    <row r="555" ht="38" customHeight="1">
      <c r="A555" s="146" t="inlineStr">
        <is>
          <t>SUB-L2-08-12-15</t>
        </is>
      </c>
      <c r="B555" s="39" t="inlineStr">
        <is>
          <t>2 уровень</t>
        </is>
      </c>
      <c r="C555" s="34" t="inlineStr">
        <is>
          <t>Закрытые условия на абонементы</t>
        </is>
      </c>
      <c r="D555" s="34" t="inlineStr">
        <is>
          <t>Скидка 15% на абонемент 8 или 12 занятий</t>
        </is>
      </c>
      <c r="E555" s="34" t="inlineStr">
        <is>
          <t>При покупке абонемента на 8 или 12 занятий</t>
        </is>
      </c>
      <c r="F555" s="147" t="inlineStr">
        <is>
          <t>FW-L2-PD9TU-EGJX5</t>
        </is>
      </c>
      <c r="G555" s="39" t="inlineStr">
        <is>
          <t>Не использован</t>
        </is>
      </c>
      <c r="H555" s="148" t="n"/>
      <c r="I555" s="34" t="str"/>
      <c r="J555" s="34" t="str"/>
      <c r="K555" s="130" t="n">
        <v>151</v>
      </c>
      <c r="L555" s="43">
        <f>IF(COUNTIF($F$5:$F$2407,F555)=1,"OK","Дубликат")</f>
        <v/>
      </c>
    </row>
    <row r="556" ht="38" customHeight="1">
      <c r="A556" s="146" t="inlineStr">
        <is>
          <t>SUB-L2-08-12-15</t>
        </is>
      </c>
      <c r="B556" s="39" t="inlineStr">
        <is>
          <t>2 уровень</t>
        </is>
      </c>
      <c r="C556" s="34" t="inlineStr">
        <is>
          <t>Закрытые условия на абонементы</t>
        </is>
      </c>
      <c r="D556" s="34" t="inlineStr">
        <is>
          <t>Скидка 15% на абонемент 8 или 12 занятий</t>
        </is>
      </c>
      <c r="E556" s="34" t="inlineStr">
        <is>
          <t>При покупке абонемента на 8 или 12 занятий</t>
        </is>
      </c>
      <c r="F556" s="147" t="inlineStr">
        <is>
          <t>FW-L2-GLX5T-E8MCJ</t>
        </is>
      </c>
      <c r="G556" s="39" t="inlineStr">
        <is>
          <t>Не использован</t>
        </is>
      </c>
      <c r="H556" s="148" t="n"/>
      <c r="I556" s="34" t="str"/>
      <c r="J556" s="34" t="str"/>
      <c r="K556" s="130" t="n">
        <v>152</v>
      </c>
      <c r="L556" s="43">
        <f>IF(COUNTIF($F$5:$F$2407,F556)=1,"OK","Дубликат")</f>
        <v/>
      </c>
    </row>
    <row r="557" ht="38" customHeight="1">
      <c r="A557" s="146" t="inlineStr">
        <is>
          <t>SUB-L2-08-12-15</t>
        </is>
      </c>
      <c r="B557" s="39" t="inlineStr">
        <is>
          <t>2 уровень</t>
        </is>
      </c>
      <c r="C557" s="34" t="inlineStr">
        <is>
          <t>Закрытые условия на абонементы</t>
        </is>
      </c>
      <c r="D557" s="34" t="inlineStr">
        <is>
          <t>Скидка 15% на абонемент 8 или 12 занятий</t>
        </is>
      </c>
      <c r="E557" s="34" t="inlineStr">
        <is>
          <t>При покупке абонемента на 8 или 12 занятий</t>
        </is>
      </c>
      <c r="F557" s="147" t="inlineStr">
        <is>
          <t>FW-L2-8KPG7-LBVR6</t>
        </is>
      </c>
      <c r="G557" s="39" t="inlineStr">
        <is>
          <t>Не использован</t>
        </is>
      </c>
      <c r="H557" s="148" t="n"/>
      <c r="I557" s="34" t="str"/>
      <c r="J557" s="34" t="str"/>
      <c r="K557" s="130" t="n">
        <v>153</v>
      </c>
      <c r="L557" s="43">
        <f>IF(COUNTIF($F$5:$F$2407,F557)=1,"OK","Дубликат")</f>
        <v/>
      </c>
    </row>
    <row r="558" ht="38" customHeight="1">
      <c r="A558" s="146" t="inlineStr">
        <is>
          <t>SUB-L2-08-12-15</t>
        </is>
      </c>
      <c r="B558" s="39" t="inlineStr">
        <is>
          <t>2 уровень</t>
        </is>
      </c>
      <c r="C558" s="34" t="inlineStr">
        <is>
          <t>Закрытые условия на абонементы</t>
        </is>
      </c>
      <c r="D558" s="34" t="inlineStr">
        <is>
          <t>Скидка 15% на абонемент 8 или 12 занятий</t>
        </is>
      </c>
      <c r="E558" s="34" t="inlineStr">
        <is>
          <t>При покупке абонемента на 8 или 12 занятий</t>
        </is>
      </c>
      <c r="F558" s="147" t="inlineStr">
        <is>
          <t>FW-L2-8FV8R-KWMK7</t>
        </is>
      </c>
      <c r="G558" s="39" t="inlineStr">
        <is>
          <t>Не использован</t>
        </is>
      </c>
      <c r="H558" s="148" t="n"/>
      <c r="I558" s="34" t="str"/>
      <c r="J558" s="34" t="str"/>
      <c r="K558" s="130" t="n">
        <v>154</v>
      </c>
      <c r="L558" s="43">
        <f>IF(COUNTIF($F$5:$F$2407,F558)=1,"OK","Дубликат")</f>
        <v/>
      </c>
    </row>
    <row r="559" ht="38" customHeight="1">
      <c r="A559" s="146" t="inlineStr">
        <is>
          <t>SUB-L2-08-12-15</t>
        </is>
      </c>
      <c r="B559" s="39" t="inlineStr">
        <is>
          <t>2 уровень</t>
        </is>
      </c>
      <c r="C559" s="34" t="inlineStr">
        <is>
          <t>Закрытые условия на абонементы</t>
        </is>
      </c>
      <c r="D559" s="34" t="inlineStr">
        <is>
          <t>Скидка 15% на абонемент 8 или 12 занятий</t>
        </is>
      </c>
      <c r="E559" s="34" t="inlineStr">
        <is>
          <t>При покупке абонемента на 8 или 12 занятий</t>
        </is>
      </c>
      <c r="F559" s="147" t="inlineStr">
        <is>
          <t>FW-L2-YSQA6-72RKN</t>
        </is>
      </c>
      <c r="G559" s="39" t="inlineStr">
        <is>
          <t>Не использован</t>
        </is>
      </c>
      <c r="H559" s="148" t="n"/>
      <c r="I559" s="34" t="str"/>
      <c r="J559" s="34" t="str"/>
      <c r="K559" s="130" t="n">
        <v>155</v>
      </c>
      <c r="L559" s="43">
        <f>IF(COUNTIF($F$5:$F$2407,F559)=1,"OK","Дубликат")</f>
        <v/>
      </c>
    </row>
    <row r="560" ht="38" customHeight="1">
      <c r="A560" s="146" t="inlineStr">
        <is>
          <t>SUB-L2-08-12-15</t>
        </is>
      </c>
      <c r="B560" s="39" t="inlineStr">
        <is>
          <t>2 уровень</t>
        </is>
      </c>
      <c r="C560" s="34" t="inlineStr">
        <is>
          <t>Закрытые условия на абонементы</t>
        </is>
      </c>
      <c r="D560" s="34" t="inlineStr">
        <is>
          <t>Скидка 15% на абонемент 8 или 12 занятий</t>
        </is>
      </c>
      <c r="E560" s="34" t="inlineStr">
        <is>
          <t>При покупке абонемента на 8 или 12 занятий</t>
        </is>
      </c>
      <c r="F560" s="147" t="inlineStr">
        <is>
          <t>FW-L2-RL78Q-MWB2A</t>
        </is>
      </c>
      <c r="G560" s="39" t="inlineStr">
        <is>
          <t>Не использован</t>
        </is>
      </c>
      <c r="H560" s="148" t="n"/>
      <c r="I560" s="34" t="str"/>
      <c r="J560" s="34" t="str"/>
      <c r="K560" s="130" t="n">
        <v>156</v>
      </c>
      <c r="L560" s="43">
        <f>IF(COUNTIF($F$5:$F$2407,F560)=1,"OK","Дубликат")</f>
        <v/>
      </c>
    </row>
    <row r="561" ht="38" customHeight="1">
      <c r="A561" s="146" t="inlineStr">
        <is>
          <t>SUB-L2-08-12-15</t>
        </is>
      </c>
      <c r="B561" s="39" t="inlineStr">
        <is>
          <t>2 уровень</t>
        </is>
      </c>
      <c r="C561" s="34" t="inlineStr">
        <is>
          <t>Закрытые условия на абонементы</t>
        </is>
      </c>
      <c r="D561" s="34" t="inlineStr">
        <is>
          <t>Скидка 15% на абонемент 8 или 12 занятий</t>
        </is>
      </c>
      <c r="E561" s="34" t="inlineStr">
        <is>
          <t>При покупке абонемента на 8 или 12 занятий</t>
        </is>
      </c>
      <c r="F561" s="147" t="inlineStr">
        <is>
          <t>FW-L2-4ZPZU-PY3FH</t>
        </is>
      </c>
      <c r="G561" s="39" t="inlineStr">
        <is>
          <t>Не использован</t>
        </is>
      </c>
      <c r="H561" s="148" t="n"/>
      <c r="I561" s="34" t="str"/>
      <c r="J561" s="34" t="str"/>
      <c r="K561" s="130" t="n">
        <v>157</v>
      </c>
      <c r="L561" s="43">
        <f>IF(COUNTIF($F$5:$F$2407,F561)=1,"OK","Дубликат")</f>
        <v/>
      </c>
    </row>
    <row r="562" ht="38" customHeight="1">
      <c r="A562" s="146" t="inlineStr">
        <is>
          <t>SUB-L2-08-12-15</t>
        </is>
      </c>
      <c r="B562" s="39" t="inlineStr">
        <is>
          <t>2 уровень</t>
        </is>
      </c>
      <c r="C562" s="34" t="inlineStr">
        <is>
          <t>Закрытые условия на абонементы</t>
        </is>
      </c>
      <c r="D562" s="34" t="inlineStr">
        <is>
          <t>Скидка 15% на абонемент 8 или 12 занятий</t>
        </is>
      </c>
      <c r="E562" s="34" t="inlineStr">
        <is>
          <t>При покупке абонемента на 8 или 12 занятий</t>
        </is>
      </c>
      <c r="F562" s="147" t="inlineStr">
        <is>
          <t>FW-L2-MP7WF-9BGSQ</t>
        </is>
      </c>
      <c r="G562" s="39" t="inlineStr">
        <is>
          <t>Не использован</t>
        </is>
      </c>
      <c r="H562" s="148" t="n"/>
      <c r="I562" s="34" t="str"/>
      <c r="J562" s="34" t="str"/>
      <c r="K562" s="130" t="n">
        <v>158</v>
      </c>
      <c r="L562" s="43">
        <f>IF(COUNTIF($F$5:$F$2407,F562)=1,"OK","Дубликат")</f>
        <v/>
      </c>
    </row>
    <row r="563" ht="38" customHeight="1">
      <c r="A563" s="146" t="inlineStr">
        <is>
          <t>SUB-L2-08-12-15</t>
        </is>
      </c>
      <c r="B563" s="39" t="inlineStr">
        <is>
          <t>2 уровень</t>
        </is>
      </c>
      <c r="C563" s="34" t="inlineStr">
        <is>
          <t>Закрытые условия на абонементы</t>
        </is>
      </c>
      <c r="D563" s="34" t="inlineStr">
        <is>
          <t>Скидка 15% на абонемент 8 или 12 занятий</t>
        </is>
      </c>
      <c r="E563" s="34" t="inlineStr">
        <is>
          <t>При покупке абонемента на 8 или 12 занятий</t>
        </is>
      </c>
      <c r="F563" s="147" t="inlineStr">
        <is>
          <t>FW-L2-GG5UR-89NC8</t>
        </is>
      </c>
      <c r="G563" s="39" t="inlineStr">
        <is>
          <t>Не использован</t>
        </is>
      </c>
      <c r="H563" s="148" t="n"/>
      <c r="I563" s="34" t="str"/>
      <c r="J563" s="34" t="str"/>
      <c r="K563" s="130" t="n">
        <v>159</v>
      </c>
      <c r="L563" s="43">
        <f>IF(COUNTIF($F$5:$F$2407,F563)=1,"OK","Дубликат")</f>
        <v/>
      </c>
    </row>
    <row r="564" ht="38" customHeight="1">
      <c r="A564" s="146" t="inlineStr">
        <is>
          <t>SUB-L2-08-12-15</t>
        </is>
      </c>
      <c r="B564" s="39" t="inlineStr">
        <is>
          <t>2 уровень</t>
        </is>
      </c>
      <c r="C564" s="34" t="inlineStr">
        <is>
          <t>Закрытые условия на абонементы</t>
        </is>
      </c>
      <c r="D564" s="34" t="inlineStr">
        <is>
          <t>Скидка 15% на абонемент 8 или 12 занятий</t>
        </is>
      </c>
      <c r="E564" s="34" t="inlineStr">
        <is>
          <t>При покупке абонемента на 8 или 12 занятий</t>
        </is>
      </c>
      <c r="F564" s="147" t="inlineStr">
        <is>
          <t>FW-L2-MBHBS-Y4CM3</t>
        </is>
      </c>
      <c r="G564" s="39" t="inlineStr">
        <is>
          <t>Не использован</t>
        </is>
      </c>
      <c r="H564" s="148" t="n"/>
      <c r="I564" s="34" t="str"/>
      <c r="J564" s="34" t="str"/>
      <c r="K564" s="130" t="n">
        <v>160</v>
      </c>
      <c r="L564" s="43">
        <f>IF(COUNTIF($F$5:$F$2407,F564)=1,"OK","Дубликат")</f>
        <v/>
      </c>
    </row>
    <row r="565" ht="38" customHeight="1">
      <c r="A565" s="146" t="inlineStr">
        <is>
          <t>SUB-L2-08-12-15</t>
        </is>
      </c>
      <c r="B565" s="39" t="inlineStr">
        <is>
          <t>2 уровень</t>
        </is>
      </c>
      <c r="C565" s="34" t="inlineStr">
        <is>
          <t>Закрытые условия на абонементы</t>
        </is>
      </c>
      <c r="D565" s="34" t="inlineStr">
        <is>
          <t>Скидка 15% на абонемент 8 или 12 занятий</t>
        </is>
      </c>
      <c r="E565" s="34" t="inlineStr">
        <is>
          <t>При покупке абонемента на 8 или 12 занятий</t>
        </is>
      </c>
      <c r="F565" s="147" t="inlineStr">
        <is>
          <t>FW-L2-XZMUJ-GU4F7</t>
        </is>
      </c>
      <c r="G565" s="39" t="inlineStr">
        <is>
          <t>Не использован</t>
        </is>
      </c>
      <c r="H565" s="148" t="n"/>
      <c r="I565" s="34" t="str"/>
      <c r="J565" s="34" t="str"/>
      <c r="K565" s="130" t="n">
        <v>161</v>
      </c>
      <c r="L565" s="43">
        <f>IF(COUNTIF($F$5:$F$2407,F565)=1,"OK","Дубликат")</f>
        <v/>
      </c>
    </row>
    <row r="566" ht="38" customHeight="1">
      <c r="A566" s="146" t="inlineStr">
        <is>
          <t>SUB-L2-08-12-15</t>
        </is>
      </c>
      <c r="B566" s="39" t="inlineStr">
        <is>
          <t>2 уровень</t>
        </is>
      </c>
      <c r="C566" s="34" t="inlineStr">
        <is>
          <t>Закрытые условия на абонементы</t>
        </is>
      </c>
      <c r="D566" s="34" t="inlineStr">
        <is>
          <t>Скидка 15% на абонемент 8 или 12 занятий</t>
        </is>
      </c>
      <c r="E566" s="34" t="inlineStr">
        <is>
          <t>При покупке абонемента на 8 или 12 занятий</t>
        </is>
      </c>
      <c r="F566" s="147" t="inlineStr">
        <is>
          <t>FW-L2-B738E-6GWBM</t>
        </is>
      </c>
      <c r="G566" s="39" t="inlineStr">
        <is>
          <t>Не использован</t>
        </is>
      </c>
      <c r="H566" s="148" t="n"/>
      <c r="I566" s="34" t="str"/>
      <c r="J566" s="34" t="str"/>
      <c r="K566" s="130" t="n">
        <v>162</v>
      </c>
      <c r="L566" s="43">
        <f>IF(COUNTIF($F$5:$F$2407,F566)=1,"OK","Дубликат")</f>
        <v/>
      </c>
    </row>
    <row r="567" ht="38" customHeight="1">
      <c r="A567" s="146" t="inlineStr">
        <is>
          <t>SUB-L2-08-12-15</t>
        </is>
      </c>
      <c r="B567" s="39" t="inlineStr">
        <is>
          <t>2 уровень</t>
        </is>
      </c>
      <c r="C567" s="34" t="inlineStr">
        <is>
          <t>Закрытые условия на абонементы</t>
        </is>
      </c>
      <c r="D567" s="34" t="inlineStr">
        <is>
          <t>Скидка 15% на абонемент 8 или 12 занятий</t>
        </is>
      </c>
      <c r="E567" s="34" t="inlineStr">
        <is>
          <t>При покупке абонемента на 8 или 12 занятий</t>
        </is>
      </c>
      <c r="F567" s="147" t="inlineStr">
        <is>
          <t>FW-L2-CKYLQ-DBNM4</t>
        </is>
      </c>
      <c r="G567" s="39" t="inlineStr">
        <is>
          <t>Не использован</t>
        </is>
      </c>
      <c r="H567" s="148" t="n"/>
      <c r="I567" s="34" t="str"/>
      <c r="J567" s="34" t="str"/>
      <c r="K567" s="130" t="n">
        <v>163</v>
      </c>
      <c r="L567" s="43">
        <f>IF(COUNTIF($F$5:$F$2407,F567)=1,"OK","Дубликат")</f>
        <v/>
      </c>
    </row>
    <row r="568" ht="38" customHeight="1">
      <c r="A568" s="146" t="inlineStr">
        <is>
          <t>SUB-L2-08-12-15</t>
        </is>
      </c>
      <c r="B568" s="39" t="inlineStr">
        <is>
          <t>2 уровень</t>
        </is>
      </c>
      <c r="C568" s="34" t="inlineStr">
        <is>
          <t>Закрытые условия на абонементы</t>
        </is>
      </c>
      <c r="D568" s="34" t="inlineStr">
        <is>
          <t>Скидка 15% на абонемент 8 или 12 занятий</t>
        </is>
      </c>
      <c r="E568" s="34" t="inlineStr">
        <is>
          <t>При покупке абонемента на 8 или 12 занятий</t>
        </is>
      </c>
      <c r="F568" s="147" t="inlineStr">
        <is>
          <t>FW-L2-YYNJL-89M7L</t>
        </is>
      </c>
      <c r="G568" s="39" t="inlineStr">
        <is>
          <t>Не использован</t>
        </is>
      </c>
      <c r="H568" s="148" t="n"/>
      <c r="I568" s="34" t="str"/>
      <c r="J568" s="34" t="str"/>
      <c r="K568" s="130" t="n">
        <v>164</v>
      </c>
      <c r="L568" s="43">
        <f>IF(COUNTIF($F$5:$F$2407,F568)=1,"OK","Дубликат")</f>
        <v/>
      </c>
    </row>
    <row r="569" ht="38" customHeight="1">
      <c r="A569" s="146" t="inlineStr">
        <is>
          <t>SUB-L2-08-12-15</t>
        </is>
      </c>
      <c r="B569" s="39" t="inlineStr">
        <is>
          <t>2 уровень</t>
        </is>
      </c>
      <c r="C569" s="34" t="inlineStr">
        <is>
          <t>Закрытые условия на абонементы</t>
        </is>
      </c>
      <c r="D569" s="34" t="inlineStr">
        <is>
          <t>Скидка 15% на абонемент 8 или 12 занятий</t>
        </is>
      </c>
      <c r="E569" s="34" t="inlineStr">
        <is>
          <t>При покупке абонемента на 8 или 12 занятий</t>
        </is>
      </c>
      <c r="F569" s="147" t="inlineStr">
        <is>
          <t>FW-L2-VLJHV-JRAMS</t>
        </is>
      </c>
      <c r="G569" s="39" t="inlineStr">
        <is>
          <t>Не использован</t>
        </is>
      </c>
      <c r="H569" s="148" t="n"/>
      <c r="I569" s="34" t="str"/>
      <c r="J569" s="34" t="str"/>
      <c r="K569" s="130" t="n">
        <v>165</v>
      </c>
      <c r="L569" s="43">
        <f>IF(COUNTIF($F$5:$F$2407,F569)=1,"OK","Дубликат")</f>
        <v/>
      </c>
    </row>
    <row r="570" ht="38" customHeight="1">
      <c r="A570" s="146" t="inlineStr">
        <is>
          <t>SUB-L2-08-12-15</t>
        </is>
      </c>
      <c r="B570" s="39" t="inlineStr">
        <is>
          <t>2 уровень</t>
        </is>
      </c>
      <c r="C570" s="34" t="inlineStr">
        <is>
          <t>Закрытые условия на абонементы</t>
        </is>
      </c>
      <c r="D570" s="34" t="inlineStr">
        <is>
          <t>Скидка 15% на абонемент 8 или 12 занятий</t>
        </is>
      </c>
      <c r="E570" s="34" t="inlineStr">
        <is>
          <t>При покупке абонемента на 8 или 12 занятий</t>
        </is>
      </c>
      <c r="F570" s="147" t="inlineStr">
        <is>
          <t>FW-L2-HGBZ3-NAX8N</t>
        </is>
      </c>
      <c r="G570" s="39" t="inlineStr">
        <is>
          <t>Не использован</t>
        </is>
      </c>
      <c r="H570" s="148" t="n"/>
      <c r="I570" s="34" t="str"/>
      <c r="J570" s="34" t="str"/>
      <c r="K570" s="130" t="n">
        <v>166</v>
      </c>
      <c r="L570" s="43">
        <f>IF(COUNTIF($F$5:$F$2407,F570)=1,"OK","Дубликат")</f>
        <v/>
      </c>
    </row>
    <row r="571" ht="38" customHeight="1">
      <c r="A571" s="146" t="inlineStr">
        <is>
          <t>SUB-L2-08-12-15</t>
        </is>
      </c>
      <c r="B571" s="39" t="inlineStr">
        <is>
          <t>2 уровень</t>
        </is>
      </c>
      <c r="C571" s="34" t="inlineStr">
        <is>
          <t>Закрытые условия на абонементы</t>
        </is>
      </c>
      <c r="D571" s="34" t="inlineStr">
        <is>
          <t>Скидка 15% на абонемент 8 или 12 занятий</t>
        </is>
      </c>
      <c r="E571" s="34" t="inlineStr">
        <is>
          <t>При покупке абонемента на 8 или 12 занятий</t>
        </is>
      </c>
      <c r="F571" s="147" t="inlineStr">
        <is>
          <t>FW-L2-ED9FW-38BLF</t>
        </is>
      </c>
      <c r="G571" s="39" t="inlineStr">
        <is>
          <t>Не использован</t>
        </is>
      </c>
      <c r="H571" s="148" t="n"/>
      <c r="I571" s="34" t="str"/>
      <c r="J571" s="34" t="str"/>
      <c r="K571" s="130" t="n">
        <v>167</v>
      </c>
      <c r="L571" s="43">
        <f>IF(COUNTIF($F$5:$F$2407,F571)=1,"OK","Дубликат")</f>
        <v/>
      </c>
    </row>
    <row r="572" ht="38" customHeight="1">
      <c r="A572" s="146" t="inlineStr">
        <is>
          <t>SUB-L2-08-12-15</t>
        </is>
      </c>
      <c r="B572" s="39" t="inlineStr">
        <is>
          <t>2 уровень</t>
        </is>
      </c>
      <c r="C572" s="34" t="inlineStr">
        <is>
          <t>Закрытые условия на абонементы</t>
        </is>
      </c>
      <c r="D572" s="34" t="inlineStr">
        <is>
          <t>Скидка 15% на абонемент 8 или 12 занятий</t>
        </is>
      </c>
      <c r="E572" s="34" t="inlineStr">
        <is>
          <t>При покупке абонемента на 8 или 12 занятий</t>
        </is>
      </c>
      <c r="F572" s="147" t="inlineStr">
        <is>
          <t>FW-L2-FD8PS-7B868</t>
        </is>
      </c>
      <c r="G572" s="39" t="inlineStr">
        <is>
          <t>Не использован</t>
        </is>
      </c>
      <c r="H572" s="148" t="n"/>
      <c r="I572" s="34" t="str"/>
      <c r="J572" s="34" t="str"/>
      <c r="K572" s="130" t="n">
        <v>168</v>
      </c>
      <c r="L572" s="43">
        <f>IF(COUNTIF($F$5:$F$2407,F572)=1,"OK","Дубликат")</f>
        <v/>
      </c>
    </row>
    <row r="573" ht="38" customHeight="1">
      <c r="A573" s="146" t="inlineStr">
        <is>
          <t>SUB-L2-08-12-15</t>
        </is>
      </c>
      <c r="B573" s="39" t="inlineStr">
        <is>
          <t>2 уровень</t>
        </is>
      </c>
      <c r="C573" s="34" t="inlineStr">
        <is>
          <t>Закрытые условия на абонементы</t>
        </is>
      </c>
      <c r="D573" s="34" t="inlineStr">
        <is>
          <t>Скидка 15% на абонемент 8 или 12 занятий</t>
        </is>
      </c>
      <c r="E573" s="34" t="inlineStr">
        <is>
          <t>При покупке абонемента на 8 или 12 занятий</t>
        </is>
      </c>
      <c r="F573" s="147" t="inlineStr">
        <is>
          <t>FW-L2-8XVH3-9JGVC</t>
        </is>
      </c>
      <c r="G573" s="39" t="inlineStr">
        <is>
          <t>Не использован</t>
        </is>
      </c>
      <c r="H573" s="148" t="n"/>
      <c r="I573" s="34" t="str"/>
      <c r="J573" s="34" t="str"/>
      <c r="K573" s="130" t="n">
        <v>169</v>
      </c>
      <c r="L573" s="43">
        <f>IF(COUNTIF($F$5:$F$2407,F573)=1,"OK","Дубликат")</f>
        <v/>
      </c>
    </row>
    <row r="574" ht="38" customHeight="1">
      <c r="A574" s="146" t="inlineStr">
        <is>
          <t>SUB-L2-08-12-15</t>
        </is>
      </c>
      <c r="B574" s="39" t="inlineStr">
        <is>
          <t>2 уровень</t>
        </is>
      </c>
      <c r="C574" s="34" t="inlineStr">
        <is>
          <t>Закрытые условия на абонементы</t>
        </is>
      </c>
      <c r="D574" s="34" t="inlineStr">
        <is>
          <t>Скидка 15% на абонемент 8 или 12 занятий</t>
        </is>
      </c>
      <c r="E574" s="34" t="inlineStr">
        <is>
          <t>При покупке абонемента на 8 или 12 занятий</t>
        </is>
      </c>
      <c r="F574" s="147" t="inlineStr">
        <is>
          <t>FW-L2-M6DMH-JRY3M</t>
        </is>
      </c>
      <c r="G574" s="39" t="inlineStr">
        <is>
          <t>Не использован</t>
        </is>
      </c>
      <c r="H574" s="148" t="n"/>
      <c r="I574" s="34" t="str"/>
      <c r="J574" s="34" t="str"/>
      <c r="K574" s="130" t="n">
        <v>170</v>
      </c>
      <c r="L574" s="43">
        <f>IF(COUNTIF($F$5:$F$2407,F574)=1,"OK","Дубликат")</f>
        <v/>
      </c>
    </row>
    <row r="575" ht="38" customHeight="1">
      <c r="A575" s="146" t="inlineStr">
        <is>
          <t>SUB-L2-08-12-15</t>
        </is>
      </c>
      <c r="B575" s="39" t="inlineStr">
        <is>
          <t>2 уровень</t>
        </is>
      </c>
      <c r="C575" s="34" t="inlineStr">
        <is>
          <t>Закрытые условия на абонементы</t>
        </is>
      </c>
      <c r="D575" s="34" t="inlineStr">
        <is>
          <t>Скидка 15% на абонемент 8 или 12 занятий</t>
        </is>
      </c>
      <c r="E575" s="34" t="inlineStr">
        <is>
          <t>При покупке абонемента на 8 или 12 занятий</t>
        </is>
      </c>
      <c r="F575" s="147" t="inlineStr">
        <is>
          <t>FW-L2-KZJ5F-U8J4F</t>
        </is>
      </c>
      <c r="G575" s="39" t="inlineStr">
        <is>
          <t>Не использован</t>
        </is>
      </c>
      <c r="H575" s="148" t="n"/>
      <c r="I575" s="34" t="str"/>
      <c r="J575" s="34" t="str"/>
      <c r="K575" s="130" t="n">
        <v>171</v>
      </c>
      <c r="L575" s="43">
        <f>IF(COUNTIF($F$5:$F$2407,F575)=1,"OK","Дубликат")</f>
        <v/>
      </c>
    </row>
    <row r="576" ht="38" customHeight="1">
      <c r="A576" s="146" t="inlineStr">
        <is>
          <t>SUB-L2-08-12-15</t>
        </is>
      </c>
      <c r="B576" s="39" t="inlineStr">
        <is>
          <t>2 уровень</t>
        </is>
      </c>
      <c r="C576" s="34" t="inlineStr">
        <is>
          <t>Закрытые условия на абонементы</t>
        </is>
      </c>
      <c r="D576" s="34" t="inlineStr">
        <is>
          <t>Скидка 15% на абонемент 8 или 12 занятий</t>
        </is>
      </c>
      <c r="E576" s="34" t="inlineStr">
        <is>
          <t>При покупке абонемента на 8 или 12 занятий</t>
        </is>
      </c>
      <c r="F576" s="147" t="inlineStr">
        <is>
          <t>FW-L2-Z967L-RDA3R</t>
        </is>
      </c>
      <c r="G576" s="39" t="inlineStr">
        <is>
          <t>Не использован</t>
        </is>
      </c>
      <c r="H576" s="148" t="n"/>
      <c r="I576" s="34" t="str"/>
      <c r="J576" s="34" t="str"/>
      <c r="K576" s="130" t="n">
        <v>172</v>
      </c>
      <c r="L576" s="43">
        <f>IF(COUNTIF($F$5:$F$2407,F576)=1,"OK","Дубликат")</f>
        <v/>
      </c>
    </row>
    <row r="577" ht="38" customHeight="1">
      <c r="A577" s="146" t="inlineStr">
        <is>
          <t>SUB-L2-08-12-15</t>
        </is>
      </c>
      <c r="B577" s="39" t="inlineStr">
        <is>
          <t>2 уровень</t>
        </is>
      </c>
      <c r="C577" s="34" t="inlineStr">
        <is>
          <t>Закрытые условия на абонементы</t>
        </is>
      </c>
      <c r="D577" s="34" t="inlineStr">
        <is>
          <t>Скидка 15% на абонемент 8 или 12 занятий</t>
        </is>
      </c>
      <c r="E577" s="34" t="inlineStr">
        <is>
          <t>При покупке абонемента на 8 или 12 занятий</t>
        </is>
      </c>
      <c r="F577" s="147" t="inlineStr">
        <is>
          <t>FW-L2-D8TTQ-QCYUB</t>
        </is>
      </c>
      <c r="G577" s="39" t="inlineStr">
        <is>
          <t>Не использован</t>
        </is>
      </c>
      <c r="H577" s="148" t="n"/>
      <c r="I577" s="34" t="str"/>
      <c r="J577" s="34" t="str"/>
      <c r="K577" s="130" t="n">
        <v>173</v>
      </c>
      <c r="L577" s="43">
        <f>IF(COUNTIF($F$5:$F$2407,F577)=1,"OK","Дубликат")</f>
        <v/>
      </c>
    </row>
    <row r="578" ht="38" customHeight="1">
      <c r="A578" s="146" t="inlineStr">
        <is>
          <t>SUB-L2-08-12-15</t>
        </is>
      </c>
      <c r="B578" s="39" t="inlineStr">
        <is>
          <t>2 уровень</t>
        </is>
      </c>
      <c r="C578" s="34" t="inlineStr">
        <is>
          <t>Закрытые условия на абонементы</t>
        </is>
      </c>
      <c r="D578" s="34" t="inlineStr">
        <is>
          <t>Скидка 15% на абонемент 8 или 12 занятий</t>
        </is>
      </c>
      <c r="E578" s="34" t="inlineStr">
        <is>
          <t>При покупке абонемента на 8 или 12 занятий</t>
        </is>
      </c>
      <c r="F578" s="147" t="inlineStr">
        <is>
          <t>FW-L2-5BTQ4-786DY</t>
        </is>
      </c>
      <c r="G578" s="39" t="inlineStr">
        <is>
          <t>Не использован</t>
        </is>
      </c>
      <c r="H578" s="148" t="n"/>
      <c r="I578" s="34" t="str"/>
      <c r="J578" s="34" t="str"/>
      <c r="K578" s="130" t="n">
        <v>174</v>
      </c>
      <c r="L578" s="43">
        <f>IF(COUNTIF($F$5:$F$2407,F578)=1,"OK","Дубликат")</f>
        <v/>
      </c>
    </row>
    <row r="579" ht="38" customHeight="1">
      <c r="A579" s="146" t="inlineStr">
        <is>
          <t>SUB-L2-08-12-15</t>
        </is>
      </c>
      <c r="B579" s="39" t="inlineStr">
        <is>
          <t>2 уровень</t>
        </is>
      </c>
      <c r="C579" s="34" t="inlineStr">
        <is>
          <t>Закрытые условия на абонементы</t>
        </is>
      </c>
      <c r="D579" s="34" t="inlineStr">
        <is>
          <t>Скидка 15% на абонемент 8 или 12 занятий</t>
        </is>
      </c>
      <c r="E579" s="34" t="inlineStr">
        <is>
          <t>При покупке абонемента на 8 или 12 занятий</t>
        </is>
      </c>
      <c r="F579" s="147" t="inlineStr">
        <is>
          <t>FW-L2-2LWPM-XP5YC</t>
        </is>
      </c>
      <c r="G579" s="39" t="inlineStr">
        <is>
          <t>Не использован</t>
        </is>
      </c>
      <c r="H579" s="148" t="n"/>
      <c r="I579" s="34" t="str"/>
      <c r="J579" s="34" t="str"/>
      <c r="K579" s="130" t="n">
        <v>175</v>
      </c>
      <c r="L579" s="43">
        <f>IF(COUNTIF($F$5:$F$2407,F579)=1,"OK","Дубликат")</f>
        <v/>
      </c>
    </row>
    <row r="580" ht="38" customHeight="1">
      <c r="A580" s="146" t="inlineStr">
        <is>
          <t>SUB-L2-08-12-15</t>
        </is>
      </c>
      <c r="B580" s="39" t="inlineStr">
        <is>
          <t>2 уровень</t>
        </is>
      </c>
      <c r="C580" s="34" t="inlineStr">
        <is>
          <t>Закрытые условия на абонементы</t>
        </is>
      </c>
      <c r="D580" s="34" t="inlineStr">
        <is>
          <t>Скидка 15% на абонемент 8 или 12 занятий</t>
        </is>
      </c>
      <c r="E580" s="34" t="inlineStr">
        <is>
          <t>При покупке абонемента на 8 или 12 занятий</t>
        </is>
      </c>
      <c r="F580" s="147" t="inlineStr">
        <is>
          <t>FW-L2-4985R-WXDXB</t>
        </is>
      </c>
      <c r="G580" s="39" t="inlineStr">
        <is>
          <t>Не использован</t>
        </is>
      </c>
      <c r="H580" s="148" t="n"/>
      <c r="I580" s="34" t="str"/>
      <c r="J580" s="34" t="str"/>
      <c r="K580" s="130" t="n">
        <v>176</v>
      </c>
      <c r="L580" s="43">
        <f>IF(COUNTIF($F$5:$F$2407,F580)=1,"OK","Дубликат")</f>
        <v/>
      </c>
    </row>
    <row r="581" ht="38" customHeight="1">
      <c r="A581" s="146" t="inlineStr">
        <is>
          <t>SUB-L2-08-12-15</t>
        </is>
      </c>
      <c r="B581" s="39" t="inlineStr">
        <is>
          <t>2 уровень</t>
        </is>
      </c>
      <c r="C581" s="34" t="inlineStr">
        <is>
          <t>Закрытые условия на абонементы</t>
        </is>
      </c>
      <c r="D581" s="34" t="inlineStr">
        <is>
          <t>Скидка 15% на абонемент 8 или 12 занятий</t>
        </is>
      </c>
      <c r="E581" s="34" t="inlineStr">
        <is>
          <t>При покупке абонемента на 8 или 12 занятий</t>
        </is>
      </c>
      <c r="F581" s="147" t="inlineStr">
        <is>
          <t>FW-L2-2A2HG-EAZ6W</t>
        </is>
      </c>
      <c r="G581" s="39" t="inlineStr">
        <is>
          <t>Не использован</t>
        </is>
      </c>
      <c r="H581" s="148" t="n"/>
      <c r="I581" s="34" t="str"/>
      <c r="J581" s="34" t="str"/>
      <c r="K581" s="130" t="n">
        <v>177</v>
      </c>
      <c r="L581" s="43">
        <f>IF(COUNTIF($F$5:$F$2407,F581)=1,"OK","Дубликат")</f>
        <v/>
      </c>
    </row>
    <row r="582" ht="38" customHeight="1">
      <c r="A582" s="146" t="inlineStr">
        <is>
          <t>SUB-L2-08-12-15</t>
        </is>
      </c>
      <c r="B582" s="39" t="inlineStr">
        <is>
          <t>2 уровень</t>
        </is>
      </c>
      <c r="C582" s="34" t="inlineStr">
        <is>
          <t>Закрытые условия на абонементы</t>
        </is>
      </c>
      <c r="D582" s="34" t="inlineStr">
        <is>
          <t>Скидка 15% на абонемент 8 или 12 занятий</t>
        </is>
      </c>
      <c r="E582" s="34" t="inlineStr">
        <is>
          <t>При покупке абонемента на 8 или 12 занятий</t>
        </is>
      </c>
      <c r="F582" s="147" t="inlineStr">
        <is>
          <t>FW-L2-XSWRR-WBXBU</t>
        </is>
      </c>
      <c r="G582" s="39" t="inlineStr">
        <is>
          <t>Не использован</t>
        </is>
      </c>
      <c r="H582" s="148" t="n"/>
      <c r="I582" s="34" t="str"/>
      <c r="J582" s="34" t="str"/>
      <c r="K582" s="130" t="n">
        <v>178</v>
      </c>
      <c r="L582" s="43">
        <f>IF(COUNTIF($F$5:$F$2407,F582)=1,"OK","Дубликат")</f>
        <v/>
      </c>
    </row>
    <row r="583" ht="38" customHeight="1">
      <c r="A583" s="146" t="inlineStr">
        <is>
          <t>SUB-L2-08-12-15</t>
        </is>
      </c>
      <c r="B583" s="39" t="inlineStr">
        <is>
          <t>2 уровень</t>
        </is>
      </c>
      <c r="C583" s="34" t="inlineStr">
        <is>
          <t>Закрытые условия на абонементы</t>
        </is>
      </c>
      <c r="D583" s="34" t="inlineStr">
        <is>
          <t>Скидка 15% на абонемент 8 или 12 занятий</t>
        </is>
      </c>
      <c r="E583" s="34" t="inlineStr">
        <is>
          <t>При покупке абонемента на 8 или 12 занятий</t>
        </is>
      </c>
      <c r="F583" s="147" t="inlineStr">
        <is>
          <t>FW-L2-U6NFC-UUV5Z</t>
        </is>
      </c>
      <c r="G583" s="39" t="inlineStr">
        <is>
          <t>Не использован</t>
        </is>
      </c>
      <c r="H583" s="148" t="n"/>
      <c r="I583" s="34" t="str"/>
      <c r="J583" s="34" t="str"/>
      <c r="K583" s="130" t="n">
        <v>179</v>
      </c>
      <c r="L583" s="43">
        <f>IF(COUNTIF($F$5:$F$2407,F583)=1,"OK","Дубликат")</f>
        <v/>
      </c>
    </row>
    <row r="584" ht="38" customHeight="1">
      <c r="A584" s="146" t="inlineStr">
        <is>
          <t>SUB-L2-08-12-15</t>
        </is>
      </c>
      <c r="B584" s="39" t="inlineStr">
        <is>
          <t>2 уровень</t>
        </is>
      </c>
      <c r="C584" s="34" t="inlineStr">
        <is>
          <t>Закрытые условия на абонементы</t>
        </is>
      </c>
      <c r="D584" s="34" t="inlineStr">
        <is>
          <t>Скидка 15% на абонемент 8 или 12 занятий</t>
        </is>
      </c>
      <c r="E584" s="34" t="inlineStr">
        <is>
          <t>При покупке абонемента на 8 или 12 занятий</t>
        </is>
      </c>
      <c r="F584" s="147" t="inlineStr">
        <is>
          <t>FW-L2-X79JC-USUXY</t>
        </is>
      </c>
      <c r="G584" s="39" t="inlineStr">
        <is>
          <t>Не использован</t>
        </is>
      </c>
      <c r="H584" s="148" t="n"/>
      <c r="I584" s="34" t="str"/>
      <c r="J584" s="34" t="str"/>
      <c r="K584" s="130" t="n">
        <v>180</v>
      </c>
      <c r="L584" s="43">
        <f>IF(COUNTIF($F$5:$F$2407,F584)=1,"OK","Дубликат")</f>
        <v/>
      </c>
    </row>
    <row r="585" ht="38" customHeight="1">
      <c r="A585" s="146" t="inlineStr">
        <is>
          <t>SUB-L2-08-12-15</t>
        </is>
      </c>
      <c r="B585" s="39" t="inlineStr">
        <is>
          <t>2 уровень</t>
        </is>
      </c>
      <c r="C585" s="34" t="inlineStr">
        <is>
          <t>Закрытые условия на абонементы</t>
        </is>
      </c>
      <c r="D585" s="34" t="inlineStr">
        <is>
          <t>Скидка 15% на абонемент 8 или 12 занятий</t>
        </is>
      </c>
      <c r="E585" s="34" t="inlineStr">
        <is>
          <t>При покупке абонемента на 8 или 12 занятий</t>
        </is>
      </c>
      <c r="F585" s="147" t="inlineStr">
        <is>
          <t>FW-L2-4XCYE-D5GLT</t>
        </is>
      </c>
      <c r="G585" s="39" t="inlineStr">
        <is>
          <t>Не использован</t>
        </is>
      </c>
      <c r="H585" s="148" t="n"/>
      <c r="I585" s="34" t="str"/>
      <c r="J585" s="34" t="str"/>
      <c r="K585" s="130" t="n">
        <v>181</v>
      </c>
      <c r="L585" s="43">
        <f>IF(COUNTIF($F$5:$F$2407,F585)=1,"OK","Дубликат")</f>
        <v/>
      </c>
    </row>
    <row r="586" ht="38" customHeight="1">
      <c r="A586" s="146" t="inlineStr">
        <is>
          <t>SUB-L2-08-12-15</t>
        </is>
      </c>
      <c r="B586" s="39" t="inlineStr">
        <is>
          <t>2 уровень</t>
        </is>
      </c>
      <c r="C586" s="34" t="inlineStr">
        <is>
          <t>Закрытые условия на абонементы</t>
        </is>
      </c>
      <c r="D586" s="34" t="inlineStr">
        <is>
          <t>Скидка 15% на абонемент 8 или 12 занятий</t>
        </is>
      </c>
      <c r="E586" s="34" t="inlineStr">
        <is>
          <t>При покупке абонемента на 8 или 12 занятий</t>
        </is>
      </c>
      <c r="F586" s="147" t="inlineStr">
        <is>
          <t>FW-L2-UC2CW-YJ8J7</t>
        </is>
      </c>
      <c r="G586" s="39" t="inlineStr">
        <is>
          <t>Не использован</t>
        </is>
      </c>
      <c r="H586" s="148" t="n"/>
      <c r="I586" s="34" t="str"/>
      <c r="J586" s="34" t="str"/>
      <c r="K586" s="130" t="n">
        <v>182</v>
      </c>
      <c r="L586" s="43">
        <f>IF(COUNTIF($F$5:$F$2407,F586)=1,"OK","Дубликат")</f>
        <v/>
      </c>
    </row>
    <row r="587" ht="38" customHeight="1">
      <c r="A587" s="146" t="inlineStr">
        <is>
          <t>SUB-L2-08-12-15</t>
        </is>
      </c>
      <c r="B587" s="39" t="inlineStr">
        <is>
          <t>2 уровень</t>
        </is>
      </c>
      <c r="C587" s="34" t="inlineStr">
        <is>
          <t>Закрытые условия на абонементы</t>
        </is>
      </c>
      <c r="D587" s="34" t="inlineStr">
        <is>
          <t>Скидка 15% на абонемент 8 или 12 занятий</t>
        </is>
      </c>
      <c r="E587" s="34" t="inlineStr">
        <is>
          <t>При покупке абонемента на 8 или 12 занятий</t>
        </is>
      </c>
      <c r="F587" s="147" t="inlineStr">
        <is>
          <t>FW-L2-NZHZD-TF8LV</t>
        </is>
      </c>
      <c r="G587" s="39" t="inlineStr">
        <is>
          <t>Не использован</t>
        </is>
      </c>
      <c r="H587" s="148" t="n"/>
      <c r="I587" s="34" t="str"/>
      <c r="J587" s="34" t="str"/>
      <c r="K587" s="130" t="n">
        <v>183</v>
      </c>
      <c r="L587" s="43">
        <f>IF(COUNTIF($F$5:$F$2407,F587)=1,"OK","Дубликат")</f>
        <v/>
      </c>
    </row>
    <row r="588" ht="38" customHeight="1">
      <c r="A588" s="146" t="inlineStr">
        <is>
          <t>SUB-L2-08-12-15</t>
        </is>
      </c>
      <c r="B588" s="39" t="inlineStr">
        <is>
          <t>2 уровень</t>
        </is>
      </c>
      <c r="C588" s="34" t="inlineStr">
        <is>
          <t>Закрытые условия на абонементы</t>
        </is>
      </c>
      <c r="D588" s="34" t="inlineStr">
        <is>
          <t>Скидка 15% на абонемент 8 или 12 занятий</t>
        </is>
      </c>
      <c r="E588" s="34" t="inlineStr">
        <is>
          <t>При покупке абонемента на 8 или 12 занятий</t>
        </is>
      </c>
      <c r="F588" s="147" t="inlineStr">
        <is>
          <t>FW-L2-NBGJX-2LXEY</t>
        </is>
      </c>
      <c r="G588" s="39" t="inlineStr">
        <is>
          <t>Не использован</t>
        </is>
      </c>
      <c r="H588" s="148" t="n"/>
      <c r="I588" s="34" t="str"/>
      <c r="J588" s="34" t="str"/>
      <c r="K588" s="130" t="n">
        <v>184</v>
      </c>
      <c r="L588" s="43">
        <f>IF(COUNTIF($F$5:$F$2407,F588)=1,"OK","Дубликат")</f>
        <v/>
      </c>
    </row>
    <row r="589" ht="38" customHeight="1">
      <c r="A589" s="146" t="inlineStr">
        <is>
          <t>SUB-L2-08-12-15</t>
        </is>
      </c>
      <c r="B589" s="39" t="inlineStr">
        <is>
          <t>2 уровень</t>
        </is>
      </c>
      <c r="C589" s="34" t="inlineStr">
        <is>
          <t>Закрытые условия на абонементы</t>
        </is>
      </c>
      <c r="D589" s="34" t="inlineStr">
        <is>
          <t>Скидка 15% на абонемент 8 или 12 занятий</t>
        </is>
      </c>
      <c r="E589" s="34" t="inlineStr">
        <is>
          <t>При покупке абонемента на 8 или 12 занятий</t>
        </is>
      </c>
      <c r="F589" s="147" t="inlineStr">
        <is>
          <t>FW-L2-JVA2N-CT7AJ</t>
        </is>
      </c>
      <c r="G589" s="39" t="inlineStr">
        <is>
          <t>Не использован</t>
        </is>
      </c>
      <c r="H589" s="148" t="n"/>
      <c r="I589" s="34" t="str"/>
      <c r="J589" s="34" t="str"/>
      <c r="K589" s="130" t="n">
        <v>185</v>
      </c>
      <c r="L589" s="43">
        <f>IF(COUNTIF($F$5:$F$2407,F589)=1,"OK","Дубликат")</f>
        <v/>
      </c>
    </row>
    <row r="590" ht="38" customHeight="1">
      <c r="A590" s="146" t="inlineStr">
        <is>
          <t>SUB-L2-08-12-15</t>
        </is>
      </c>
      <c r="B590" s="39" t="inlineStr">
        <is>
          <t>2 уровень</t>
        </is>
      </c>
      <c r="C590" s="34" t="inlineStr">
        <is>
          <t>Закрытые условия на абонементы</t>
        </is>
      </c>
      <c r="D590" s="34" t="inlineStr">
        <is>
          <t>Скидка 15% на абонемент 8 или 12 занятий</t>
        </is>
      </c>
      <c r="E590" s="34" t="inlineStr">
        <is>
          <t>При покупке абонемента на 8 или 12 занятий</t>
        </is>
      </c>
      <c r="F590" s="147" t="inlineStr">
        <is>
          <t>FW-L2-S7LG8-9H425</t>
        </is>
      </c>
      <c r="G590" s="39" t="inlineStr">
        <is>
          <t>Не использован</t>
        </is>
      </c>
      <c r="H590" s="148" t="n"/>
      <c r="I590" s="34" t="str"/>
      <c r="J590" s="34" t="str"/>
      <c r="K590" s="130" t="n">
        <v>186</v>
      </c>
      <c r="L590" s="43">
        <f>IF(COUNTIF($F$5:$F$2407,F590)=1,"OK","Дубликат")</f>
        <v/>
      </c>
    </row>
    <row r="591" ht="38" customHeight="1">
      <c r="A591" s="146" t="inlineStr">
        <is>
          <t>SUB-L2-08-12-15</t>
        </is>
      </c>
      <c r="B591" s="39" t="inlineStr">
        <is>
          <t>2 уровень</t>
        </is>
      </c>
      <c r="C591" s="34" t="inlineStr">
        <is>
          <t>Закрытые условия на абонементы</t>
        </is>
      </c>
      <c r="D591" s="34" t="inlineStr">
        <is>
          <t>Скидка 15% на абонемент 8 или 12 занятий</t>
        </is>
      </c>
      <c r="E591" s="34" t="inlineStr">
        <is>
          <t>При покупке абонемента на 8 или 12 занятий</t>
        </is>
      </c>
      <c r="F591" s="147" t="inlineStr">
        <is>
          <t>FW-L2-CHRZZ-3RYXX</t>
        </is>
      </c>
      <c r="G591" s="39" t="inlineStr">
        <is>
          <t>Не использован</t>
        </is>
      </c>
      <c r="H591" s="148" t="n"/>
      <c r="I591" s="34" t="str"/>
      <c r="J591" s="34" t="str"/>
      <c r="K591" s="130" t="n">
        <v>187</v>
      </c>
      <c r="L591" s="43">
        <f>IF(COUNTIF($F$5:$F$2407,F591)=1,"OK","Дубликат")</f>
        <v/>
      </c>
    </row>
    <row r="592" ht="38" customHeight="1">
      <c r="A592" s="146" t="inlineStr">
        <is>
          <t>SUB-L2-08-12-15</t>
        </is>
      </c>
      <c r="B592" s="39" t="inlineStr">
        <is>
          <t>2 уровень</t>
        </is>
      </c>
      <c r="C592" s="34" t="inlineStr">
        <is>
          <t>Закрытые условия на абонементы</t>
        </is>
      </c>
      <c r="D592" s="34" t="inlineStr">
        <is>
          <t>Скидка 15% на абонемент 8 или 12 занятий</t>
        </is>
      </c>
      <c r="E592" s="34" t="inlineStr">
        <is>
          <t>При покупке абонемента на 8 или 12 занятий</t>
        </is>
      </c>
      <c r="F592" s="147" t="inlineStr">
        <is>
          <t>FW-L2-CG9LA-ZEVGW</t>
        </is>
      </c>
      <c r="G592" s="39" t="inlineStr">
        <is>
          <t>Не использован</t>
        </is>
      </c>
      <c r="H592" s="148" t="n"/>
      <c r="I592" s="34" t="str"/>
      <c r="J592" s="34" t="str"/>
      <c r="K592" s="130" t="n">
        <v>188</v>
      </c>
      <c r="L592" s="43">
        <f>IF(COUNTIF($F$5:$F$2407,F592)=1,"OK","Дубликат")</f>
        <v/>
      </c>
    </row>
    <row r="593" ht="38" customHeight="1">
      <c r="A593" s="146" t="inlineStr">
        <is>
          <t>SUB-L2-08-12-15</t>
        </is>
      </c>
      <c r="B593" s="39" t="inlineStr">
        <is>
          <t>2 уровень</t>
        </is>
      </c>
      <c r="C593" s="34" t="inlineStr">
        <is>
          <t>Закрытые условия на абонементы</t>
        </is>
      </c>
      <c r="D593" s="34" t="inlineStr">
        <is>
          <t>Скидка 15% на абонемент 8 или 12 занятий</t>
        </is>
      </c>
      <c r="E593" s="34" t="inlineStr">
        <is>
          <t>При покупке абонемента на 8 или 12 занятий</t>
        </is>
      </c>
      <c r="F593" s="147" t="inlineStr">
        <is>
          <t>FW-L2-TU7WC-PPPRD</t>
        </is>
      </c>
      <c r="G593" s="39" t="inlineStr">
        <is>
          <t>Не использован</t>
        </is>
      </c>
      <c r="H593" s="148" t="n"/>
      <c r="I593" s="34" t="str"/>
      <c r="J593" s="34" t="str"/>
      <c r="K593" s="130" t="n">
        <v>189</v>
      </c>
      <c r="L593" s="43">
        <f>IF(COUNTIF($F$5:$F$2407,F593)=1,"OK","Дубликат")</f>
        <v/>
      </c>
    </row>
    <row r="594" ht="38" customHeight="1">
      <c r="A594" s="146" t="inlineStr">
        <is>
          <t>SUB-L2-08-12-15</t>
        </is>
      </c>
      <c r="B594" s="39" t="inlineStr">
        <is>
          <t>2 уровень</t>
        </is>
      </c>
      <c r="C594" s="34" t="inlineStr">
        <is>
          <t>Закрытые условия на абонементы</t>
        </is>
      </c>
      <c r="D594" s="34" t="inlineStr">
        <is>
          <t>Скидка 15% на абонемент 8 или 12 занятий</t>
        </is>
      </c>
      <c r="E594" s="34" t="inlineStr">
        <is>
          <t>При покупке абонемента на 8 или 12 занятий</t>
        </is>
      </c>
      <c r="F594" s="147" t="inlineStr">
        <is>
          <t>FW-L2-XLULY-K3MS4</t>
        </is>
      </c>
      <c r="G594" s="39" t="inlineStr">
        <is>
          <t>Не использован</t>
        </is>
      </c>
      <c r="H594" s="148" t="n"/>
      <c r="I594" s="34" t="str"/>
      <c r="J594" s="34" t="str"/>
      <c r="K594" s="130" t="n">
        <v>190</v>
      </c>
      <c r="L594" s="43">
        <f>IF(COUNTIF($F$5:$F$2407,F594)=1,"OK","Дубликат")</f>
        <v/>
      </c>
    </row>
    <row r="595" ht="38" customHeight="1">
      <c r="A595" s="146" t="inlineStr">
        <is>
          <t>SUB-L2-08-12-15</t>
        </is>
      </c>
      <c r="B595" s="39" t="inlineStr">
        <is>
          <t>2 уровень</t>
        </is>
      </c>
      <c r="C595" s="34" t="inlineStr">
        <is>
          <t>Закрытые условия на абонементы</t>
        </is>
      </c>
      <c r="D595" s="34" t="inlineStr">
        <is>
          <t>Скидка 15% на абонемент 8 или 12 занятий</t>
        </is>
      </c>
      <c r="E595" s="34" t="inlineStr">
        <is>
          <t>При покупке абонемента на 8 или 12 занятий</t>
        </is>
      </c>
      <c r="F595" s="147" t="inlineStr">
        <is>
          <t>FW-L2-7BV39-BEECW</t>
        </is>
      </c>
      <c r="G595" s="39" t="inlineStr">
        <is>
          <t>Не использован</t>
        </is>
      </c>
      <c r="H595" s="148" t="n"/>
      <c r="I595" s="34" t="str"/>
      <c r="J595" s="34" t="str"/>
      <c r="K595" s="130" t="n">
        <v>191</v>
      </c>
      <c r="L595" s="43">
        <f>IF(COUNTIF($F$5:$F$2407,F595)=1,"OK","Дубликат")</f>
        <v/>
      </c>
    </row>
    <row r="596" ht="38" customHeight="1">
      <c r="A596" s="146" t="inlineStr">
        <is>
          <t>SUB-L2-08-12-15</t>
        </is>
      </c>
      <c r="B596" s="39" t="inlineStr">
        <is>
          <t>2 уровень</t>
        </is>
      </c>
      <c r="C596" s="34" t="inlineStr">
        <is>
          <t>Закрытые условия на абонементы</t>
        </is>
      </c>
      <c r="D596" s="34" t="inlineStr">
        <is>
          <t>Скидка 15% на абонемент 8 или 12 занятий</t>
        </is>
      </c>
      <c r="E596" s="34" t="inlineStr">
        <is>
          <t>При покупке абонемента на 8 или 12 занятий</t>
        </is>
      </c>
      <c r="F596" s="147" t="inlineStr">
        <is>
          <t>FW-L2-UPUTY-S22C3</t>
        </is>
      </c>
      <c r="G596" s="39" t="inlineStr">
        <is>
          <t>Не использован</t>
        </is>
      </c>
      <c r="H596" s="148" t="n"/>
      <c r="I596" s="34" t="str"/>
      <c r="J596" s="34" t="str"/>
      <c r="K596" s="130" t="n">
        <v>192</v>
      </c>
      <c r="L596" s="43">
        <f>IF(COUNTIF($F$5:$F$2407,F596)=1,"OK","Дубликат")</f>
        <v/>
      </c>
    </row>
    <row r="597" ht="38" customHeight="1">
      <c r="A597" s="146" t="inlineStr">
        <is>
          <t>SUB-L2-08-12-15</t>
        </is>
      </c>
      <c r="B597" s="39" t="inlineStr">
        <is>
          <t>2 уровень</t>
        </is>
      </c>
      <c r="C597" s="34" t="inlineStr">
        <is>
          <t>Закрытые условия на абонементы</t>
        </is>
      </c>
      <c r="D597" s="34" t="inlineStr">
        <is>
          <t>Скидка 15% на абонемент 8 или 12 занятий</t>
        </is>
      </c>
      <c r="E597" s="34" t="inlineStr">
        <is>
          <t>При покупке абонемента на 8 или 12 занятий</t>
        </is>
      </c>
      <c r="F597" s="147" t="inlineStr">
        <is>
          <t>FW-L2-BP3A5-7M5QT</t>
        </is>
      </c>
      <c r="G597" s="39" t="inlineStr">
        <is>
          <t>Не использован</t>
        </is>
      </c>
      <c r="H597" s="148" t="n"/>
      <c r="I597" s="34" t="str"/>
      <c r="J597" s="34" t="str"/>
      <c r="K597" s="130" t="n">
        <v>193</v>
      </c>
      <c r="L597" s="43">
        <f>IF(COUNTIF($F$5:$F$2407,F597)=1,"OK","Дубликат")</f>
        <v/>
      </c>
    </row>
    <row r="598" ht="38" customHeight="1">
      <c r="A598" s="146" t="inlineStr">
        <is>
          <t>SUB-L2-08-12-15</t>
        </is>
      </c>
      <c r="B598" s="39" t="inlineStr">
        <is>
          <t>2 уровень</t>
        </is>
      </c>
      <c r="C598" s="34" t="inlineStr">
        <is>
          <t>Закрытые условия на абонементы</t>
        </is>
      </c>
      <c r="D598" s="34" t="inlineStr">
        <is>
          <t>Скидка 15% на абонемент 8 или 12 занятий</t>
        </is>
      </c>
      <c r="E598" s="34" t="inlineStr">
        <is>
          <t>При покупке абонемента на 8 или 12 занятий</t>
        </is>
      </c>
      <c r="F598" s="147" t="inlineStr">
        <is>
          <t>FW-L2-UVR97-XQ77T</t>
        </is>
      </c>
      <c r="G598" s="39" t="inlineStr">
        <is>
          <t>Не использован</t>
        </is>
      </c>
      <c r="H598" s="148" t="n"/>
      <c r="I598" s="34" t="str"/>
      <c r="J598" s="34" t="str"/>
      <c r="K598" s="130" t="n">
        <v>194</v>
      </c>
      <c r="L598" s="43">
        <f>IF(COUNTIF($F$5:$F$2407,F598)=1,"OK","Дубликат")</f>
        <v/>
      </c>
    </row>
    <row r="599" ht="38" customHeight="1">
      <c r="A599" s="146" t="inlineStr">
        <is>
          <t>SUB-L2-08-12-15</t>
        </is>
      </c>
      <c r="B599" s="39" t="inlineStr">
        <is>
          <t>2 уровень</t>
        </is>
      </c>
      <c r="C599" s="34" t="inlineStr">
        <is>
          <t>Закрытые условия на абонементы</t>
        </is>
      </c>
      <c r="D599" s="34" t="inlineStr">
        <is>
          <t>Скидка 15% на абонемент 8 или 12 занятий</t>
        </is>
      </c>
      <c r="E599" s="34" t="inlineStr">
        <is>
          <t>При покупке абонемента на 8 или 12 занятий</t>
        </is>
      </c>
      <c r="F599" s="147" t="inlineStr">
        <is>
          <t>FW-L2-F6ACF-8X54M</t>
        </is>
      </c>
      <c r="G599" s="39" t="inlineStr">
        <is>
          <t>Не использован</t>
        </is>
      </c>
      <c r="H599" s="148" t="n"/>
      <c r="I599" s="34" t="str"/>
      <c r="J599" s="34" t="str"/>
      <c r="K599" s="130" t="n">
        <v>195</v>
      </c>
      <c r="L599" s="43">
        <f>IF(COUNTIF($F$5:$F$2407,F599)=1,"OK","Дубликат")</f>
        <v/>
      </c>
    </row>
    <row r="600" ht="38" customHeight="1">
      <c r="A600" s="146" t="inlineStr">
        <is>
          <t>SUB-L2-08-12-15</t>
        </is>
      </c>
      <c r="B600" s="39" t="inlineStr">
        <is>
          <t>2 уровень</t>
        </is>
      </c>
      <c r="C600" s="34" t="inlineStr">
        <is>
          <t>Закрытые условия на абонементы</t>
        </is>
      </c>
      <c r="D600" s="34" t="inlineStr">
        <is>
          <t>Скидка 15% на абонемент 8 или 12 занятий</t>
        </is>
      </c>
      <c r="E600" s="34" t="inlineStr">
        <is>
          <t>При покупке абонемента на 8 или 12 занятий</t>
        </is>
      </c>
      <c r="F600" s="147" t="inlineStr">
        <is>
          <t>FW-L2-MUAZB-UTQ4D</t>
        </is>
      </c>
      <c r="G600" s="39" t="inlineStr">
        <is>
          <t>Не использован</t>
        </is>
      </c>
      <c r="H600" s="148" t="n"/>
      <c r="I600" s="34" t="str"/>
      <c r="J600" s="34" t="str"/>
      <c r="K600" s="130" t="n">
        <v>196</v>
      </c>
      <c r="L600" s="43">
        <f>IF(COUNTIF($F$5:$F$2407,F600)=1,"OK","Дубликат")</f>
        <v/>
      </c>
    </row>
    <row r="601" ht="38" customHeight="1">
      <c r="A601" s="146" t="inlineStr">
        <is>
          <t>SUB-L2-08-12-15</t>
        </is>
      </c>
      <c r="B601" s="39" t="inlineStr">
        <is>
          <t>2 уровень</t>
        </is>
      </c>
      <c r="C601" s="34" t="inlineStr">
        <is>
          <t>Закрытые условия на абонементы</t>
        </is>
      </c>
      <c r="D601" s="34" t="inlineStr">
        <is>
          <t>Скидка 15% на абонемент 8 или 12 занятий</t>
        </is>
      </c>
      <c r="E601" s="34" t="inlineStr">
        <is>
          <t>При покупке абонемента на 8 или 12 занятий</t>
        </is>
      </c>
      <c r="F601" s="147" t="inlineStr">
        <is>
          <t>FW-L2-JSWBC-5QEK3</t>
        </is>
      </c>
      <c r="G601" s="39" t="inlineStr">
        <is>
          <t>Не использован</t>
        </is>
      </c>
      <c r="H601" s="148" t="n"/>
      <c r="I601" s="34" t="str"/>
      <c r="J601" s="34" t="str"/>
      <c r="K601" s="130" t="n">
        <v>197</v>
      </c>
      <c r="L601" s="43">
        <f>IF(COUNTIF($F$5:$F$2407,F601)=1,"OK","Дубликат")</f>
        <v/>
      </c>
    </row>
    <row r="602" ht="38" customHeight="1">
      <c r="A602" s="146" t="inlineStr">
        <is>
          <t>SUB-L2-08-12-15</t>
        </is>
      </c>
      <c r="B602" s="39" t="inlineStr">
        <is>
          <t>2 уровень</t>
        </is>
      </c>
      <c r="C602" s="34" t="inlineStr">
        <is>
          <t>Закрытые условия на абонементы</t>
        </is>
      </c>
      <c r="D602" s="34" t="inlineStr">
        <is>
          <t>Скидка 15% на абонемент 8 или 12 занятий</t>
        </is>
      </c>
      <c r="E602" s="34" t="inlineStr">
        <is>
          <t>При покупке абонемента на 8 или 12 занятий</t>
        </is>
      </c>
      <c r="F602" s="147" t="inlineStr">
        <is>
          <t>FW-L2-W3VD6-7VC89</t>
        </is>
      </c>
      <c r="G602" s="39" t="inlineStr">
        <is>
          <t>Не использован</t>
        </is>
      </c>
      <c r="H602" s="148" t="n"/>
      <c r="I602" s="34" t="str"/>
      <c r="J602" s="34" t="str"/>
      <c r="K602" s="130" t="n">
        <v>198</v>
      </c>
      <c r="L602" s="43">
        <f>IF(COUNTIF($F$5:$F$2407,F602)=1,"OK","Дубликат")</f>
        <v/>
      </c>
    </row>
    <row r="603" ht="38" customHeight="1">
      <c r="A603" s="146" t="inlineStr">
        <is>
          <t>SUB-L2-08-12-15</t>
        </is>
      </c>
      <c r="B603" s="39" t="inlineStr">
        <is>
          <t>2 уровень</t>
        </is>
      </c>
      <c r="C603" s="34" t="inlineStr">
        <is>
          <t>Закрытые условия на абонементы</t>
        </is>
      </c>
      <c r="D603" s="34" t="inlineStr">
        <is>
          <t>Скидка 15% на абонемент 8 или 12 занятий</t>
        </is>
      </c>
      <c r="E603" s="34" t="inlineStr">
        <is>
          <t>При покупке абонемента на 8 или 12 занятий</t>
        </is>
      </c>
      <c r="F603" s="147" t="inlineStr">
        <is>
          <t>FW-L2-8LHQG-VJ82R</t>
        </is>
      </c>
      <c r="G603" s="39" t="inlineStr">
        <is>
          <t>Не использован</t>
        </is>
      </c>
      <c r="H603" s="148" t="n"/>
      <c r="I603" s="34" t="str"/>
      <c r="J603" s="34" t="str"/>
      <c r="K603" s="130" t="n">
        <v>199</v>
      </c>
      <c r="L603" s="43">
        <f>IF(COUNTIF($F$5:$F$2407,F603)=1,"OK","Дубликат")</f>
        <v/>
      </c>
    </row>
    <row r="604" ht="38" customHeight="1">
      <c r="A604" s="146" t="inlineStr">
        <is>
          <t>SUB-L2-08-12-15</t>
        </is>
      </c>
      <c r="B604" s="39" t="inlineStr">
        <is>
          <t>2 уровень</t>
        </is>
      </c>
      <c r="C604" s="34" t="inlineStr">
        <is>
          <t>Закрытые условия на абонементы</t>
        </is>
      </c>
      <c r="D604" s="34" t="inlineStr">
        <is>
          <t>Скидка 15% на абонемент 8 или 12 занятий</t>
        </is>
      </c>
      <c r="E604" s="34" t="inlineStr">
        <is>
          <t>При покупке абонемента на 8 или 12 занятий</t>
        </is>
      </c>
      <c r="F604" s="147" t="inlineStr">
        <is>
          <t>FW-L2-74DRE-G79PD</t>
        </is>
      </c>
      <c r="G604" s="39" t="inlineStr">
        <is>
          <t>Не использован</t>
        </is>
      </c>
      <c r="H604" s="148" t="n"/>
      <c r="I604" s="34" t="str"/>
      <c r="J604" s="34" t="str"/>
      <c r="K604" s="130" t="n">
        <v>200</v>
      </c>
      <c r="L604" s="43">
        <f>IF(COUNTIF($F$5:$F$2407,F604)=1,"OK","Дубликат")</f>
        <v/>
      </c>
    </row>
    <row r="605" ht="38" customHeight="1">
      <c r="A605" s="146" t="inlineStr">
        <is>
          <t>SUB-L2-12-20</t>
        </is>
      </c>
      <c r="B605" s="39" t="inlineStr">
        <is>
          <t>2 уровень</t>
        </is>
      </c>
      <c r="C605" s="34" t="inlineStr">
        <is>
          <t>Закрытые условия на абонементы</t>
        </is>
      </c>
      <c r="D605" s="34" t="inlineStr">
        <is>
          <t>Скидка 20% на абонемент 12 занятий</t>
        </is>
      </c>
      <c r="E605" s="34" t="inlineStr">
        <is>
          <t>При покупке абонемента на 12 занятий</t>
        </is>
      </c>
      <c r="F605" s="147" t="inlineStr">
        <is>
          <t>FW-L2-7KEU7-2JMXR</t>
        </is>
      </c>
      <c r="G605" s="39" t="inlineStr">
        <is>
          <t>Не использован</t>
        </is>
      </c>
      <c r="H605" s="148" t="n"/>
      <c r="I605" s="34" t="str"/>
      <c r="J605" s="34" t="str"/>
      <c r="K605" s="130" t="n">
        <v>1</v>
      </c>
      <c r="L605" s="43">
        <f>IF(COUNTIF($F$5:$F$2407,F605)=1,"OK","Дубликат")</f>
        <v/>
      </c>
    </row>
    <row r="606" ht="38" customHeight="1">
      <c r="A606" s="146" t="inlineStr">
        <is>
          <t>SUB-L2-12-20</t>
        </is>
      </c>
      <c r="B606" s="39" t="inlineStr">
        <is>
          <t>2 уровень</t>
        </is>
      </c>
      <c r="C606" s="34" t="inlineStr">
        <is>
          <t>Закрытые условия на абонементы</t>
        </is>
      </c>
      <c r="D606" s="34" t="inlineStr">
        <is>
          <t>Скидка 20% на абонемент 12 занятий</t>
        </is>
      </c>
      <c r="E606" s="34" t="inlineStr">
        <is>
          <t>При покупке абонемента на 12 занятий</t>
        </is>
      </c>
      <c r="F606" s="147" t="inlineStr">
        <is>
          <t>FW-L2-XVGNP-9R5GV</t>
        </is>
      </c>
      <c r="G606" s="39" t="inlineStr">
        <is>
          <t>Не использован</t>
        </is>
      </c>
      <c r="H606" s="148" t="n"/>
      <c r="I606" s="34" t="str"/>
      <c r="J606" s="34" t="str"/>
      <c r="K606" s="130" t="n">
        <v>2</v>
      </c>
      <c r="L606" s="43">
        <f>IF(COUNTIF($F$5:$F$2407,F606)=1,"OK","Дубликат")</f>
        <v/>
      </c>
    </row>
    <row r="607" ht="38" customHeight="1">
      <c r="A607" s="146" t="inlineStr">
        <is>
          <t>SUB-L2-12-20</t>
        </is>
      </c>
      <c r="B607" s="39" t="inlineStr">
        <is>
          <t>2 уровень</t>
        </is>
      </c>
      <c r="C607" s="34" t="inlineStr">
        <is>
          <t>Закрытые условия на абонементы</t>
        </is>
      </c>
      <c r="D607" s="34" t="inlineStr">
        <is>
          <t>Скидка 20% на абонемент 12 занятий</t>
        </is>
      </c>
      <c r="E607" s="34" t="inlineStr">
        <is>
          <t>При покупке абонемента на 12 занятий</t>
        </is>
      </c>
      <c r="F607" s="147" t="inlineStr">
        <is>
          <t>FW-L2-XUFYK-6NGXR</t>
        </is>
      </c>
      <c r="G607" s="39" t="inlineStr">
        <is>
          <t>Не использован</t>
        </is>
      </c>
      <c r="H607" s="148" t="n"/>
      <c r="I607" s="34" t="str"/>
      <c r="J607" s="34" t="str"/>
      <c r="K607" s="130" t="n">
        <v>3</v>
      </c>
      <c r="L607" s="43">
        <f>IF(COUNTIF($F$5:$F$2407,F607)=1,"OK","Дубликат")</f>
        <v/>
      </c>
    </row>
    <row r="608" ht="38" customHeight="1">
      <c r="A608" s="146" t="inlineStr">
        <is>
          <t>SUB-L2-12-20</t>
        </is>
      </c>
      <c r="B608" s="39" t="inlineStr">
        <is>
          <t>2 уровень</t>
        </is>
      </c>
      <c r="C608" s="34" t="inlineStr">
        <is>
          <t>Закрытые условия на абонементы</t>
        </is>
      </c>
      <c r="D608" s="34" t="inlineStr">
        <is>
          <t>Скидка 20% на абонемент 12 занятий</t>
        </is>
      </c>
      <c r="E608" s="34" t="inlineStr">
        <is>
          <t>При покупке абонемента на 12 занятий</t>
        </is>
      </c>
      <c r="F608" s="147" t="inlineStr">
        <is>
          <t>FW-L2-UB8HF-PHUD6</t>
        </is>
      </c>
      <c r="G608" s="39" t="inlineStr">
        <is>
          <t>Не использован</t>
        </is>
      </c>
      <c r="H608" s="148" t="n"/>
      <c r="I608" s="34" t="str"/>
      <c r="J608" s="34" t="str"/>
      <c r="K608" s="130" t="n">
        <v>4</v>
      </c>
      <c r="L608" s="43">
        <f>IF(COUNTIF($F$5:$F$2407,F608)=1,"OK","Дубликат")</f>
        <v/>
      </c>
    </row>
    <row r="609" ht="38" customHeight="1">
      <c r="A609" s="146" t="inlineStr">
        <is>
          <t>SUB-L2-12-20</t>
        </is>
      </c>
      <c r="B609" s="39" t="inlineStr">
        <is>
          <t>2 уровень</t>
        </is>
      </c>
      <c r="C609" s="34" t="inlineStr">
        <is>
          <t>Закрытые условия на абонементы</t>
        </is>
      </c>
      <c r="D609" s="34" t="inlineStr">
        <is>
          <t>Скидка 20% на абонемент 12 занятий</t>
        </is>
      </c>
      <c r="E609" s="34" t="inlineStr">
        <is>
          <t>При покупке абонемента на 12 занятий</t>
        </is>
      </c>
      <c r="F609" s="147" t="inlineStr">
        <is>
          <t>FW-L2-5AWUW-6Y2J8</t>
        </is>
      </c>
      <c r="G609" s="39" t="inlineStr">
        <is>
          <t>Не использован</t>
        </is>
      </c>
      <c r="H609" s="148" t="n"/>
      <c r="I609" s="34" t="str"/>
      <c r="J609" s="34" t="str"/>
      <c r="K609" s="130" t="n">
        <v>5</v>
      </c>
      <c r="L609" s="43">
        <f>IF(COUNTIF($F$5:$F$2407,F609)=1,"OK","Дубликат")</f>
        <v/>
      </c>
    </row>
    <row r="610" ht="38" customHeight="1">
      <c r="A610" s="146" t="inlineStr">
        <is>
          <t>SUB-L2-12-20</t>
        </is>
      </c>
      <c r="B610" s="39" t="inlineStr">
        <is>
          <t>2 уровень</t>
        </is>
      </c>
      <c r="C610" s="34" t="inlineStr">
        <is>
          <t>Закрытые условия на абонементы</t>
        </is>
      </c>
      <c r="D610" s="34" t="inlineStr">
        <is>
          <t>Скидка 20% на абонемент 12 занятий</t>
        </is>
      </c>
      <c r="E610" s="34" t="inlineStr">
        <is>
          <t>При покупке абонемента на 12 занятий</t>
        </is>
      </c>
      <c r="F610" s="147" t="inlineStr">
        <is>
          <t>FW-L2-XRTB4-N4LR5</t>
        </is>
      </c>
      <c r="G610" s="39" t="inlineStr">
        <is>
          <t>Не использован</t>
        </is>
      </c>
      <c r="H610" s="148" t="n"/>
      <c r="I610" s="34" t="str"/>
      <c r="J610" s="34" t="str"/>
      <c r="K610" s="130" t="n">
        <v>6</v>
      </c>
      <c r="L610" s="43">
        <f>IF(COUNTIF($F$5:$F$2407,F610)=1,"OK","Дубликат")</f>
        <v/>
      </c>
    </row>
    <row r="611" ht="38" customHeight="1">
      <c r="A611" s="146" t="inlineStr">
        <is>
          <t>SUB-L2-12-20</t>
        </is>
      </c>
      <c r="B611" s="39" t="inlineStr">
        <is>
          <t>2 уровень</t>
        </is>
      </c>
      <c r="C611" s="34" t="inlineStr">
        <is>
          <t>Закрытые условия на абонементы</t>
        </is>
      </c>
      <c r="D611" s="34" t="inlineStr">
        <is>
          <t>Скидка 20% на абонемент 12 занятий</t>
        </is>
      </c>
      <c r="E611" s="34" t="inlineStr">
        <is>
          <t>При покупке абонемента на 12 занятий</t>
        </is>
      </c>
      <c r="F611" s="147" t="inlineStr">
        <is>
          <t>FW-L2-XB6KQ-M7NBC</t>
        </is>
      </c>
      <c r="G611" s="39" t="inlineStr">
        <is>
          <t>Не использован</t>
        </is>
      </c>
      <c r="H611" s="148" t="n"/>
      <c r="I611" s="34" t="str"/>
      <c r="J611" s="34" t="str"/>
      <c r="K611" s="130" t="n">
        <v>7</v>
      </c>
      <c r="L611" s="43">
        <f>IF(COUNTIF($F$5:$F$2407,F611)=1,"OK","Дубликат")</f>
        <v/>
      </c>
    </row>
    <row r="612" ht="38" customHeight="1">
      <c r="A612" s="146" t="inlineStr">
        <is>
          <t>SUB-L2-12-20</t>
        </is>
      </c>
      <c r="B612" s="39" t="inlineStr">
        <is>
          <t>2 уровень</t>
        </is>
      </c>
      <c r="C612" s="34" t="inlineStr">
        <is>
          <t>Закрытые условия на абонементы</t>
        </is>
      </c>
      <c r="D612" s="34" t="inlineStr">
        <is>
          <t>Скидка 20% на абонемент 12 занятий</t>
        </is>
      </c>
      <c r="E612" s="34" t="inlineStr">
        <is>
          <t>При покупке абонемента на 12 занятий</t>
        </is>
      </c>
      <c r="F612" s="147" t="inlineStr">
        <is>
          <t>FW-L2-7MT9Z-VXUDJ</t>
        </is>
      </c>
      <c r="G612" s="39" t="inlineStr">
        <is>
          <t>Не использован</t>
        </is>
      </c>
      <c r="H612" s="148" t="n"/>
      <c r="I612" s="34" t="str"/>
      <c r="J612" s="34" t="str"/>
      <c r="K612" s="130" t="n">
        <v>8</v>
      </c>
      <c r="L612" s="43">
        <f>IF(COUNTIF($F$5:$F$2407,F612)=1,"OK","Дубликат")</f>
        <v/>
      </c>
    </row>
    <row r="613" ht="38" customHeight="1">
      <c r="A613" s="146" t="inlineStr">
        <is>
          <t>SUB-L2-12-20</t>
        </is>
      </c>
      <c r="B613" s="39" t="inlineStr">
        <is>
          <t>2 уровень</t>
        </is>
      </c>
      <c r="C613" s="34" t="inlineStr">
        <is>
          <t>Закрытые условия на абонементы</t>
        </is>
      </c>
      <c r="D613" s="34" t="inlineStr">
        <is>
          <t>Скидка 20% на абонемент 12 занятий</t>
        </is>
      </c>
      <c r="E613" s="34" t="inlineStr">
        <is>
          <t>При покупке абонемента на 12 занятий</t>
        </is>
      </c>
      <c r="F613" s="147" t="inlineStr">
        <is>
          <t>FW-L2-CSVK7-MQ2VU</t>
        </is>
      </c>
      <c r="G613" s="39" t="inlineStr">
        <is>
          <t>Не использован</t>
        </is>
      </c>
      <c r="H613" s="148" t="n"/>
      <c r="I613" s="34" t="str"/>
      <c r="J613" s="34" t="str"/>
      <c r="K613" s="130" t="n">
        <v>9</v>
      </c>
      <c r="L613" s="43">
        <f>IF(COUNTIF($F$5:$F$2407,F613)=1,"OK","Дубликат")</f>
        <v/>
      </c>
    </row>
    <row r="614" ht="38" customHeight="1">
      <c r="A614" s="146" t="inlineStr">
        <is>
          <t>SUB-L2-12-20</t>
        </is>
      </c>
      <c r="B614" s="39" t="inlineStr">
        <is>
          <t>2 уровень</t>
        </is>
      </c>
      <c r="C614" s="34" t="inlineStr">
        <is>
          <t>Закрытые условия на абонементы</t>
        </is>
      </c>
      <c r="D614" s="34" t="inlineStr">
        <is>
          <t>Скидка 20% на абонемент 12 занятий</t>
        </is>
      </c>
      <c r="E614" s="34" t="inlineStr">
        <is>
          <t>При покупке абонемента на 12 занятий</t>
        </is>
      </c>
      <c r="F614" s="147" t="inlineStr">
        <is>
          <t>FW-L2-RAARF-FQJA7</t>
        </is>
      </c>
      <c r="G614" s="39" t="inlineStr">
        <is>
          <t>Не использован</t>
        </is>
      </c>
      <c r="H614" s="148" t="n"/>
      <c r="I614" s="34" t="str"/>
      <c r="J614" s="34" t="str"/>
      <c r="K614" s="130" t="n">
        <v>10</v>
      </c>
      <c r="L614" s="43">
        <f>IF(COUNTIF($F$5:$F$2407,F614)=1,"OK","Дубликат")</f>
        <v/>
      </c>
    </row>
    <row r="615" ht="38" customHeight="1">
      <c r="A615" s="146" t="inlineStr">
        <is>
          <t>SUB-L2-12-20</t>
        </is>
      </c>
      <c r="B615" s="39" t="inlineStr">
        <is>
          <t>2 уровень</t>
        </is>
      </c>
      <c r="C615" s="34" t="inlineStr">
        <is>
          <t>Закрытые условия на абонементы</t>
        </is>
      </c>
      <c r="D615" s="34" t="inlineStr">
        <is>
          <t>Скидка 20% на абонемент 12 занятий</t>
        </is>
      </c>
      <c r="E615" s="34" t="inlineStr">
        <is>
          <t>При покупке абонемента на 12 занятий</t>
        </is>
      </c>
      <c r="F615" s="147" t="inlineStr">
        <is>
          <t>FW-L2-AQVNH-DBT6Z</t>
        </is>
      </c>
      <c r="G615" s="39" t="inlineStr">
        <is>
          <t>Не использован</t>
        </is>
      </c>
      <c r="H615" s="148" t="n"/>
      <c r="I615" s="34" t="str"/>
      <c r="J615" s="34" t="str"/>
      <c r="K615" s="130" t="n">
        <v>11</v>
      </c>
      <c r="L615" s="43">
        <f>IF(COUNTIF($F$5:$F$2407,F615)=1,"OK","Дубликат")</f>
        <v/>
      </c>
    </row>
    <row r="616" ht="38" customHeight="1">
      <c r="A616" s="146" t="inlineStr">
        <is>
          <t>SUB-L2-12-20</t>
        </is>
      </c>
      <c r="B616" s="39" t="inlineStr">
        <is>
          <t>2 уровень</t>
        </is>
      </c>
      <c r="C616" s="34" t="inlineStr">
        <is>
          <t>Закрытые условия на абонементы</t>
        </is>
      </c>
      <c r="D616" s="34" t="inlineStr">
        <is>
          <t>Скидка 20% на абонемент 12 занятий</t>
        </is>
      </c>
      <c r="E616" s="34" t="inlineStr">
        <is>
          <t>При покупке абонемента на 12 занятий</t>
        </is>
      </c>
      <c r="F616" s="147" t="inlineStr">
        <is>
          <t>FW-L2-4GQKF-GH4NM</t>
        </is>
      </c>
      <c r="G616" s="39" t="inlineStr">
        <is>
          <t>Не использован</t>
        </is>
      </c>
      <c r="H616" s="148" t="n"/>
      <c r="I616" s="34" t="str"/>
      <c r="J616" s="34" t="str"/>
      <c r="K616" s="130" t="n">
        <v>12</v>
      </c>
      <c r="L616" s="43">
        <f>IF(COUNTIF($F$5:$F$2407,F616)=1,"OK","Дубликат")</f>
        <v/>
      </c>
    </row>
    <row r="617" ht="38" customHeight="1">
      <c r="A617" s="146" t="inlineStr">
        <is>
          <t>SUB-L2-12-20</t>
        </is>
      </c>
      <c r="B617" s="39" t="inlineStr">
        <is>
          <t>2 уровень</t>
        </is>
      </c>
      <c r="C617" s="34" t="inlineStr">
        <is>
          <t>Закрытые условия на абонементы</t>
        </is>
      </c>
      <c r="D617" s="34" t="inlineStr">
        <is>
          <t>Скидка 20% на абонемент 12 занятий</t>
        </is>
      </c>
      <c r="E617" s="34" t="inlineStr">
        <is>
          <t>При покупке абонемента на 12 занятий</t>
        </is>
      </c>
      <c r="F617" s="147" t="inlineStr">
        <is>
          <t>FW-L2-7SMM3-82BTH</t>
        </is>
      </c>
      <c r="G617" s="39" t="inlineStr">
        <is>
          <t>Не использован</t>
        </is>
      </c>
      <c r="H617" s="148" t="n"/>
      <c r="I617" s="34" t="str"/>
      <c r="J617" s="34" t="str"/>
      <c r="K617" s="130" t="n">
        <v>13</v>
      </c>
      <c r="L617" s="43">
        <f>IF(COUNTIF($F$5:$F$2407,F617)=1,"OK","Дубликат")</f>
        <v/>
      </c>
    </row>
    <row r="618" ht="38" customHeight="1">
      <c r="A618" s="146" t="inlineStr">
        <is>
          <t>SUB-L2-12-20</t>
        </is>
      </c>
      <c r="B618" s="39" t="inlineStr">
        <is>
          <t>2 уровень</t>
        </is>
      </c>
      <c r="C618" s="34" t="inlineStr">
        <is>
          <t>Закрытые условия на абонементы</t>
        </is>
      </c>
      <c r="D618" s="34" t="inlineStr">
        <is>
          <t>Скидка 20% на абонемент 12 занятий</t>
        </is>
      </c>
      <c r="E618" s="34" t="inlineStr">
        <is>
          <t>При покупке абонемента на 12 занятий</t>
        </is>
      </c>
      <c r="F618" s="147" t="inlineStr">
        <is>
          <t>FW-L2-4CBXE-JWQFD</t>
        </is>
      </c>
      <c r="G618" s="39" t="inlineStr">
        <is>
          <t>Не использован</t>
        </is>
      </c>
      <c r="H618" s="148" t="n"/>
      <c r="I618" s="34" t="str"/>
      <c r="J618" s="34" t="str"/>
      <c r="K618" s="130" t="n">
        <v>14</v>
      </c>
      <c r="L618" s="43">
        <f>IF(COUNTIF($F$5:$F$2407,F618)=1,"OK","Дубликат")</f>
        <v/>
      </c>
    </row>
    <row r="619" ht="38" customHeight="1">
      <c r="A619" s="146" t="inlineStr">
        <is>
          <t>SUB-L2-12-20</t>
        </is>
      </c>
      <c r="B619" s="39" t="inlineStr">
        <is>
          <t>2 уровень</t>
        </is>
      </c>
      <c r="C619" s="34" t="inlineStr">
        <is>
          <t>Закрытые условия на абонементы</t>
        </is>
      </c>
      <c r="D619" s="34" t="inlineStr">
        <is>
          <t>Скидка 20% на абонемент 12 занятий</t>
        </is>
      </c>
      <c r="E619" s="34" t="inlineStr">
        <is>
          <t>При покупке абонемента на 12 занятий</t>
        </is>
      </c>
      <c r="F619" s="147" t="inlineStr">
        <is>
          <t>FW-L2-6TEVR-TEWM2</t>
        </is>
      </c>
      <c r="G619" s="39" t="inlineStr">
        <is>
          <t>Не использован</t>
        </is>
      </c>
      <c r="H619" s="148" t="n"/>
      <c r="I619" s="34" t="str"/>
      <c r="J619" s="34" t="str"/>
      <c r="K619" s="130" t="n">
        <v>15</v>
      </c>
      <c r="L619" s="43">
        <f>IF(COUNTIF($F$5:$F$2407,F619)=1,"OK","Дубликат")</f>
        <v/>
      </c>
    </row>
    <row r="620" ht="38" customHeight="1">
      <c r="A620" s="146" t="inlineStr">
        <is>
          <t>SUB-L2-12-20</t>
        </is>
      </c>
      <c r="B620" s="39" t="inlineStr">
        <is>
          <t>2 уровень</t>
        </is>
      </c>
      <c r="C620" s="34" t="inlineStr">
        <is>
          <t>Закрытые условия на абонементы</t>
        </is>
      </c>
      <c r="D620" s="34" t="inlineStr">
        <is>
          <t>Скидка 20% на абонемент 12 занятий</t>
        </is>
      </c>
      <c r="E620" s="34" t="inlineStr">
        <is>
          <t>При покупке абонемента на 12 занятий</t>
        </is>
      </c>
      <c r="F620" s="147" t="inlineStr">
        <is>
          <t>FW-L2-PVF33-7QNR9</t>
        </is>
      </c>
      <c r="G620" s="39" t="inlineStr">
        <is>
          <t>Не использован</t>
        </is>
      </c>
      <c r="H620" s="148" t="n"/>
      <c r="I620" s="34" t="str"/>
      <c r="J620" s="34" t="str"/>
      <c r="K620" s="130" t="n">
        <v>16</v>
      </c>
      <c r="L620" s="43">
        <f>IF(COUNTIF($F$5:$F$2407,F620)=1,"OK","Дубликат")</f>
        <v/>
      </c>
    </row>
    <row r="621" ht="38" customHeight="1">
      <c r="A621" s="146" t="inlineStr">
        <is>
          <t>SUB-L2-12-20</t>
        </is>
      </c>
      <c r="B621" s="39" t="inlineStr">
        <is>
          <t>2 уровень</t>
        </is>
      </c>
      <c r="C621" s="34" t="inlineStr">
        <is>
          <t>Закрытые условия на абонементы</t>
        </is>
      </c>
      <c r="D621" s="34" t="inlineStr">
        <is>
          <t>Скидка 20% на абонемент 12 занятий</t>
        </is>
      </c>
      <c r="E621" s="34" t="inlineStr">
        <is>
          <t>При покупке абонемента на 12 занятий</t>
        </is>
      </c>
      <c r="F621" s="147" t="inlineStr">
        <is>
          <t>FW-L2-7Y373-AH9XN</t>
        </is>
      </c>
      <c r="G621" s="39" t="inlineStr">
        <is>
          <t>Не использован</t>
        </is>
      </c>
      <c r="H621" s="148" t="n"/>
      <c r="I621" s="34" t="str"/>
      <c r="J621" s="34" t="str"/>
      <c r="K621" s="130" t="n">
        <v>17</v>
      </c>
      <c r="L621" s="43">
        <f>IF(COUNTIF($F$5:$F$2407,F621)=1,"OK","Дубликат")</f>
        <v/>
      </c>
    </row>
    <row r="622" ht="38" customHeight="1">
      <c r="A622" s="146" t="inlineStr">
        <is>
          <t>SUB-L2-12-20</t>
        </is>
      </c>
      <c r="B622" s="39" t="inlineStr">
        <is>
          <t>2 уровень</t>
        </is>
      </c>
      <c r="C622" s="34" t="inlineStr">
        <is>
          <t>Закрытые условия на абонементы</t>
        </is>
      </c>
      <c r="D622" s="34" t="inlineStr">
        <is>
          <t>Скидка 20% на абонемент 12 занятий</t>
        </is>
      </c>
      <c r="E622" s="34" t="inlineStr">
        <is>
          <t>При покупке абонемента на 12 занятий</t>
        </is>
      </c>
      <c r="F622" s="147" t="inlineStr">
        <is>
          <t>FW-L2-Y2EEX-PKMUV</t>
        </is>
      </c>
      <c r="G622" s="39" t="inlineStr">
        <is>
          <t>Не использован</t>
        </is>
      </c>
      <c r="H622" s="148" t="n"/>
      <c r="I622" s="34" t="str"/>
      <c r="J622" s="34" t="str"/>
      <c r="K622" s="130" t="n">
        <v>18</v>
      </c>
      <c r="L622" s="43">
        <f>IF(COUNTIF($F$5:$F$2407,F622)=1,"OK","Дубликат")</f>
        <v/>
      </c>
    </row>
    <row r="623" ht="38" customHeight="1">
      <c r="A623" s="146" t="inlineStr">
        <is>
          <t>SUB-L2-12-20</t>
        </is>
      </c>
      <c r="B623" s="39" t="inlineStr">
        <is>
          <t>2 уровень</t>
        </is>
      </c>
      <c r="C623" s="34" t="inlineStr">
        <is>
          <t>Закрытые условия на абонементы</t>
        </is>
      </c>
      <c r="D623" s="34" t="inlineStr">
        <is>
          <t>Скидка 20% на абонемент 12 занятий</t>
        </is>
      </c>
      <c r="E623" s="34" t="inlineStr">
        <is>
          <t>При покупке абонемента на 12 занятий</t>
        </is>
      </c>
      <c r="F623" s="147" t="inlineStr">
        <is>
          <t>FW-L2-2ANP8-9R846</t>
        </is>
      </c>
      <c r="G623" s="39" t="inlineStr">
        <is>
          <t>Не использован</t>
        </is>
      </c>
      <c r="H623" s="148" t="n"/>
      <c r="I623" s="34" t="str"/>
      <c r="J623" s="34" t="str"/>
      <c r="K623" s="130" t="n">
        <v>19</v>
      </c>
      <c r="L623" s="43">
        <f>IF(COUNTIF($F$5:$F$2407,F623)=1,"OK","Дубликат")</f>
        <v/>
      </c>
    </row>
    <row r="624" ht="38" customHeight="1">
      <c r="A624" s="146" t="inlineStr">
        <is>
          <t>SUB-L2-12-20</t>
        </is>
      </c>
      <c r="B624" s="39" t="inlineStr">
        <is>
          <t>2 уровень</t>
        </is>
      </c>
      <c r="C624" s="34" t="inlineStr">
        <is>
          <t>Закрытые условия на абонементы</t>
        </is>
      </c>
      <c r="D624" s="34" t="inlineStr">
        <is>
          <t>Скидка 20% на абонемент 12 занятий</t>
        </is>
      </c>
      <c r="E624" s="34" t="inlineStr">
        <is>
          <t>При покупке абонемента на 12 занятий</t>
        </is>
      </c>
      <c r="F624" s="147" t="inlineStr">
        <is>
          <t>FW-L2-72NFQ-KVZ6T</t>
        </is>
      </c>
      <c r="G624" s="39" t="inlineStr">
        <is>
          <t>Не использован</t>
        </is>
      </c>
      <c r="H624" s="148" t="n"/>
      <c r="I624" s="34" t="str"/>
      <c r="J624" s="34" t="str"/>
      <c r="K624" s="130" t="n">
        <v>20</v>
      </c>
      <c r="L624" s="43">
        <f>IF(COUNTIF($F$5:$F$2407,F624)=1,"OK","Дубликат")</f>
        <v/>
      </c>
    </row>
    <row r="625" ht="38" customHeight="1">
      <c r="A625" s="146" t="inlineStr">
        <is>
          <t>SUB-L2-12-20</t>
        </is>
      </c>
      <c r="B625" s="39" t="inlineStr">
        <is>
          <t>2 уровень</t>
        </is>
      </c>
      <c r="C625" s="34" t="inlineStr">
        <is>
          <t>Закрытые условия на абонементы</t>
        </is>
      </c>
      <c r="D625" s="34" t="inlineStr">
        <is>
          <t>Скидка 20% на абонемент 12 занятий</t>
        </is>
      </c>
      <c r="E625" s="34" t="inlineStr">
        <is>
          <t>При покупке абонемента на 12 занятий</t>
        </is>
      </c>
      <c r="F625" s="147" t="inlineStr">
        <is>
          <t>FW-L2-AMD2M-YRFLF</t>
        </is>
      </c>
      <c r="G625" s="39" t="inlineStr">
        <is>
          <t>Не использован</t>
        </is>
      </c>
      <c r="H625" s="148" t="n"/>
      <c r="I625" s="34" t="str"/>
      <c r="J625" s="34" t="str"/>
      <c r="K625" s="130" t="n">
        <v>21</v>
      </c>
      <c r="L625" s="43">
        <f>IF(COUNTIF($F$5:$F$2407,F625)=1,"OK","Дубликат")</f>
        <v/>
      </c>
    </row>
    <row r="626" ht="38" customHeight="1">
      <c r="A626" s="146" t="inlineStr">
        <is>
          <t>SUB-L2-12-20</t>
        </is>
      </c>
      <c r="B626" s="39" t="inlineStr">
        <is>
          <t>2 уровень</t>
        </is>
      </c>
      <c r="C626" s="34" t="inlineStr">
        <is>
          <t>Закрытые условия на абонементы</t>
        </is>
      </c>
      <c r="D626" s="34" t="inlineStr">
        <is>
          <t>Скидка 20% на абонемент 12 занятий</t>
        </is>
      </c>
      <c r="E626" s="34" t="inlineStr">
        <is>
          <t>При покупке абонемента на 12 занятий</t>
        </is>
      </c>
      <c r="F626" s="147" t="inlineStr">
        <is>
          <t>FW-L2-5YE47-AREK3</t>
        </is>
      </c>
      <c r="G626" s="39" t="inlineStr">
        <is>
          <t>Не использован</t>
        </is>
      </c>
      <c r="H626" s="148" t="n"/>
      <c r="I626" s="34" t="str"/>
      <c r="J626" s="34" t="str"/>
      <c r="K626" s="130" t="n">
        <v>22</v>
      </c>
      <c r="L626" s="43">
        <f>IF(COUNTIF($F$5:$F$2407,F626)=1,"OK","Дубликат")</f>
        <v/>
      </c>
    </row>
    <row r="627" ht="38" customHeight="1">
      <c r="A627" s="146" t="inlineStr">
        <is>
          <t>SUB-L2-12-20</t>
        </is>
      </c>
      <c r="B627" s="39" t="inlineStr">
        <is>
          <t>2 уровень</t>
        </is>
      </c>
      <c r="C627" s="34" t="inlineStr">
        <is>
          <t>Закрытые условия на абонементы</t>
        </is>
      </c>
      <c r="D627" s="34" t="inlineStr">
        <is>
          <t>Скидка 20% на абонемент 12 занятий</t>
        </is>
      </c>
      <c r="E627" s="34" t="inlineStr">
        <is>
          <t>При покупке абонемента на 12 занятий</t>
        </is>
      </c>
      <c r="F627" s="147" t="inlineStr">
        <is>
          <t>FW-L2-LYY7A-5B6MA</t>
        </is>
      </c>
      <c r="G627" s="39" t="inlineStr">
        <is>
          <t>Не использован</t>
        </is>
      </c>
      <c r="H627" s="148" t="n"/>
      <c r="I627" s="34" t="str"/>
      <c r="J627" s="34" t="str"/>
      <c r="K627" s="130" t="n">
        <v>23</v>
      </c>
      <c r="L627" s="43">
        <f>IF(COUNTIF($F$5:$F$2407,F627)=1,"OK","Дубликат")</f>
        <v/>
      </c>
    </row>
    <row r="628" ht="38" customHeight="1">
      <c r="A628" s="146" t="inlineStr">
        <is>
          <t>SUB-L2-12-20</t>
        </is>
      </c>
      <c r="B628" s="39" t="inlineStr">
        <is>
          <t>2 уровень</t>
        </is>
      </c>
      <c r="C628" s="34" t="inlineStr">
        <is>
          <t>Закрытые условия на абонементы</t>
        </is>
      </c>
      <c r="D628" s="34" t="inlineStr">
        <is>
          <t>Скидка 20% на абонемент 12 занятий</t>
        </is>
      </c>
      <c r="E628" s="34" t="inlineStr">
        <is>
          <t>При покупке абонемента на 12 занятий</t>
        </is>
      </c>
      <c r="F628" s="147" t="inlineStr">
        <is>
          <t>FW-L2-YQNBS-Y5VFK</t>
        </is>
      </c>
      <c r="G628" s="39" t="inlineStr">
        <is>
          <t>Не использован</t>
        </is>
      </c>
      <c r="H628" s="148" t="n"/>
      <c r="I628" s="34" t="str"/>
      <c r="J628" s="34" t="str"/>
      <c r="K628" s="130" t="n">
        <v>24</v>
      </c>
      <c r="L628" s="43">
        <f>IF(COUNTIF($F$5:$F$2407,F628)=1,"OK","Дубликат")</f>
        <v/>
      </c>
    </row>
    <row r="629" ht="38" customHeight="1">
      <c r="A629" s="146" t="inlineStr">
        <is>
          <t>SUB-L2-12-20</t>
        </is>
      </c>
      <c r="B629" s="39" t="inlineStr">
        <is>
          <t>2 уровень</t>
        </is>
      </c>
      <c r="C629" s="34" t="inlineStr">
        <is>
          <t>Закрытые условия на абонементы</t>
        </is>
      </c>
      <c r="D629" s="34" t="inlineStr">
        <is>
          <t>Скидка 20% на абонемент 12 занятий</t>
        </is>
      </c>
      <c r="E629" s="34" t="inlineStr">
        <is>
          <t>При покупке абонемента на 12 занятий</t>
        </is>
      </c>
      <c r="F629" s="147" t="inlineStr">
        <is>
          <t>FW-L2-QZPPS-VC8RG</t>
        </is>
      </c>
      <c r="G629" s="39" t="inlineStr">
        <is>
          <t>Не использован</t>
        </is>
      </c>
      <c r="H629" s="148" t="n"/>
      <c r="I629" s="34" t="str"/>
      <c r="J629" s="34" t="str"/>
      <c r="K629" s="130" t="n">
        <v>25</v>
      </c>
      <c r="L629" s="43">
        <f>IF(COUNTIF($F$5:$F$2407,F629)=1,"OK","Дубликат")</f>
        <v/>
      </c>
    </row>
    <row r="630" ht="38" customHeight="1">
      <c r="A630" s="146" t="inlineStr">
        <is>
          <t>SUB-L2-12-20</t>
        </is>
      </c>
      <c r="B630" s="39" t="inlineStr">
        <is>
          <t>2 уровень</t>
        </is>
      </c>
      <c r="C630" s="34" t="inlineStr">
        <is>
          <t>Закрытые условия на абонементы</t>
        </is>
      </c>
      <c r="D630" s="34" t="inlineStr">
        <is>
          <t>Скидка 20% на абонемент 12 занятий</t>
        </is>
      </c>
      <c r="E630" s="34" t="inlineStr">
        <is>
          <t>При покупке абонемента на 12 занятий</t>
        </is>
      </c>
      <c r="F630" s="147" t="inlineStr">
        <is>
          <t>FW-L2-8Q62S-2LE38</t>
        </is>
      </c>
      <c r="G630" s="39" t="inlineStr">
        <is>
          <t>Не использован</t>
        </is>
      </c>
      <c r="H630" s="148" t="n"/>
      <c r="I630" s="34" t="str"/>
      <c r="J630" s="34" t="str"/>
      <c r="K630" s="130" t="n">
        <v>26</v>
      </c>
      <c r="L630" s="43">
        <f>IF(COUNTIF($F$5:$F$2407,F630)=1,"OK","Дубликат")</f>
        <v/>
      </c>
    </row>
    <row r="631" ht="38" customHeight="1">
      <c r="A631" s="146" t="inlineStr">
        <is>
          <t>SUB-L2-12-20</t>
        </is>
      </c>
      <c r="B631" s="39" t="inlineStr">
        <is>
          <t>2 уровень</t>
        </is>
      </c>
      <c r="C631" s="34" t="inlineStr">
        <is>
          <t>Закрытые условия на абонементы</t>
        </is>
      </c>
      <c r="D631" s="34" t="inlineStr">
        <is>
          <t>Скидка 20% на абонемент 12 занятий</t>
        </is>
      </c>
      <c r="E631" s="34" t="inlineStr">
        <is>
          <t>При покупке абонемента на 12 занятий</t>
        </is>
      </c>
      <c r="F631" s="147" t="inlineStr">
        <is>
          <t>FW-L2-XBEZR-4GV8W</t>
        </is>
      </c>
      <c r="G631" s="39" t="inlineStr">
        <is>
          <t>Не использован</t>
        </is>
      </c>
      <c r="H631" s="148" t="n"/>
      <c r="I631" s="34" t="str"/>
      <c r="J631" s="34" t="str"/>
      <c r="K631" s="130" t="n">
        <v>27</v>
      </c>
      <c r="L631" s="43">
        <f>IF(COUNTIF($F$5:$F$2407,F631)=1,"OK","Дубликат")</f>
        <v/>
      </c>
    </row>
    <row r="632" ht="38" customHeight="1">
      <c r="A632" s="146" t="inlineStr">
        <is>
          <t>SUB-L2-12-20</t>
        </is>
      </c>
      <c r="B632" s="39" t="inlineStr">
        <is>
          <t>2 уровень</t>
        </is>
      </c>
      <c r="C632" s="34" t="inlineStr">
        <is>
          <t>Закрытые условия на абонементы</t>
        </is>
      </c>
      <c r="D632" s="34" t="inlineStr">
        <is>
          <t>Скидка 20% на абонемент 12 занятий</t>
        </is>
      </c>
      <c r="E632" s="34" t="inlineStr">
        <is>
          <t>При покупке абонемента на 12 занятий</t>
        </is>
      </c>
      <c r="F632" s="147" t="inlineStr">
        <is>
          <t>FW-L2-59YRK-C8LZT</t>
        </is>
      </c>
      <c r="G632" s="39" t="inlineStr">
        <is>
          <t>Не использован</t>
        </is>
      </c>
      <c r="H632" s="148" t="n"/>
      <c r="I632" s="34" t="str"/>
      <c r="J632" s="34" t="str"/>
      <c r="K632" s="130" t="n">
        <v>28</v>
      </c>
      <c r="L632" s="43">
        <f>IF(COUNTIF($F$5:$F$2407,F632)=1,"OK","Дубликат")</f>
        <v/>
      </c>
    </row>
    <row r="633" ht="38" customHeight="1">
      <c r="A633" s="146" t="inlineStr">
        <is>
          <t>SUB-L2-12-20</t>
        </is>
      </c>
      <c r="B633" s="39" t="inlineStr">
        <is>
          <t>2 уровень</t>
        </is>
      </c>
      <c r="C633" s="34" t="inlineStr">
        <is>
          <t>Закрытые условия на абонементы</t>
        </is>
      </c>
      <c r="D633" s="34" t="inlineStr">
        <is>
          <t>Скидка 20% на абонемент 12 занятий</t>
        </is>
      </c>
      <c r="E633" s="34" t="inlineStr">
        <is>
          <t>При покупке абонемента на 12 занятий</t>
        </is>
      </c>
      <c r="F633" s="147" t="inlineStr">
        <is>
          <t>FW-L2-DREMA-YHDS7</t>
        </is>
      </c>
      <c r="G633" s="39" t="inlineStr">
        <is>
          <t>Не использован</t>
        </is>
      </c>
      <c r="H633" s="148" t="n"/>
      <c r="I633" s="34" t="str"/>
      <c r="J633" s="34" t="str"/>
      <c r="K633" s="130" t="n">
        <v>29</v>
      </c>
      <c r="L633" s="43">
        <f>IF(COUNTIF($F$5:$F$2407,F633)=1,"OK","Дубликат")</f>
        <v/>
      </c>
    </row>
    <row r="634" ht="38" customHeight="1">
      <c r="A634" s="146" t="inlineStr">
        <is>
          <t>SUB-L2-12-20</t>
        </is>
      </c>
      <c r="B634" s="39" t="inlineStr">
        <is>
          <t>2 уровень</t>
        </is>
      </c>
      <c r="C634" s="34" t="inlineStr">
        <is>
          <t>Закрытые условия на абонементы</t>
        </is>
      </c>
      <c r="D634" s="34" t="inlineStr">
        <is>
          <t>Скидка 20% на абонемент 12 занятий</t>
        </is>
      </c>
      <c r="E634" s="34" t="inlineStr">
        <is>
          <t>При покупке абонемента на 12 занятий</t>
        </is>
      </c>
      <c r="F634" s="147" t="inlineStr">
        <is>
          <t>FW-L2-TUCW6-VECWY</t>
        </is>
      </c>
      <c r="G634" s="39" t="inlineStr">
        <is>
          <t>Не использован</t>
        </is>
      </c>
      <c r="H634" s="148" t="n"/>
      <c r="I634" s="34" t="str"/>
      <c r="J634" s="34" t="str"/>
      <c r="K634" s="130" t="n">
        <v>30</v>
      </c>
      <c r="L634" s="43">
        <f>IF(COUNTIF($F$5:$F$2407,F634)=1,"OK","Дубликат")</f>
        <v/>
      </c>
    </row>
    <row r="635" ht="38" customHeight="1">
      <c r="A635" s="146" t="inlineStr">
        <is>
          <t>SUB-L2-12-20</t>
        </is>
      </c>
      <c r="B635" s="39" t="inlineStr">
        <is>
          <t>2 уровень</t>
        </is>
      </c>
      <c r="C635" s="34" t="inlineStr">
        <is>
          <t>Закрытые условия на абонементы</t>
        </is>
      </c>
      <c r="D635" s="34" t="inlineStr">
        <is>
          <t>Скидка 20% на абонемент 12 занятий</t>
        </is>
      </c>
      <c r="E635" s="34" t="inlineStr">
        <is>
          <t>При покупке абонемента на 12 занятий</t>
        </is>
      </c>
      <c r="F635" s="147" t="inlineStr">
        <is>
          <t>FW-L2-5F9TX-H39EU</t>
        </is>
      </c>
      <c r="G635" s="39" t="inlineStr">
        <is>
          <t>Не использован</t>
        </is>
      </c>
      <c r="H635" s="148" t="n"/>
      <c r="I635" s="34" t="str"/>
      <c r="J635" s="34" t="str"/>
      <c r="K635" s="130" t="n">
        <v>31</v>
      </c>
      <c r="L635" s="43">
        <f>IF(COUNTIF($F$5:$F$2407,F635)=1,"OK","Дубликат")</f>
        <v/>
      </c>
    </row>
    <row r="636" ht="38" customHeight="1">
      <c r="A636" s="146" t="inlineStr">
        <is>
          <t>SUB-L2-12-20</t>
        </is>
      </c>
      <c r="B636" s="39" t="inlineStr">
        <is>
          <t>2 уровень</t>
        </is>
      </c>
      <c r="C636" s="34" t="inlineStr">
        <is>
          <t>Закрытые условия на абонементы</t>
        </is>
      </c>
      <c r="D636" s="34" t="inlineStr">
        <is>
          <t>Скидка 20% на абонемент 12 занятий</t>
        </is>
      </c>
      <c r="E636" s="34" t="inlineStr">
        <is>
          <t>При покупке абонемента на 12 занятий</t>
        </is>
      </c>
      <c r="F636" s="147" t="inlineStr">
        <is>
          <t>FW-L2-SJPVX-MHE6V</t>
        </is>
      </c>
      <c r="G636" s="39" t="inlineStr">
        <is>
          <t>Не использован</t>
        </is>
      </c>
      <c r="H636" s="148" t="n"/>
      <c r="I636" s="34" t="str"/>
      <c r="J636" s="34" t="str"/>
      <c r="K636" s="130" t="n">
        <v>32</v>
      </c>
      <c r="L636" s="43">
        <f>IF(COUNTIF($F$5:$F$2407,F636)=1,"OK","Дубликат")</f>
        <v/>
      </c>
    </row>
    <row r="637" ht="38" customHeight="1">
      <c r="A637" s="146" t="inlineStr">
        <is>
          <t>SUB-L2-12-20</t>
        </is>
      </c>
      <c r="B637" s="39" t="inlineStr">
        <is>
          <t>2 уровень</t>
        </is>
      </c>
      <c r="C637" s="34" t="inlineStr">
        <is>
          <t>Закрытые условия на абонементы</t>
        </is>
      </c>
      <c r="D637" s="34" t="inlineStr">
        <is>
          <t>Скидка 20% на абонемент 12 занятий</t>
        </is>
      </c>
      <c r="E637" s="34" t="inlineStr">
        <is>
          <t>При покупке абонемента на 12 занятий</t>
        </is>
      </c>
      <c r="F637" s="147" t="inlineStr">
        <is>
          <t>FW-L2-A92MV-Q94Y5</t>
        </is>
      </c>
      <c r="G637" s="39" t="inlineStr">
        <is>
          <t>Не использован</t>
        </is>
      </c>
      <c r="H637" s="148" t="n"/>
      <c r="I637" s="34" t="str"/>
      <c r="J637" s="34" t="str"/>
      <c r="K637" s="130" t="n">
        <v>33</v>
      </c>
      <c r="L637" s="43">
        <f>IF(COUNTIF($F$5:$F$2407,F637)=1,"OK","Дубликат")</f>
        <v/>
      </c>
    </row>
    <row r="638" ht="38" customHeight="1">
      <c r="A638" s="146" t="inlineStr">
        <is>
          <t>SUB-L2-12-20</t>
        </is>
      </c>
      <c r="B638" s="39" t="inlineStr">
        <is>
          <t>2 уровень</t>
        </is>
      </c>
      <c r="C638" s="34" t="inlineStr">
        <is>
          <t>Закрытые условия на абонементы</t>
        </is>
      </c>
      <c r="D638" s="34" t="inlineStr">
        <is>
          <t>Скидка 20% на абонемент 12 занятий</t>
        </is>
      </c>
      <c r="E638" s="34" t="inlineStr">
        <is>
          <t>При покупке абонемента на 12 занятий</t>
        </is>
      </c>
      <c r="F638" s="147" t="inlineStr">
        <is>
          <t>FW-L2-4BLKB-RVDCH</t>
        </is>
      </c>
      <c r="G638" s="39" t="inlineStr">
        <is>
          <t>Не использован</t>
        </is>
      </c>
      <c r="H638" s="148" t="n"/>
      <c r="I638" s="34" t="str"/>
      <c r="J638" s="34" t="str"/>
      <c r="K638" s="130" t="n">
        <v>34</v>
      </c>
      <c r="L638" s="43">
        <f>IF(COUNTIF($F$5:$F$2407,F638)=1,"OK","Дубликат")</f>
        <v/>
      </c>
    </row>
    <row r="639" ht="38" customHeight="1">
      <c r="A639" s="146" t="inlineStr">
        <is>
          <t>SUB-L2-12-20</t>
        </is>
      </c>
      <c r="B639" s="39" t="inlineStr">
        <is>
          <t>2 уровень</t>
        </is>
      </c>
      <c r="C639" s="34" t="inlineStr">
        <is>
          <t>Закрытые условия на абонементы</t>
        </is>
      </c>
      <c r="D639" s="34" t="inlineStr">
        <is>
          <t>Скидка 20% на абонемент 12 занятий</t>
        </is>
      </c>
      <c r="E639" s="34" t="inlineStr">
        <is>
          <t>При покупке абонемента на 12 занятий</t>
        </is>
      </c>
      <c r="F639" s="147" t="inlineStr">
        <is>
          <t>FW-L2-4HEPY-9YRSB</t>
        </is>
      </c>
      <c r="G639" s="39" t="inlineStr">
        <is>
          <t>Не использован</t>
        </is>
      </c>
      <c r="H639" s="148" t="n"/>
      <c r="I639" s="34" t="str"/>
      <c r="J639" s="34" t="str"/>
      <c r="K639" s="130" t="n">
        <v>35</v>
      </c>
      <c r="L639" s="43">
        <f>IF(COUNTIF($F$5:$F$2407,F639)=1,"OK","Дубликат")</f>
        <v/>
      </c>
    </row>
    <row r="640" ht="38" customHeight="1">
      <c r="A640" s="146" t="inlineStr">
        <is>
          <t>SUB-L2-12-20</t>
        </is>
      </c>
      <c r="B640" s="39" t="inlineStr">
        <is>
          <t>2 уровень</t>
        </is>
      </c>
      <c r="C640" s="34" t="inlineStr">
        <is>
          <t>Закрытые условия на абонементы</t>
        </is>
      </c>
      <c r="D640" s="34" t="inlineStr">
        <is>
          <t>Скидка 20% на абонемент 12 занятий</t>
        </is>
      </c>
      <c r="E640" s="34" t="inlineStr">
        <is>
          <t>При покупке абонемента на 12 занятий</t>
        </is>
      </c>
      <c r="F640" s="147" t="inlineStr">
        <is>
          <t>FW-L2-PENTU-BN5GU</t>
        </is>
      </c>
      <c r="G640" s="39" t="inlineStr">
        <is>
          <t>Не использован</t>
        </is>
      </c>
      <c r="H640" s="148" t="n"/>
      <c r="I640" s="34" t="str"/>
      <c r="J640" s="34" t="str"/>
      <c r="K640" s="130" t="n">
        <v>36</v>
      </c>
      <c r="L640" s="43">
        <f>IF(COUNTIF($F$5:$F$2407,F640)=1,"OK","Дубликат")</f>
        <v/>
      </c>
    </row>
    <row r="641" ht="38" customHeight="1">
      <c r="A641" s="146" t="inlineStr">
        <is>
          <t>SUB-L2-12-20</t>
        </is>
      </c>
      <c r="B641" s="39" t="inlineStr">
        <is>
          <t>2 уровень</t>
        </is>
      </c>
      <c r="C641" s="34" t="inlineStr">
        <is>
          <t>Закрытые условия на абонементы</t>
        </is>
      </c>
      <c r="D641" s="34" t="inlineStr">
        <is>
          <t>Скидка 20% на абонемент 12 занятий</t>
        </is>
      </c>
      <c r="E641" s="34" t="inlineStr">
        <is>
          <t>При покупке абонемента на 12 занятий</t>
        </is>
      </c>
      <c r="F641" s="147" t="inlineStr">
        <is>
          <t>FW-L2-ERCRA-CYWYF</t>
        </is>
      </c>
      <c r="G641" s="39" t="inlineStr">
        <is>
          <t>Не использован</t>
        </is>
      </c>
      <c r="H641" s="148" t="n"/>
      <c r="I641" s="34" t="str"/>
      <c r="J641" s="34" t="str"/>
      <c r="K641" s="130" t="n">
        <v>37</v>
      </c>
      <c r="L641" s="43">
        <f>IF(COUNTIF($F$5:$F$2407,F641)=1,"OK","Дубликат")</f>
        <v/>
      </c>
    </row>
    <row r="642" ht="38" customHeight="1">
      <c r="A642" s="146" t="inlineStr">
        <is>
          <t>SUB-L2-12-20</t>
        </is>
      </c>
      <c r="B642" s="39" t="inlineStr">
        <is>
          <t>2 уровень</t>
        </is>
      </c>
      <c r="C642" s="34" t="inlineStr">
        <is>
          <t>Закрытые условия на абонементы</t>
        </is>
      </c>
      <c r="D642" s="34" t="inlineStr">
        <is>
          <t>Скидка 20% на абонемент 12 занятий</t>
        </is>
      </c>
      <c r="E642" s="34" t="inlineStr">
        <is>
          <t>При покупке абонемента на 12 занятий</t>
        </is>
      </c>
      <c r="F642" s="147" t="inlineStr">
        <is>
          <t>FW-L2-NUBBL-E7TBD</t>
        </is>
      </c>
      <c r="G642" s="39" t="inlineStr">
        <is>
          <t>Не использован</t>
        </is>
      </c>
      <c r="H642" s="148" t="n"/>
      <c r="I642" s="34" t="str"/>
      <c r="J642" s="34" t="str"/>
      <c r="K642" s="130" t="n">
        <v>38</v>
      </c>
      <c r="L642" s="43">
        <f>IF(COUNTIF($F$5:$F$2407,F642)=1,"OK","Дубликат")</f>
        <v/>
      </c>
    </row>
    <row r="643" ht="38" customHeight="1">
      <c r="A643" s="146" t="inlineStr">
        <is>
          <t>SUB-L2-12-20</t>
        </is>
      </c>
      <c r="B643" s="39" t="inlineStr">
        <is>
          <t>2 уровень</t>
        </is>
      </c>
      <c r="C643" s="34" t="inlineStr">
        <is>
          <t>Закрытые условия на абонементы</t>
        </is>
      </c>
      <c r="D643" s="34" t="inlineStr">
        <is>
          <t>Скидка 20% на абонемент 12 занятий</t>
        </is>
      </c>
      <c r="E643" s="34" t="inlineStr">
        <is>
          <t>При покупке абонемента на 12 занятий</t>
        </is>
      </c>
      <c r="F643" s="147" t="inlineStr">
        <is>
          <t>FW-L2-ZU7QG-M7EM4</t>
        </is>
      </c>
      <c r="G643" s="39" t="inlineStr">
        <is>
          <t>Не использован</t>
        </is>
      </c>
      <c r="H643" s="148" t="n"/>
      <c r="I643" s="34" t="str"/>
      <c r="J643" s="34" t="str"/>
      <c r="K643" s="130" t="n">
        <v>39</v>
      </c>
      <c r="L643" s="43">
        <f>IF(COUNTIF($F$5:$F$2407,F643)=1,"OK","Дубликат")</f>
        <v/>
      </c>
    </row>
    <row r="644" ht="38" customHeight="1">
      <c r="A644" s="146" t="inlineStr">
        <is>
          <t>SUB-L2-12-20</t>
        </is>
      </c>
      <c r="B644" s="39" t="inlineStr">
        <is>
          <t>2 уровень</t>
        </is>
      </c>
      <c r="C644" s="34" t="inlineStr">
        <is>
          <t>Закрытые условия на абонементы</t>
        </is>
      </c>
      <c r="D644" s="34" t="inlineStr">
        <is>
          <t>Скидка 20% на абонемент 12 занятий</t>
        </is>
      </c>
      <c r="E644" s="34" t="inlineStr">
        <is>
          <t>При покупке абонемента на 12 занятий</t>
        </is>
      </c>
      <c r="F644" s="147" t="inlineStr">
        <is>
          <t>FW-L2-L2VPU-RMUCA</t>
        </is>
      </c>
      <c r="G644" s="39" t="inlineStr">
        <is>
          <t>Не использован</t>
        </is>
      </c>
      <c r="H644" s="148" t="n"/>
      <c r="I644" s="34" t="str"/>
      <c r="J644" s="34" t="str"/>
      <c r="K644" s="130" t="n">
        <v>40</v>
      </c>
      <c r="L644" s="43">
        <f>IF(COUNTIF($F$5:$F$2407,F644)=1,"OK","Дубликат")</f>
        <v/>
      </c>
    </row>
    <row r="645" ht="38" customHeight="1">
      <c r="A645" s="146" t="inlineStr">
        <is>
          <t>SUB-L2-12-20</t>
        </is>
      </c>
      <c r="B645" s="39" t="inlineStr">
        <is>
          <t>2 уровень</t>
        </is>
      </c>
      <c r="C645" s="34" t="inlineStr">
        <is>
          <t>Закрытые условия на абонементы</t>
        </is>
      </c>
      <c r="D645" s="34" t="inlineStr">
        <is>
          <t>Скидка 20% на абонемент 12 занятий</t>
        </is>
      </c>
      <c r="E645" s="34" t="inlineStr">
        <is>
          <t>При покупке абонемента на 12 занятий</t>
        </is>
      </c>
      <c r="F645" s="147" t="inlineStr">
        <is>
          <t>FW-L2-SK9PL-2DCUT</t>
        </is>
      </c>
      <c r="G645" s="39" t="inlineStr">
        <is>
          <t>Не использован</t>
        </is>
      </c>
      <c r="H645" s="148" t="n"/>
      <c r="I645" s="34" t="str"/>
      <c r="J645" s="34" t="str"/>
      <c r="K645" s="130" t="n">
        <v>41</v>
      </c>
      <c r="L645" s="43">
        <f>IF(COUNTIF($F$5:$F$2407,F645)=1,"OK","Дубликат")</f>
        <v/>
      </c>
    </row>
    <row r="646" ht="38" customHeight="1">
      <c r="A646" s="146" t="inlineStr">
        <is>
          <t>SUB-L2-12-20</t>
        </is>
      </c>
      <c r="B646" s="39" t="inlineStr">
        <is>
          <t>2 уровень</t>
        </is>
      </c>
      <c r="C646" s="34" t="inlineStr">
        <is>
          <t>Закрытые условия на абонементы</t>
        </is>
      </c>
      <c r="D646" s="34" t="inlineStr">
        <is>
          <t>Скидка 20% на абонемент 12 занятий</t>
        </is>
      </c>
      <c r="E646" s="34" t="inlineStr">
        <is>
          <t>При покупке абонемента на 12 занятий</t>
        </is>
      </c>
      <c r="F646" s="147" t="inlineStr">
        <is>
          <t>FW-L2-4Z95X-WV954</t>
        </is>
      </c>
      <c r="G646" s="39" t="inlineStr">
        <is>
          <t>Не использован</t>
        </is>
      </c>
      <c r="H646" s="148" t="n"/>
      <c r="I646" s="34" t="str"/>
      <c r="J646" s="34" t="str"/>
      <c r="K646" s="130" t="n">
        <v>42</v>
      </c>
      <c r="L646" s="43">
        <f>IF(COUNTIF($F$5:$F$2407,F646)=1,"OK","Дубликат")</f>
        <v/>
      </c>
    </row>
    <row r="647" ht="38" customHeight="1">
      <c r="A647" s="146" t="inlineStr">
        <is>
          <t>SUB-L2-12-20</t>
        </is>
      </c>
      <c r="B647" s="39" t="inlineStr">
        <is>
          <t>2 уровень</t>
        </is>
      </c>
      <c r="C647" s="34" t="inlineStr">
        <is>
          <t>Закрытые условия на абонементы</t>
        </is>
      </c>
      <c r="D647" s="34" t="inlineStr">
        <is>
          <t>Скидка 20% на абонемент 12 занятий</t>
        </is>
      </c>
      <c r="E647" s="34" t="inlineStr">
        <is>
          <t>При покупке абонемента на 12 занятий</t>
        </is>
      </c>
      <c r="F647" s="147" t="inlineStr">
        <is>
          <t>FW-L2-5V67F-WAF8H</t>
        </is>
      </c>
      <c r="G647" s="39" t="inlineStr">
        <is>
          <t>Не использован</t>
        </is>
      </c>
      <c r="H647" s="148" t="n"/>
      <c r="I647" s="34" t="str"/>
      <c r="J647" s="34" t="str"/>
      <c r="K647" s="130" t="n">
        <v>43</v>
      </c>
      <c r="L647" s="43">
        <f>IF(COUNTIF($F$5:$F$2407,F647)=1,"OK","Дубликат")</f>
        <v/>
      </c>
    </row>
    <row r="648" ht="38" customHeight="1">
      <c r="A648" s="146" t="inlineStr">
        <is>
          <t>SUB-L2-12-20</t>
        </is>
      </c>
      <c r="B648" s="39" t="inlineStr">
        <is>
          <t>2 уровень</t>
        </is>
      </c>
      <c r="C648" s="34" t="inlineStr">
        <is>
          <t>Закрытые условия на абонементы</t>
        </is>
      </c>
      <c r="D648" s="34" t="inlineStr">
        <is>
          <t>Скидка 20% на абонемент 12 занятий</t>
        </is>
      </c>
      <c r="E648" s="34" t="inlineStr">
        <is>
          <t>При покупке абонемента на 12 занятий</t>
        </is>
      </c>
      <c r="F648" s="147" t="inlineStr">
        <is>
          <t>FW-L2-FX4LU-EYAC7</t>
        </is>
      </c>
      <c r="G648" s="39" t="inlineStr">
        <is>
          <t>Не использован</t>
        </is>
      </c>
      <c r="H648" s="148" t="n"/>
      <c r="I648" s="34" t="str"/>
      <c r="J648" s="34" t="str"/>
      <c r="K648" s="130" t="n">
        <v>44</v>
      </c>
      <c r="L648" s="43">
        <f>IF(COUNTIF($F$5:$F$2407,F648)=1,"OK","Дубликат")</f>
        <v/>
      </c>
    </row>
    <row r="649" ht="38" customHeight="1">
      <c r="A649" s="146" t="inlineStr">
        <is>
          <t>SUB-L2-12-20</t>
        </is>
      </c>
      <c r="B649" s="39" t="inlineStr">
        <is>
          <t>2 уровень</t>
        </is>
      </c>
      <c r="C649" s="34" t="inlineStr">
        <is>
          <t>Закрытые условия на абонементы</t>
        </is>
      </c>
      <c r="D649" s="34" t="inlineStr">
        <is>
          <t>Скидка 20% на абонемент 12 занятий</t>
        </is>
      </c>
      <c r="E649" s="34" t="inlineStr">
        <is>
          <t>При покупке абонемента на 12 занятий</t>
        </is>
      </c>
      <c r="F649" s="147" t="inlineStr">
        <is>
          <t>FW-L2-WUPVE-RHQBC</t>
        </is>
      </c>
      <c r="G649" s="39" t="inlineStr">
        <is>
          <t>Не использован</t>
        </is>
      </c>
      <c r="H649" s="148" t="n"/>
      <c r="I649" s="34" t="str"/>
      <c r="J649" s="34" t="str"/>
      <c r="K649" s="130" t="n">
        <v>45</v>
      </c>
      <c r="L649" s="43">
        <f>IF(COUNTIF($F$5:$F$2407,F649)=1,"OK","Дубликат")</f>
        <v/>
      </c>
    </row>
    <row r="650" ht="38" customHeight="1">
      <c r="A650" s="146" t="inlineStr">
        <is>
          <t>SUB-L2-12-20</t>
        </is>
      </c>
      <c r="B650" s="39" t="inlineStr">
        <is>
          <t>2 уровень</t>
        </is>
      </c>
      <c r="C650" s="34" t="inlineStr">
        <is>
          <t>Закрытые условия на абонементы</t>
        </is>
      </c>
      <c r="D650" s="34" t="inlineStr">
        <is>
          <t>Скидка 20% на абонемент 12 занятий</t>
        </is>
      </c>
      <c r="E650" s="34" t="inlineStr">
        <is>
          <t>При покупке абонемента на 12 занятий</t>
        </is>
      </c>
      <c r="F650" s="147" t="inlineStr">
        <is>
          <t>FW-L2-WRYVG-4ZDAX</t>
        </is>
      </c>
      <c r="G650" s="39" t="inlineStr">
        <is>
          <t>Не использован</t>
        </is>
      </c>
      <c r="H650" s="148" t="n"/>
      <c r="I650" s="34" t="str"/>
      <c r="J650" s="34" t="str"/>
      <c r="K650" s="130" t="n">
        <v>46</v>
      </c>
      <c r="L650" s="43">
        <f>IF(COUNTIF($F$5:$F$2407,F650)=1,"OK","Дубликат")</f>
        <v/>
      </c>
    </row>
    <row r="651" ht="38" customHeight="1">
      <c r="A651" s="146" t="inlineStr">
        <is>
          <t>SUB-L2-12-20</t>
        </is>
      </c>
      <c r="B651" s="39" t="inlineStr">
        <is>
          <t>2 уровень</t>
        </is>
      </c>
      <c r="C651" s="34" t="inlineStr">
        <is>
          <t>Закрытые условия на абонементы</t>
        </is>
      </c>
      <c r="D651" s="34" t="inlineStr">
        <is>
          <t>Скидка 20% на абонемент 12 занятий</t>
        </is>
      </c>
      <c r="E651" s="34" t="inlineStr">
        <is>
          <t>При покупке абонемента на 12 занятий</t>
        </is>
      </c>
      <c r="F651" s="147" t="inlineStr">
        <is>
          <t>FW-L2-DNSA4-R57K2</t>
        </is>
      </c>
      <c r="G651" s="39" t="inlineStr">
        <is>
          <t>Не использован</t>
        </is>
      </c>
      <c r="H651" s="148" t="n"/>
      <c r="I651" s="34" t="str"/>
      <c r="J651" s="34" t="str"/>
      <c r="K651" s="130" t="n">
        <v>47</v>
      </c>
      <c r="L651" s="43">
        <f>IF(COUNTIF($F$5:$F$2407,F651)=1,"OK","Дубликат")</f>
        <v/>
      </c>
    </row>
    <row r="652" ht="38" customHeight="1">
      <c r="A652" s="146" t="inlineStr">
        <is>
          <t>SUB-L2-12-20</t>
        </is>
      </c>
      <c r="B652" s="39" t="inlineStr">
        <is>
          <t>2 уровень</t>
        </is>
      </c>
      <c r="C652" s="34" t="inlineStr">
        <is>
          <t>Закрытые условия на абонементы</t>
        </is>
      </c>
      <c r="D652" s="34" t="inlineStr">
        <is>
          <t>Скидка 20% на абонемент 12 занятий</t>
        </is>
      </c>
      <c r="E652" s="34" t="inlineStr">
        <is>
          <t>При покупке абонемента на 12 занятий</t>
        </is>
      </c>
      <c r="F652" s="147" t="inlineStr">
        <is>
          <t>FW-L2-5PHAD-D5RQU</t>
        </is>
      </c>
      <c r="G652" s="39" t="inlineStr">
        <is>
          <t>Не использован</t>
        </is>
      </c>
      <c r="H652" s="148" t="n"/>
      <c r="I652" s="34" t="str"/>
      <c r="J652" s="34" t="str"/>
      <c r="K652" s="130" t="n">
        <v>48</v>
      </c>
      <c r="L652" s="43">
        <f>IF(COUNTIF($F$5:$F$2407,F652)=1,"OK","Дубликат")</f>
        <v/>
      </c>
    </row>
    <row r="653" ht="38" customHeight="1">
      <c r="A653" s="146" t="inlineStr">
        <is>
          <t>SUB-L2-12-20</t>
        </is>
      </c>
      <c r="B653" s="39" t="inlineStr">
        <is>
          <t>2 уровень</t>
        </is>
      </c>
      <c r="C653" s="34" t="inlineStr">
        <is>
          <t>Закрытые условия на абонементы</t>
        </is>
      </c>
      <c r="D653" s="34" t="inlineStr">
        <is>
          <t>Скидка 20% на абонемент 12 занятий</t>
        </is>
      </c>
      <c r="E653" s="34" t="inlineStr">
        <is>
          <t>При покупке абонемента на 12 занятий</t>
        </is>
      </c>
      <c r="F653" s="147" t="inlineStr">
        <is>
          <t>FW-L2-XWELY-7MG5L</t>
        </is>
      </c>
      <c r="G653" s="39" t="inlineStr">
        <is>
          <t>Не использован</t>
        </is>
      </c>
      <c r="H653" s="148" t="n"/>
      <c r="I653" s="34" t="str"/>
      <c r="J653" s="34" t="str"/>
      <c r="K653" s="130" t="n">
        <v>49</v>
      </c>
      <c r="L653" s="43">
        <f>IF(COUNTIF($F$5:$F$2407,F653)=1,"OK","Дубликат")</f>
        <v/>
      </c>
    </row>
    <row r="654" ht="38" customHeight="1">
      <c r="A654" s="146" t="inlineStr">
        <is>
          <t>SUB-L2-12-20</t>
        </is>
      </c>
      <c r="B654" s="39" t="inlineStr">
        <is>
          <t>2 уровень</t>
        </is>
      </c>
      <c r="C654" s="34" t="inlineStr">
        <is>
          <t>Закрытые условия на абонементы</t>
        </is>
      </c>
      <c r="D654" s="34" t="inlineStr">
        <is>
          <t>Скидка 20% на абонемент 12 занятий</t>
        </is>
      </c>
      <c r="E654" s="34" t="inlineStr">
        <is>
          <t>При покупке абонемента на 12 занятий</t>
        </is>
      </c>
      <c r="F654" s="147" t="inlineStr">
        <is>
          <t>FW-L2-VSDWZ-P4W8Q</t>
        </is>
      </c>
      <c r="G654" s="39" t="inlineStr">
        <is>
          <t>Не использован</t>
        </is>
      </c>
      <c r="H654" s="148" t="n"/>
      <c r="I654" s="34" t="str"/>
      <c r="J654" s="34" t="str"/>
      <c r="K654" s="130" t="n">
        <v>50</v>
      </c>
      <c r="L654" s="43">
        <f>IF(COUNTIF($F$5:$F$2407,F654)=1,"OK","Дубликат")</f>
        <v/>
      </c>
    </row>
    <row r="655" ht="38" customHeight="1">
      <c r="A655" s="146" t="inlineStr">
        <is>
          <t>SUB-L2-12-20</t>
        </is>
      </c>
      <c r="B655" s="39" t="inlineStr">
        <is>
          <t>2 уровень</t>
        </is>
      </c>
      <c r="C655" s="34" t="inlineStr">
        <is>
          <t>Закрытые условия на абонементы</t>
        </is>
      </c>
      <c r="D655" s="34" t="inlineStr">
        <is>
          <t>Скидка 20% на абонемент 12 занятий</t>
        </is>
      </c>
      <c r="E655" s="34" t="inlineStr">
        <is>
          <t>При покупке абонемента на 12 занятий</t>
        </is>
      </c>
      <c r="F655" s="147" t="inlineStr">
        <is>
          <t>FW-L2-52AGV-RQ4BU</t>
        </is>
      </c>
      <c r="G655" s="39" t="inlineStr">
        <is>
          <t>Не использован</t>
        </is>
      </c>
      <c r="H655" s="148" t="n"/>
      <c r="I655" s="34" t="str"/>
      <c r="J655" s="34" t="str"/>
      <c r="K655" s="130" t="n">
        <v>51</v>
      </c>
      <c r="L655" s="43">
        <f>IF(COUNTIF($F$5:$F$2407,F655)=1,"OK","Дубликат")</f>
        <v/>
      </c>
    </row>
    <row r="656" ht="38" customHeight="1">
      <c r="A656" s="146" t="inlineStr">
        <is>
          <t>SUB-L2-12-20</t>
        </is>
      </c>
      <c r="B656" s="39" t="inlineStr">
        <is>
          <t>2 уровень</t>
        </is>
      </c>
      <c r="C656" s="34" t="inlineStr">
        <is>
          <t>Закрытые условия на абонементы</t>
        </is>
      </c>
      <c r="D656" s="34" t="inlineStr">
        <is>
          <t>Скидка 20% на абонемент 12 занятий</t>
        </is>
      </c>
      <c r="E656" s="34" t="inlineStr">
        <is>
          <t>При покупке абонемента на 12 занятий</t>
        </is>
      </c>
      <c r="F656" s="147" t="inlineStr">
        <is>
          <t>FW-L2-3N3BJ-BQK23</t>
        </is>
      </c>
      <c r="G656" s="39" t="inlineStr">
        <is>
          <t>Не использован</t>
        </is>
      </c>
      <c r="H656" s="148" t="n"/>
      <c r="I656" s="34" t="str"/>
      <c r="J656" s="34" t="str"/>
      <c r="K656" s="130" t="n">
        <v>52</v>
      </c>
      <c r="L656" s="43">
        <f>IF(COUNTIF($F$5:$F$2407,F656)=1,"OK","Дубликат")</f>
        <v/>
      </c>
    </row>
    <row r="657" ht="38" customHeight="1">
      <c r="A657" s="146" t="inlineStr">
        <is>
          <t>SUB-L2-12-20</t>
        </is>
      </c>
      <c r="B657" s="39" t="inlineStr">
        <is>
          <t>2 уровень</t>
        </is>
      </c>
      <c r="C657" s="34" t="inlineStr">
        <is>
          <t>Закрытые условия на абонементы</t>
        </is>
      </c>
      <c r="D657" s="34" t="inlineStr">
        <is>
          <t>Скидка 20% на абонемент 12 занятий</t>
        </is>
      </c>
      <c r="E657" s="34" t="inlineStr">
        <is>
          <t>При покупке абонемента на 12 занятий</t>
        </is>
      </c>
      <c r="F657" s="147" t="inlineStr">
        <is>
          <t>FW-L2-822Z2-S4AVK</t>
        </is>
      </c>
      <c r="G657" s="39" t="inlineStr">
        <is>
          <t>Не использован</t>
        </is>
      </c>
      <c r="H657" s="148" t="n"/>
      <c r="I657" s="34" t="str"/>
      <c r="J657" s="34" t="str"/>
      <c r="K657" s="130" t="n">
        <v>53</v>
      </c>
      <c r="L657" s="43">
        <f>IF(COUNTIF($F$5:$F$2407,F657)=1,"OK","Дубликат")</f>
        <v/>
      </c>
    </row>
    <row r="658" ht="38" customHeight="1">
      <c r="A658" s="146" t="inlineStr">
        <is>
          <t>SUB-L2-12-20</t>
        </is>
      </c>
      <c r="B658" s="39" t="inlineStr">
        <is>
          <t>2 уровень</t>
        </is>
      </c>
      <c r="C658" s="34" t="inlineStr">
        <is>
          <t>Закрытые условия на абонементы</t>
        </is>
      </c>
      <c r="D658" s="34" t="inlineStr">
        <is>
          <t>Скидка 20% на абонемент 12 занятий</t>
        </is>
      </c>
      <c r="E658" s="34" t="inlineStr">
        <is>
          <t>При покупке абонемента на 12 занятий</t>
        </is>
      </c>
      <c r="F658" s="147" t="inlineStr">
        <is>
          <t>FW-L2-9DVAY-AEGRZ</t>
        </is>
      </c>
      <c r="G658" s="39" t="inlineStr">
        <is>
          <t>Не использован</t>
        </is>
      </c>
      <c r="H658" s="148" t="n"/>
      <c r="I658" s="34" t="str"/>
      <c r="J658" s="34" t="str"/>
      <c r="K658" s="130" t="n">
        <v>54</v>
      </c>
      <c r="L658" s="43">
        <f>IF(COUNTIF($F$5:$F$2407,F658)=1,"OK","Дубликат")</f>
        <v/>
      </c>
    </row>
    <row r="659" ht="38" customHeight="1">
      <c r="A659" s="146" t="inlineStr">
        <is>
          <t>SUB-L2-12-20</t>
        </is>
      </c>
      <c r="B659" s="39" t="inlineStr">
        <is>
          <t>2 уровень</t>
        </is>
      </c>
      <c r="C659" s="34" t="inlineStr">
        <is>
          <t>Закрытые условия на абонементы</t>
        </is>
      </c>
      <c r="D659" s="34" t="inlineStr">
        <is>
          <t>Скидка 20% на абонемент 12 занятий</t>
        </is>
      </c>
      <c r="E659" s="34" t="inlineStr">
        <is>
          <t>При покупке абонемента на 12 занятий</t>
        </is>
      </c>
      <c r="F659" s="147" t="inlineStr">
        <is>
          <t>FW-L2-MUHRW-BFCR9</t>
        </is>
      </c>
      <c r="G659" s="39" t="inlineStr">
        <is>
          <t>Не использован</t>
        </is>
      </c>
      <c r="H659" s="148" t="n"/>
      <c r="I659" s="34" t="str"/>
      <c r="J659" s="34" t="str"/>
      <c r="K659" s="130" t="n">
        <v>55</v>
      </c>
      <c r="L659" s="43">
        <f>IF(COUNTIF($F$5:$F$2407,F659)=1,"OK","Дубликат")</f>
        <v/>
      </c>
    </row>
    <row r="660" ht="38" customHeight="1">
      <c r="A660" s="146" t="inlineStr">
        <is>
          <t>SUB-L2-12-20</t>
        </is>
      </c>
      <c r="B660" s="39" t="inlineStr">
        <is>
          <t>2 уровень</t>
        </is>
      </c>
      <c r="C660" s="34" t="inlineStr">
        <is>
          <t>Закрытые условия на абонементы</t>
        </is>
      </c>
      <c r="D660" s="34" t="inlineStr">
        <is>
          <t>Скидка 20% на абонемент 12 занятий</t>
        </is>
      </c>
      <c r="E660" s="34" t="inlineStr">
        <is>
          <t>При покупке абонемента на 12 занятий</t>
        </is>
      </c>
      <c r="F660" s="147" t="inlineStr">
        <is>
          <t>FW-L2-DYZG5-PUQD5</t>
        </is>
      </c>
      <c r="G660" s="39" t="inlineStr">
        <is>
          <t>Не использован</t>
        </is>
      </c>
      <c r="H660" s="148" t="n"/>
      <c r="I660" s="34" t="str"/>
      <c r="J660" s="34" t="str"/>
      <c r="K660" s="130" t="n">
        <v>56</v>
      </c>
      <c r="L660" s="43">
        <f>IF(COUNTIF($F$5:$F$2407,F660)=1,"OK","Дубликат")</f>
        <v/>
      </c>
    </row>
    <row r="661" ht="38" customHeight="1">
      <c r="A661" s="146" t="inlineStr">
        <is>
          <t>SUB-L2-12-20</t>
        </is>
      </c>
      <c r="B661" s="39" t="inlineStr">
        <is>
          <t>2 уровень</t>
        </is>
      </c>
      <c r="C661" s="34" t="inlineStr">
        <is>
          <t>Закрытые условия на абонементы</t>
        </is>
      </c>
      <c r="D661" s="34" t="inlineStr">
        <is>
          <t>Скидка 20% на абонемент 12 занятий</t>
        </is>
      </c>
      <c r="E661" s="34" t="inlineStr">
        <is>
          <t>При покупке абонемента на 12 занятий</t>
        </is>
      </c>
      <c r="F661" s="147" t="inlineStr">
        <is>
          <t>FW-L2-VZ87H-SCQSA</t>
        </is>
      </c>
      <c r="G661" s="39" t="inlineStr">
        <is>
          <t>Не использован</t>
        </is>
      </c>
      <c r="H661" s="148" t="n"/>
      <c r="I661" s="34" t="str"/>
      <c r="J661" s="34" t="str"/>
      <c r="K661" s="130" t="n">
        <v>57</v>
      </c>
      <c r="L661" s="43">
        <f>IF(COUNTIF($F$5:$F$2407,F661)=1,"OK","Дубликат")</f>
        <v/>
      </c>
    </row>
    <row r="662" ht="38" customHeight="1">
      <c r="A662" s="146" t="inlineStr">
        <is>
          <t>SUB-L2-12-20</t>
        </is>
      </c>
      <c r="B662" s="39" t="inlineStr">
        <is>
          <t>2 уровень</t>
        </is>
      </c>
      <c r="C662" s="34" t="inlineStr">
        <is>
          <t>Закрытые условия на абонементы</t>
        </is>
      </c>
      <c r="D662" s="34" t="inlineStr">
        <is>
          <t>Скидка 20% на абонемент 12 занятий</t>
        </is>
      </c>
      <c r="E662" s="34" t="inlineStr">
        <is>
          <t>При покупке абонемента на 12 занятий</t>
        </is>
      </c>
      <c r="F662" s="147" t="inlineStr">
        <is>
          <t>FW-L2-WP5RQ-YPUS7</t>
        </is>
      </c>
      <c r="G662" s="39" t="inlineStr">
        <is>
          <t>Не использован</t>
        </is>
      </c>
      <c r="H662" s="148" t="n"/>
      <c r="I662" s="34" t="str"/>
      <c r="J662" s="34" t="str"/>
      <c r="K662" s="130" t="n">
        <v>58</v>
      </c>
      <c r="L662" s="43">
        <f>IF(COUNTIF($F$5:$F$2407,F662)=1,"OK","Дубликат")</f>
        <v/>
      </c>
    </row>
    <row r="663" ht="38" customHeight="1">
      <c r="A663" s="146" t="inlineStr">
        <is>
          <t>SUB-L2-12-20</t>
        </is>
      </c>
      <c r="B663" s="39" t="inlineStr">
        <is>
          <t>2 уровень</t>
        </is>
      </c>
      <c r="C663" s="34" t="inlineStr">
        <is>
          <t>Закрытые условия на абонементы</t>
        </is>
      </c>
      <c r="D663" s="34" t="inlineStr">
        <is>
          <t>Скидка 20% на абонемент 12 занятий</t>
        </is>
      </c>
      <c r="E663" s="34" t="inlineStr">
        <is>
          <t>При покупке абонемента на 12 занятий</t>
        </is>
      </c>
      <c r="F663" s="147" t="inlineStr">
        <is>
          <t>FW-L2-2JSPT-V4KY4</t>
        </is>
      </c>
      <c r="G663" s="39" t="inlineStr">
        <is>
          <t>Не использован</t>
        </is>
      </c>
      <c r="H663" s="148" t="n"/>
      <c r="I663" s="34" t="str"/>
      <c r="J663" s="34" t="str"/>
      <c r="K663" s="130" t="n">
        <v>59</v>
      </c>
      <c r="L663" s="43">
        <f>IF(COUNTIF($F$5:$F$2407,F663)=1,"OK","Дубликат")</f>
        <v/>
      </c>
    </row>
    <row r="664" ht="38" customHeight="1">
      <c r="A664" s="146" t="inlineStr">
        <is>
          <t>SUB-L2-12-20</t>
        </is>
      </c>
      <c r="B664" s="39" t="inlineStr">
        <is>
          <t>2 уровень</t>
        </is>
      </c>
      <c r="C664" s="34" t="inlineStr">
        <is>
          <t>Закрытые условия на абонементы</t>
        </is>
      </c>
      <c r="D664" s="34" t="inlineStr">
        <is>
          <t>Скидка 20% на абонемент 12 занятий</t>
        </is>
      </c>
      <c r="E664" s="34" t="inlineStr">
        <is>
          <t>При покупке абонемента на 12 занятий</t>
        </is>
      </c>
      <c r="F664" s="147" t="inlineStr">
        <is>
          <t>FW-L2-K7LUC-2EKKC</t>
        </is>
      </c>
      <c r="G664" s="39" t="inlineStr">
        <is>
          <t>Не использован</t>
        </is>
      </c>
      <c r="H664" s="148" t="n"/>
      <c r="I664" s="34" t="str"/>
      <c r="J664" s="34" t="str"/>
      <c r="K664" s="130" t="n">
        <v>60</v>
      </c>
      <c r="L664" s="43">
        <f>IF(COUNTIF($F$5:$F$2407,F664)=1,"OK","Дубликат")</f>
        <v/>
      </c>
    </row>
    <row r="665" ht="38" customHeight="1">
      <c r="A665" s="146" t="inlineStr">
        <is>
          <t>SUB-L2-12-20</t>
        </is>
      </c>
      <c r="B665" s="39" t="inlineStr">
        <is>
          <t>2 уровень</t>
        </is>
      </c>
      <c r="C665" s="34" t="inlineStr">
        <is>
          <t>Закрытые условия на абонементы</t>
        </is>
      </c>
      <c r="D665" s="34" t="inlineStr">
        <is>
          <t>Скидка 20% на абонемент 12 занятий</t>
        </is>
      </c>
      <c r="E665" s="34" t="inlineStr">
        <is>
          <t>При покупке абонемента на 12 занятий</t>
        </is>
      </c>
      <c r="F665" s="147" t="inlineStr">
        <is>
          <t>FW-L2-ZL3PY-Y92CQ</t>
        </is>
      </c>
      <c r="G665" s="39" t="inlineStr">
        <is>
          <t>Не использован</t>
        </is>
      </c>
      <c r="H665" s="148" t="n"/>
      <c r="I665" s="34" t="str"/>
      <c r="J665" s="34" t="str"/>
      <c r="K665" s="130" t="n">
        <v>61</v>
      </c>
      <c r="L665" s="43">
        <f>IF(COUNTIF($F$5:$F$2407,F665)=1,"OK","Дубликат")</f>
        <v/>
      </c>
    </row>
    <row r="666" ht="38" customHeight="1">
      <c r="A666" s="146" t="inlineStr">
        <is>
          <t>SUB-L2-12-20</t>
        </is>
      </c>
      <c r="B666" s="39" t="inlineStr">
        <is>
          <t>2 уровень</t>
        </is>
      </c>
      <c r="C666" s="34" t="inlineStr">
        <is>
          <t>Закрытые условия на абонементы</t>
        </is>
      </c>
      <c r="D666" s="34" t="inlineStr">
        <is>
          <t>Скидка 20% на абонемент 12 занятий</t>
        </is>
      </c>
      <c r="E666" s="34" t="inlineStr">
        <is>
          <t>При покупке абонемента на 12 занятий</t>
        </is>
      </c>
      <c r="F666" s="147" t="inlineStr">
        <is>
          <t>FW-L2-DCM4W-RWJRV</t>
        </is>
      </c>
      <c r="G666" s="39" t="inlineStr">
        <is>
          <t>Не использован</t>
        </is>
      </c>
      <c r="H666" s="148" t="n"/>
      <c r="I666" s="34" t="str"/>
      <c r="J666" s="34" t="str"/>
      <c r="K666" s="130" t="n">
        <v>62</v>
      </c>
      <c r="L666" s="43">
        <f>IF(COUNTIF($F$5:$F$2407,F666)=1,"OK","Дубликат")</f>
        <v/>
      </c>
    </row>
    <row r="667" ht="38" customHeight="1">
      <c r="A667" s="146" t="inlineStr">
        <is>
          <t>SUB-L2-12-20</t>
        </is>
      </c>
      <c r="B667" s="39" t="inlineStr">
        <is>
          <t>2 уровень</t>
        </is>
      </c>
      <c r="C667" s="34" t="inlineStr">
        <is>
          <t>Закрытые условия на абонементы</t>
        </is>
      </c>
      <c r="D667" s="34" t="inlineStr">
        <is>
          <t>Скидка 20% на абонемент 12 занятий</t>
        </is>
      </c>
      <c r="E667" s="34" t="inlineStr">
        <is>
          <t>При покупке абонемента на 12 занятий</t>
        </is>
      </c>
      <c r="F667" s="147" t="inlineStr">
        <is>
          <t>FW-L2-8N973-EZDP6</t>
        </is>
      </c>
      <c r="G667" s="39" t="inlineStr">
        <is>
          <t>Не использован</t>
        </is>
      </c>
      <c r="H667" s="148" t="n"/>
      <c r="I667" s="34" t="str"/>
      <c r="J667" s="34" t="str"/>
      <c r="K667" s="130" t="n">
        <v>63</v>
      </c>
      <c r="L667" s="43">
        <f>IF(COUNTIF($F$5:$F$2407,F667)=1,"OK","Дубликат")</f>
        <v/>
      </c>
    </row>
    <row r="668" ht="38" customHeight="1">
      <c r="A668" s="146" t="inlineStr">
        <is>
          <t>SUB-L2-12-20</t>
        </is>
      </c>
      <c r="B668" s="39" t="inlineStr">
        <is>
          <t>2 уровень</t>
        </is>
      </c>
      <c r="C668" s="34" t="inlineStr">
        <is>
          <t>Закрытые условия на абонементы</t>
        </is>
      </c>
      <c r="D668" s="34" t="inlineStr">
        <is>
          <t>Скидка 20% на абонемент 12 занятий</t>
        </is>
      </c>
      <c r="E668" s="34" t="inlineStr">
        <is>
          <t>При покупке абонемента на 12 занятий</t>
        </is>
      </c>
      <c r="F668" s="147" t="inlineStr">
        <is>
          <t>FW-L2-L89TT-9TYPL</t>
        </is>
      </c>
      <c r="G668" s="39" t="inlineStr">
        <is>
          <t>Не использован</t>
        </is>
      </c>
      <c r="H668" s="148" t="n"/>
      <c r="I668" s="34" t="str"/>
      <c r="J668" s="34" t="str"/>
      <c r="K668" s="130" t="n">
        <v>64</v>
      </c>
      <c r="L668" s="43">
        <f>IF(COUNTIF($F$5:$F$2407,F668)=1,"OK","Дубликат")</f>
        <v/>
      </c>
    </row>
    <row r="669" ht="38" customHeight="1">
      <c r="A669" s="146" t="inlineStr">
        <is>
          <t>SUB-L2-12-20</t>
        </is>
      </c>
      <c r="B669" s="39" t="inlineStr">
        <is>
          <t>2 уровень</t>
        </is>
      </c>
      <c r="C669" s="34" t="inlineStr">
        <is>
          <t>Закрытые условия на абонементы</t>
        </is>
      </c>
      <c r="D669" s="34" t="inlineStr">
        <is>
          <t>Скидка 20% на абонемент 12 занятий</t>
        </is>
      </c>
      <c r="E669" s="34" t="inlineStr">
        <is>
          <t>При покупке абонемента на 12 занятий</t>
        </is>
      </c>
      <c r="F669" s="147" t="inlineStr">
        <is>
          <t>FW-L2-KNM74-WNWPR</t>
        </is>
      </c>
      <c r="G669" s="39" t="inlineStr">
        <is>
          <t>Не использован</t>
        </is>
      </c>
      <c r="H669" s="148" t="n"/>
      <c r="I669" s="34" t="str"/>
      <c r="J669" s="34" t="str"/>
      <c r="K669" s="130" t="n">
        <v>65</v>
      </c>
      <c r="L669" s="43">
        <f>IF(COUNTIF($F$5:$F$2407,F669)=1,"OK","Дубликат")</f>
        <v/>
      </c>
    </row>
    <row r="670" ht="38" customHeight="1">
      <c r="A670" s="146" t="inlineStr">
        <is>
          <t>SUB-L2-12-20</t>
        </is>
      </c>
      <c r="B670" s="39" t="inlineStr">
        <is>
          <t>2 уровень</t>
        </is>
      </c>
      <c r="C670" s="34" t="inlineStr">
        <is>
          <t>Закрытые условия на абонементы</t>
        </is>
      </c>
      <c r="D670" s="34" t="inlineStr">
        <is>
          <t>Скидка 20% на абонемент 12 занятий</t>
        </is>
      </c>
      <c r="E670" s="34" t="inlineStr">
        <is>
          <t>При покупке абонемента на 12 занятий</t>
        </is>
      </c>
      <c r="F670" s="147" t="inlineStr">
        <is>
          <t>FW-L2-7U692-RZ4P7</t>
        </is>
      </c>
      <c r="G670" s="39" t="inlineStr">
        <is>
          <t>Не использован</t>
        </is>
      </c>
      <c r="H670" s="148" t="n"/>
      <c r="I670" s="34" t="str"/>
      <c r="J670" s="34" t="str"/>
      <c r="K670" s="130" t="n">
        <v>66</v>
      </c>
      <c r="L670" s="43">
        <f>IF(COUNTIF($F$5:$F$2407,F670)=1,"OK","Дубликат")</f>
        <v/>
      </c>
    </row>
    <row r="671" ht="38" customHeight="1">
      <c r="A671" s="146" t="inlineStr">
        <is>
          <t>SUB-L2-12-20</t>
        </is>
      </c>
      <c r="B671" s="39" t="inlineStr">
        <is>
          <t>2 уровень</t>
        </is>
      </c>
      <c r="C671" s="34" t="inlineStr">
        <is>
          <t>Закрытые условия на абонементы</t>
        </is>
      </c>
      <c r="D671" s="34" t="inlineStr">
        <is>
          <t>Скидка 20% на абонемент 12 занятий</t>
        </is>
      </c>
      <c r="E671" s="34" t="inlineStr">
        <is>
          <t>При покупке абонемента на 12 занятий</t>
        </is>
      </c>
      <c r="F671" s="147" t="inlineStr">
        <is>
          <t>FW-L2-W5PTJ-4WL9X</t>
        </is>
      </c>
      <c r="G671" s="39" t="inlineStr">
        <is>
          <t>Не использован</t>
        </is>
      </c>
      <c r="H671" s="148" t="n"/>
      <c r="I671" s="34" t="str"/>
      <c r="J671" s="34" t="str"/>
      <c r="K671" s="130" t="n">
        <v>67</v>
      </c>
      <c r="L671" s="43">
        <f>IF(COUNTIF($F$5:$F$2407,F671)=1,"OK","Дубликат")</f>
        <v/>
      </c>
    </row>
    <row r="672" ht="38" customHeight="1">
      <c r="A672" s="146" t="inlineStr">
        <is>
          <t>SUB-L2-12-20</t>
        </is>
      </c>
      <c r="B672" s="39" t="inlineStr">
        <is>
          <t>2 уровень</t>
        </is>
      </c>
      <c r="C672" s="34" t="inlineStr">
        <is>
          <t>Закрытые условия на абонементы</t>
        </is>
      </c>
      <c r="D672" s="34" t="inlineStr">
        <is>
          <t>Скидка 20% на абонемент 12 занятий</t>
        </is>
      </c>
      <c r="E672" s="34" t="inlineStr">
        <is>
          <t>При покупке абонемента на 12 занятий</t>
        </is>
      </c>
      <c r="F672" s="147" t="inlineStr">
        <is>
          <t>FW-L2-2Z8JQ-DA4UD</t>
        </is>
      </c>
      <c r="G672" s="39" t="inlineStr">
        <is>
          <t>Не использован</t>
        </is>
      </c>
      <c r="H672" s="148" t="n"/>
      <c r="I672" s="34" t="str"/>
      <c r="J672" s="34" t="str"/>
      <c r="K672" s="130" t="n">
        <v>68</v>
      </c>
      <c r="L672" s="43">
        <f>IF(COUNTIF($F$5:$F$2407,F672)=1,"OK","Дубликат")</f>
        <v/>
      </c>
    </row>
    <row r="673" ht="38" customHeight="1">
      <c r="A673" s="146" t="inlineStr">
        <is>
          <t>SUB-L2-12-20</t>
        </is>
      </c>
      <c r="B673" s="39" t="inlineStr">
        <is>
          <t>2 уровень</t>
        </is>
      </c>
      <c r="C673" s="34" t="inlineStr">
        <is>
          <t>Закрытые условия на абонементы</t>
        </is>
      </c>
      <c r="D673" s="34" t="inlineStr">
        <is>
          <t>Скидка 20% на абонемент 12 занятий</t>
        </is>
      </c>
      <c r="E673" s="34" t="inlineStr">
        <is>
          <t>При покупке абонемента на 12 занятий</t>
        </is>
      </c>
      <c r="F673" s="147" t="inlineStr">
        <is>
          <t>FW-L2-2WJCW-FE3NP</t>
        </is>
      </c>
      <c r="G673" s="39" t="inlineStr">
        <is>
          <t>Не использован</t>
        </is>
      </c>
      <c r="H673" s="148" t="n"/>
      <c r="I673" s="34" t="str"/>
      <c r="J673" s="34" t="str"/>
      <c r="K673" s="130" t="n">
        <v>69</v>
      </c>
      <c r="L673" s="43">
        <f>IF(COUNTIF($F$5:$F$2407,F673)=1,"OK","Дубликат")</f>
        <v/>
      </c>
    </row>
    <row r="674" ht="38" customHeight="1">
      <c r="A674" s="146" t="inlineStr">
        <is>
          <t>SUB-L2-12-20</t>
        </is>
      </c>
      <c r="B674" s="39" t="inlineStr">
        <is>
          <t>2 уровень</t>
        </is>
      </c>
      <c r="C674" s="34" t="inlineStr">
        <is>
          <t>Закрытые условия на абонементы</t>
        </is>
      </c>
      <c r="D674" s="34" t="inlineStr">
        <is>
          <t>Скидка 20% на абонемент 12 занятий</t>
        </is>
      </c>
      <c r="E674" s="34" t="inlineStr">
        <is>
          <t>При покупке абонемента на 12 занятий</t>
        </is>
      </c>
      <c r="F674" s="147" t="inlineStr">
        <is>
          <t>FW-L2-D2HMN-MG84N</t>
        </is>
      </c>
      <c r="G674" s="39" t="inlineStr">
        <is>
          <t>Не использован</t>
        </is>
      </c>
      <c r="H674" s="148" t="n"/>
      <c r="I674" s="34" t="str"/>
      <c r="J674" s="34" t="str"/>
      <c r="K674" s="130" t="n">
        <v>70</v>
      </c>
      <c r="L674" s="43">
        <f>IF(COUNTIF($F$5:$F$2407,F674)=1,"OK","Дубликат")</f>
        <v/>
      </c>
    </row>
    <row r="675" ht="38" customHeight="1">
      <c r="A675" s="146" t="inlineStr">
        <is>
          <t>SUB-L2-12-20</t>
        </is>
      </c>
      <c r="B675" s="39" t="inlineStr">
        <is>
          <t>2 уровень</t>
        </is>
      </c>
      <c r="C675" s="34" t="inlineStr">
        <is>
          <t>Закрытые условия на абонементы</t>
        </is>
      </c>
      <c r="D675" s="34" t="inlineStr">
        <is>
          <t>Скидка 20% на абонемент 12 занятий</t>
        </is>
      </c>
      <c r="E675" s="34" t="inlineStr">
        <is>
          <t>При покупке абонемента на 12 занятий</t>
        </is>
      </c>
      <c r="F675" s="147" t="inlineStr">
        <is>
          <t>FW-L2-XH9PA-BXD8E</t>
        </is>
      </c>
      <c r="G675" s="39" t="inlineStr">
        <is>
          <t>Не использован</t>
        </is>
      </c>
      <c r="H675" s="148" t="n"/>
      <c r="I675" s="34" t="str"/>
      <c r="J675" s="34" t="str"/>
      <c r="K675" s="130" t="n">
        <v>71</v>
      </c>
      <c r="L675" s="43">
        <f>IF(COUNTIF($F$5:$F$2407,F675)=1,"OK","Дубликат")</f>
        <v/>
      </c>
    </row>
    <row r="676" ht="38" customHeight="1">
      <c r="A676" s="146" t="inlineStr">
        <is>
          <t>SUB-L2-12-20</t>
        </is>
      </c>
      <c r="B676" s="39" t="inlineStr">
        <is>
          <t>2 уровень</t>
        </is>
      </c>
      <c r="C676" s="34" t="inlineStr">
        <is>
          <t>Закрытые условия на абонементы</t>
        </is>
      </c>
      <c r="D676" s="34" t="inlineStr">
        <is>
          <t>Скидка 20% на абонемент 12 занятий</t>
        </is>
      </c>
      <c r="E676" s="34" t="inlineStr">
        <is>
          <t>При покупке абонемента на 12 занятий</t>
        </is>
      </c>
      <c r="F676" s="147" t="inlineStr">
        <is>
          <t>FW-L2-RT6M5-LH8UG</t>
        </is>
      </c>
      <c r="G676" s="39" t="inlineStr">
        <is>
          <t>Не использован</t>
        </is>
      </c>
      <c r="H676" s="148" t="n"/>
      <c r="I676" s="34" t="str"/>
      <c r="J676" s="34" t="str"/>
      <c r="K676" s="130" t="n">
        <v>72</v>
      </c>
      <c r="L676" s="43">
        <f>IF(COUNTIF($F$5:$F$2407,F676)=1,"OK","Дубликат")</f>
        <v/>
      </c>
    </row>
    <row r="677" ht="38" customHeight="1">
      <c r="A677" s="146" t="inlineStr">
        <is>
          <t>SUB-L2-12-20</t>
        </is>
      </c>
      <c r="B677" s="39" t="inlineStr">
        <is>
          <t>2 уровень</t>
        </is>
      </c>
      <c r="C677" s="34" t="inlineStr">
        <is>
          <t>Закрытые условия на абонементы</t>
        </is>
      </c>
      <c r="D677" s="34" t="inlineStr">
        <is>
          <t>Скидка 20% на абонемент 12 занятий</t>
        </is>
      </c>
      <c r="E677" s="34" t="inlineStr">
        <is>
          <t>При покупке абонемента на 12 занятий</t>
        </is>
      </c>
      <c r="F677" s="147" t="inlineStr">
        <is>
          <t>FW-L2-L3QEY-BQ95Z</t>
        </is>
      </c>
      <c r="G677" s="39" t="inlineStr">
        <is>
          <t>Не использован</t>
        </is>
      </c>
      <c r="H677" s="148" t="n"/>
      <c r="I677" s="34" t="str"/>
      <c r="J677" s="34" t="str"/>
      <c r="K677" s="130" t="n">
        <v>73</v>
      </c>
      <c r="L677" s="43">
        <f>IF(COUNTIF($F$5:$F$2407,F677)=1,"OK","Дубликат")</f>
        <v/>
      </c>
    </row>
    <row r="678" ht="38" customHeight="1">
      <c r="A678" s="146" t="inlineStr">
        <is>
          <t>SUB-L2-12-20</t>
        </is>
      </c>
      <c r="B678" s="39" t="inlineStr">
        <is>
          <t>2 уровень</t>
        </is>
      </c>
      <c r="C678" s="34" t="inlineStr">
        <is>
          <t>Закрытые условия на абонементы</t>
        </is>
      </c>
      <c r="D678" s="34" t="inlineStr">
        <is>
          <t>Скидка 20% на абонемент 12 занятий</t>
        </is>
      </c>
      <c r="E678" s="34" t="inlineStr">
        <is>
          <t>При покупке абонемента на 12 занятий</t>
        </is>
      </c>
      <c r="F678" s="147" t="inlineStr">
        <is>
          <t>FW-L2-URGNC-Y7GHL</t>
        </is>
      </c>
      <c r="G678" s="39" t="inlineStr">
        <is>
          <t>Не использован</t>
        </is>
      </c>
      <c r="H678" s="148" t="n"/>
      <c r="I678" s="34" t="str"/>
      <c r="J678" s="34" t="str"/>
      <c r="K678" s="130" t="n">
        <v>74</v>
      </c>
      <c r="L678" s="43">
        <f>IF(COUNTIF($F$5:$F$2407,F678)=1,"OK","Дубликат")</f>
        <v/>
      </c>
    </row>
    <row r="679" ht="38" customHeight="1">
      <c r="A679" s="146" t="inlineStr">
        <is>
          <t>SUB-L2-12-20</t>
        </is>
      </c>
      <c r="B679" s="39" t="inlineStr">
        <is>
          <t>2 уровень</t>
        </is>
      </c>
      <c r="C679" s="34" t="inlineStr">
        <is>
          <t>Закрытые условия на абонементы</t>
        </is>
      </c>
      <c r="D679" s="34" t="inlineStr">
        <is>
          <t>Скидка 20% на абонемент 12 занятий</t>
        </is>
      </c>
      <c r="E679" s="34" t="inlineStr">
        <is>
          <t>При покупке абонемента на 12 занятий</t>
        </is>
      </c>
      <c r="F679" s="147" t="inlineStr">
        <is>
          <t>FW-L2-UPYYL-MQT34</t>
        </is>
      </c>
      <c r="G679" s="39" t="inlineStr">
        <is>
          <t>Не использован</t>
        </is>
      </c>
      <c r="H679" s="148" t="n"/>
      <c r="I679" s="34" t="str"/>
      <c r="J679" s="34" t="str"/>
      <c r="K679" s="130" t="n">
        <v>75</v>
      </c>
      <c r="L679" s="43">
        <f>IF(COUNTIF($F$5:$F$2407,F679)=1,"OK","Дубликат")</f>
        <v/>
      </c>
    </row>
    <row r="680" ht="38" customHeight="1">
      <c r="A680" s="146" t="inlineStr">
        <is>
          <t>SUB-L2-12-20</t>
        </is>
      </c>
      <c r="B680" s="39" t="inlineStr">
        <is>
          <t>2 уровень</t>
        </is>
      </c>
      <c r="C680" s="34" t="inlineStr">
        <is>
          <t>Закрытые условия на абонементы</t>
        </is>
      </c>
      <c r="D680" s="34" t="inlineStr">
        <is>
          <t>Скидка 20% на абонемент 12 занятий</t>
        </is>
      </c>
      <c r="E680" s="34" t="inlineStr">
        <is>
          <t>При покупке абонемента на 12 занятий</t>
        </is>
      </c>
      <c r="F680" s="147" t="inlineStr">
        <is>
          <t>FW-L2-FDXKZ-PQUFS</t>
        </is>
      </c>
      <c r="G680" s="39" t="inlineStr">
        <is>
          <t>Не использован</t>
        </is>
      </c>
      <c r="H680" s="148" t="n"/>
      <c r="I680" s="34" t="str"/>
      <c r="J680" s="34" t="str"/>
      <c r="K680" s="130" t="n">
        <v>76</v>
      </c>
      <c r="L680" s="43">
        <f>IF(COUNTIF($F$5:$F$2407,F680)=1,"OK","Дубликат")</f>
        <v/>
      </c>
    </row>
    <row r="681" ht="38" customHeight="1">
      <c r="A681" s="146" t="inlineStr">
        <is>
          <t>SUB-L2-12-20</t>
        </is>
      </c>
      <c r="B681" s="39" t="inlineStr">
        <is>
          <t>2 уровень</t>
        </is>
      </c>
      <c r="C681" s="34" t="inlineStr">
        <is>
          <t>Закрытые условия на абонементы</t>
        </is>
      </c>
      <c r="D681" s="34" t="inlineStr">
        <is>
          <t>Скидка 20% на абонемент 12 занятий</t>
        </is>
      </c>
      <c r="E681" s="34" t="inlineStr">
        <is>
          <t>При покупке абонемента на 12 занятий</t>
        </is>
      </c>
      <c r="F681" s="147" t="inlineStr">
        <is>
          <t>FW-L2-6D9UC-NF7P3</t>
        </is>
      </c>
      <c r="G681" s="39" t="inlineStr">
        <is>
          <t>Не использован</t>
        </is>
      </c>
      <c r="H681" s="148" t="n"/>
      <c r="I681" s="34" t="str"/>
      <c r="J681" s="34" t="str"/>
      <c r="K681" s="130" t="n">
        <v>77</v>
      </c>
      <c r="L681" s="43">
        <f>IF(COUNTIF($F$5:$F$2407,F681)=1,"OK","Дубликат")</f>
        <v/>
      </c>
    </row>
    <row r="682" ht="38" customHeight="1">
      <c r="A682" s="146" t="inlineStr">
        <is>
          <t>SUB-L2-12-20</t>
        </is>
      </c>
      <c r="B682" s="39" t="inlineStr">
        <is>
          <t>2 уровень</t>
        </is>
      </c>
      <c r="C682" s="34" t="inlineStr">
        <is>
          <t>Закрытые условия на абонементы</t>
        </is>
      </c>
      <c r="D682" s="34" t="inlineStr">
        <is>
          <t>Скидка 20% на абонемент 12 занятий</t>
        </is>
      </c>
      <c r="E682" s="34" t="inlineStr">
        <is>
          <t>При покупке абонемента на 12 занятий</t>
        </is>
      </c>
      <c r="F682" s="147" t="inlineStr">
        <is>
          <t>FW-L2-DFSZ9-NMGXP</t>
        </is>
      </c>
      <c r="G682" s="39" t="inlineStr">
        <is>
          <t>Не использован</t>
        </is>
      </c>
      <c r="H682" s="148" t="n"/>
      <c r="I682" s="34" t="str"/>
      <c r="J682" s="34" t="str"/>
      <c r="K682" s="130" t="n">
        <v>78</v>
      </c>
      <c r="L682" s="43">
        <f>IF(COUNTIF($F$5:$F$2407,F682)=1,"OK","Дубликат")</f>
        <v/>
      </c>
    </row>
    <row r="683" ht="38" customHeight="1">
      <c r="A683" s="146" t="inlineStr">
        <is>
          <t>SUB-L2-12-20</t>
        </is>
      </c>
      <c r="B683" s="39" t="inlineStr">
        <is>
          <t>2 уровень</t>
        </is>
      </c>
      <c r="C683" s="34" t="inlineStr">
        <is>
          <t>Закрытые условия на абонементы</t>
        </is>
      </c>
      <c r="D683" s="34" t="inlineStr">
        <is>
          <t>Скидка 20% на абонемент 12 занятий</t>
        </is>
      </c>
      <c r="E683" s="34" t="inlineStr">
        <is>
          <t>При покупке абонемента на 12 занятий</t>
        </is>
      </c>
      <c r="F683" s="147" t="inlineStr">
        <is>
          <t>FW-L2-75UNT-V4LEV</t>
        </is>
      </c>
      <c r="G683" s="39" t="inlineStr">
        <is>
          <t>Не использован</t>
        </is>
      </c>
      <c r="H683" s="148" t="n"/>
      <c r="I683" s="34" t="str"/>
      <c r="J683" s="34" t="str"/>
      <c r="K683" s="130" t="n">
        <v>79</v>
      </c>
      <c r="L683" s="43">
        <f>IF(COUNTIF($F$5:$F$2407,F683)=1,"OK","Дубликат")</f>
        <v/>
      </c>
    </row>
    <row r="684" ht="38" customHeight="1">
      <c r="A684" s="146" t="inlineStr">
        <is>
          <t>SUB-L2-12-20</t>
        </is>
      </c>
      <c r="B684" s="39" t="inlineStr">
        <is>
          <t>2 уровень</t>
        </is>
      </c>
      <c r="C684" s="34" t="inlineStr">
        <is>
          <t>Закрытые условия на абонементы</t>
        </is>
      </c>
      <c r="D684" s="34" t="inlineStr">
        <is>
          <t>Скидка 20% на абонемент 12 занятий</t>
        </is>
      </c>
      <c r="E684" s="34" t="inlineStr">
        <is>
          <t>При покупке абонемента на 12 занятий</t>
        </is>
      </c>
      <c r="F684" s="147" t="inlineStr">
        <is>
          <t>FW-L2-EVLEW-D33BE</t>
        </is>
      </c>
      <c r="G684" s="39" t="inlineStr">
        <is>
          <t>Не использован</t>
        </is>
      </c>
      <c r="H684" s="148" t="n"/>
      <c r="I684" s="34" t="str"/>
      <c r="J684" s="34" t="str"/>
      <c r="K684" s="130" t="n">
        <v>80</v>
      </c>
      <c r="L684" s="43">
        <f>IF(COUNTIF($F$5:$F$2407,F684)=1,"OK","Дубликат")</f>
        <v/>
      </c>
    </row>
    <row r="685" ht="38" customHeight="1">
      <c r="A685" s="146" t="inlineStr">
        <is>
          <t>SUB-L2-12-20</t>
        </is>
      </c>
      <c r="B685" s="39" t="inlineStr">
        <is>
          <t>2 уровень</t>
        </is>
      </c>
      <c r="C685" s="34" t="inlineStr">
        <is>
          <t>Закрытые условия на абонементы</t>
        </is>
      </c>
      <c r="D685" s="34" t="inlineStr">
        <is>
          <t>Скидка 20% на абонемент 12 занятий</t>
        </is>
      </c>
      <c r="E685" s="34" t="inlineStr">
        <is>
          <t>При покупке абонемента на 12 занятий</t>
        </is>
      </c>
      <c r="F685" s="147" t="inlineStr">
        <is>
          <t>FW-L2-YPN2E-AAAJU</t>
        </is>
      </c>
      <c r="G685" s="39" t="inlineStr">
        <is>
          <t>Не использован</t>
        </is>
      </c>
      <c r="H685" s="148" t="n"/>
      <c r="I685" s="34" t="str"/>
      <c r="J685" s="34" t="str"/>
      <c r="K685" s="130" t="n">
        <v>81</v>
      </c>
      <c r="L685" s="43">
        <f>IF(COUNTIF($F$5:$F$2407,F685)=1,"OK","Дубликат")</f>
        <v/>
      </c>
    </row>
    <row r="686" ht="38" customHeight="1">
      <c r="A686" s="146" t="inlineStr">
        <is>
          <t>SUB-L2-12-20</t>
        </is>
      </c>
      <c r="B686" s="39" t="inlineStr">
        <is>
          <t>2 уровень</t>
        </is>
      </c>
      <c r="C686" s="34" t="inlineStr">
        <is>
          <t>Закрытые условия на абонементы</t>
        </is>
      </c>
      <c r="D686" s="34" t="inlineStr">
        <is>
          <t>Скидка 20% на абонемент 12 занятий</t>
        </is>
      </c>
      <c r="E686" s="34" t="inlineStr">
        <is>
          <t>При покупке абонемента на 12 занятий</t>
        </is>
      </c>
      <c r="F686" s="147" t="inlineStr">
        <is>
          <t>FW-L2-9RHAT-R3G86</t>
        </is>
      </c>
      <c r="G686" s="39" t="inlineStr">
        <is>
          <t>Не использован</t>
        </is>
      </c>
      <c r="H686" s="148" t="n"/>
      <c r="I686" s="34" t="str"/>
      <c r="J686" s="34" t="str"/>
      <c r="K686" s="130" t="n">
        <v>82</v>
      </c>
      <c r="L686" s="43">
        <f>IF(COUNTIF($F$5:$F$2407,F686)=1,"OK","Дубликат")</f>
        <v/>
      </c>
    </row>
    <row r="687" ht="38" customHeight="1">
      <c r="A687" s="146" t="inlineStr">
        <is>
          <t>SUB-L2-12-20</t>
        </is>
      </c>
      <c r="B687" s="39" t="inlineStr">
        <is>
          <t>2 уровень</t>
        </is>
      </c>
      <c r="C687" s="34" t="inlineStr">
        <is>
          <t>Закрытые условия на абонементы</t>
        </is>
      </c>
      <c r="D687" s="34" t="inlineStr">
        <is>
          <t>Скидка 20% на абонемент 12 занятий</t>
        </is>
      </c>
      <c r="E687" s="34" t="inlineStr">
        <is>
          <t>При покупке абонемента на 12 занятий</t>
        </is>
      </c>
      <c r="F687" s="147" t="inlineStr">
        <is>
          <t>FW-L2-ZYTQM-MYAQL</t>
        </is>
      </c>
      <c r="G687" s="39" t="inlineStr">
        <is>
          <t>Не использован</t>
        </is>
      </c>
      <c r="H687" s="148" t="n"/>
      <c r="I687" s="34" t="str"/>
      <c r="J687" s="34" t="str"/>
      <c r="K687" s="130" t="n">
        <v>83</v>
      </c>
      <c r="L687" s="43">
        <f>IF(COUNTIF($F$5:$F$2407,F687)=1,"OK","Дубликат")</f>
        <v/>
      </c>
    </row>
    <row r="688" ht="38" customHeight="1">
      <c r="A688" s="146" t="inlineStr">
        <is>
          <t>SUB-L2-12-20</t>
        </is>
      </c>
      <c r="B688" s="39" t="inlineStr">
        <is>
          <t>2 уровень</t>
        </is>
      </c>
      <c r="C688" s="34" t="inlineStr">
        <is>
          <t>Закрытые условия на абонементы</t>
        </is>
      </c>
      <c r="D688" s="34" t="inlineStr">
        <is>
          <t>Скидка 20% на абонемент 12 занятий</t>
        </is>
      </c>
      <c r="E688" s="34" t="inlineStr">
        <is>
          <t>При покупке абонемента на 12 занятий</t>
        </is>
      </c>
      <c r="F688" s="147" t="inlineStr">
        <is>
          <t>FW-L2-6X6MZ-2Z8R7</t>
        </is>
      </c>
      <c r="G688" s="39" t="inlineStr">
        <is>
          <t>Не использован</t>
        </is>
      </c>
      <c r="H688" s="148" t="n"/>
      <c r="I688" s="34" t="str"/>
      <c r="J688" s="34" t="str"/>
      <c r="K688" s="130" t="n">
        <v>84</v>
      </c>
      <c r="L688" s="43">
        <f>IF(COUNTIF($F$5:$F$2407,F688)=1,"OK","Дубликат")</f>
        <v/>
      </c>
    </row>
    <row r="689" ht="38" customHeight="1">
      <c r="A689" s="146" t="inlineStr">
        <is>
          <t>SUB-L2-12-20</t>
        </is>
      </c>
      <c r="B689" s="39" t="inlineStr">
        <is>
          <t>2 уровень</t>
        </is>
      </c>
      <c r="C689" s="34" t="inlineStr">
        <is>
          <t>Закрытые условия на абонементы</t>
        </is>
      </c>
      <c r="D689" s="34" t="inlineStr">
        <is>
          <t>Скидка 20% на абонемент 12 занятий</t>
        </is>
      </c>
      <c r="E689" s="34" t="inlineStr">
        <is>
          <t>При покупке абонемента на 12 занятий</t>
        </is>
      </c>
      <c r="F689" s="147" t="inlineStr">
        <is>
          <t>FW-L2-ASQ53-C6TJH</t>
        </is>
      </c>
      <c r="G689" s="39" t="inlineStr">
        <is>
          <t>Не использован</t>
        </is>
      </c>
      <c r="H689" s="148" t="n"/>
      <c r="I689" s="34" t="str"/>
      <c r="J689" s="34" t="str"/>
      <c r="K689" s="130" t="n">
        <v>85</v>
      </c>
      <c r="L689" s="43">
        <f>IF(COUNTIF($F$5:$F$2407,F689)=1,"OK","Дубликат")</f>
        <v/>
      </c>
    </row>
    <row r="690" ht="38" customHeight="1">
      <c r="A690" s="146" t="inlineStr">
        <is>
          <t>SUB-L2-12-20</t>
        </is>
      </c>
      <c r="B690" s="39" t="inlineStr">
        <is>
          <t>2 уровень</t>
        </is>
      </c>
      <c r="C690" s="34" t="inlineStr">
        <is>
          <t>Закрытые условия на абонементы</t>
        </is>
      </c>
      <c r="D690" s="34" t="inlineStr">
        <is>
          <t>Скидка 20% на абонемент 12 занятий</t>
        </is>
      </c>
      <c r="E690" s="34" t="inlineStr">
        <is>
          <t>При покупке абонемента на 12 занятий</t>
        </is>
      </c>
      <c r="F690" s="147" t="inlineStr">
        <is>
          <t>FW-L2-AZVJX-KPR39</t>
        </is>
      </c>
      <c r="G690" s="39" t="inlineStr">
        <is>
          <t>Не использован</t>
        </is>
      </c>
      <c r="H690" s="148" t="n"/>
      <c r="I690" s="34" t="str"/>
      <c r="J690" s="34" t="str"/>
      <c r="K690" s="130" t="n">
        <v>86</v>
      </c>
      <c r="L690" s="43">
        <f>IF(COUNTIF($F$5:$F$2407,F690)=1,"OK","Дубликат")</f>
        <v/>
      </c>
    </row>
    <row r="691" ht="38" customHeight="1">
      <c r="A691" s="146" t="inlineStr">
        <is>
          <t>SUB-L2-12-20</t>
        </is>
      </c>
      <c r="B691" s="39" t="inlineStr">
        <is>
          <t>2 уровень</t>
        </is>
      </c>
      <c r="C691" s="34" t="inlineStr">
        <is>
          <t>Закрытые условия на абонементы</t>
        </is>
      </c>
      <c r="D691" s="34" t="inlineStr">
        <is>
          <t>Скидка 20% на абонемент 12 занятий</t>
        </is>
      </c>
      <c r="E691" s="34" t="inlineStr">
        <is>
          <t>При покупке абонемента на 12 занятий</t>
        </is>
      </c>
      <c r="F691" s="147" t="inlineStr">
        <is>
          <t>FW-L2-V9EZR-SLX38</t>
        </is>
      </c>
      <c r="G691" s="39" t="inlineStr">
        <is>
          <t>Не использован</t>
        </is>
      </c>
      <c r="H691" s="148" t="n"/>
      <c r="I691" s="34" t="str"/>
      <c r="J691" s="34" t="str"/>
      <c r="K691" s="130" t="n">
        <v>87</v>
      </c>
      <c r="L691" s="43">
        <f>IF(COUNTIF($F$5:$F$2407,F691)=1,"OK","Дубликат")</f>
        <v/>
      </c>
    </row>
    <row r="692" ht="38" customHeight="1">
      <c r="A692" s="146" t="inlineStr">
        <is>
          <t>SUB-L2-12-20</t>
        </is>
      </c>
      <c r="B692" s="39" t="inlineStr">
        <is>
          <t>2 уровень</t>
        </is>
      </c>
      <c r="C692" s="34" t="inlineStr">
        <is>
          <t>Закрытые условия на абонементы</t>
        </is>
      </c>
      <c r="D692" s="34" t="inlineStr">
        <is>
          <t>Скидка 20% на абонемент 12 занятий</t>
        </is>
      </c>
      <c r="E692" s="34" t="inlineStr">
        <is>
          <t>При покупке абонемента на 12 занятий</t>
        </is>
      </c>
      <c r="F692" s="147" t="inlineStr">
        <is>
          <t>FW-L2-YTGNU-4KXUC</t>
        </is>
      </c>
      <c r="G692" s="39" t="inlineStr">
        <is>
          <t>Не использован</t>
        </is>
      </c>
      <c r="H692" s="148" t="n"/>
      <c r="I692" s="34" t="str"/>
      <c r="J692" s="34" t="str"/>
      <c r="K692" s="130" t="n">
        <v>88</v>
      </c>
      <c r="L692" s="43">
        <f>IF(COUNTIF($F$5:$F$2407,F692)=1,"OK","Дубликат")</f>
        <v/>
      </c>
    </row>
    <row r="693" ht="38" customHeight="1">
      <c r="A693" s="146" t="inlineStr">
        <is>
          <t>SUB-L2-12-20</t>
        </is>
      </c>
      <c r="B693" s="39" t="inlineStr">
        <is>
          <t>2 уровень</t>
        </is>
      </c>
      <c r="C693" s="34" t="inlineStr">
        <is>
          <t>Закрытые условия на абонементы</t>
        </is>
      </c>
      <c r="D693" s="34" t="inlineStr">
        <is>
          <t>Скидка 20% на абонемент 12 занятий</t>
        </is>
      </c>
      <c r="E693" s="34" t="inlineStr">
        <is>
          <t>При покупке абонемента на 12 занятий</t>
        </is>
      </c>
      <c r="F693" s="147" t="inlineStr">
        <is>
          <t>FW-L2-NZBC6-W6C6K</t>
        </is>
      </c>
      <c r="G693" s="39" t="inlineStr">
        <is>
          <t>Не использован</t>
        </is>
      </c>
      <c r="H693" s="148" t="n"/>
      <c r="I693" s="34" t="str"/>
      <c r="J693" s="34" t="str"/>
      <c r="K693" s="130" t="n">
        <v>89</v>
      </c>
      <c r="L693" s="43">
        <f>IF(COUNTIF($F$5:$F$2407,F693)=1,"OK","Дубликат")</f>
        <v/>
      </c>
    </row>
    <row r="694" ht="38" customHeight="1">
      <c r="A694" s="146" t="inlineStr">
        <is>
          <t>SUB-L2-12-20</t>
        </is>
      </c>
      <c r="B694" s="39" t="inlineStr">
        <is>
          <t>2 уровень</t>
        </is>
      </c>
      <c r="C694" s="34" t="inlineStr">
        <is>
          <t>Закрытые условия на абонементы</t>
        </is>
      </c>
      <c r="D694" s="34" t="inlineStr">
        <is>
          <t>Скидка 20% на абонемент 12 занятий</t>
        </is>
      </c>
      <c r="E694" s="34" t="inlineStr">
        <is>
          <t>При покупке абонемента на 12 занятий</t>
        </is>
      </c>
      <c r="F694" s="147" t="inlineStr">
        <is>
          <t>FW-L2-NBP33-FMEB5</t>
        </is>
      </c>
      <c r="G694" s="39" t="inlineStr">
        <is>
          <t>Не использован</t>
        </is>
      </c>
      <c r="H694" s="148" t="n"/>
      <c r="I694" s="34" t="str"/>
      <c r="J694" s="34" t="str"/>
      <c r="K694" s="130" t="n">
        <v>90</v>
      </c>
      <c r="L694" s="43">
        <f>IF(COUNTIF($F$5:$F$2407,F694)=1,"OK","Дубликат")</f>
        <v/>
      </c>
    </row>
    <row r="695" ht="38" customHeight="1">
      <c r="A695" s="146" t="inlineStr">
        <is>
          <t>SUB-L2-12-20</t>
        </is>
      </c>
      <c r="B695" s="39" t="inlineStr">
        <is>
          <t>2 уровень</t>
        </is>
      </c>
      <c r="C695" s="34" t="inlineStr">
        <is>
          <t>Закрытые условия на абонементы</t>
        </is>
      </c>
      <c r="D695" s="34" t="inlineStr">
        <is>
          <t>Скидка 20% на абонемент 12 занятий</t>
        </is>
      </c>
      <c r="E695" s="34" t="inlineStr">
        <is>
          <t>При покупке абонемента на 12 занятий</t>
        </is>
      </c>
      <c r="F695" s="147" t="inlineStr">
        <is>
          <t>FW-L2-K4DE9-L5MP8</t>
        </is>
      </c>
      <c r="G695" s="39" t="inlineStr">
        <is>
          <t>Не использован</t>
        </is>
      </c>
      <c r="H695" s="148" t="n"/>
      <c r="I695" s="34" t="str"/>
      <c r="J695" s="34" t="str"/>
      <c r="K695" s="130" t="n">
        <v>91</v>
      </c>
      <c r="L695" s="43">
        <f>IF(COUNTIF($F$5:$F$2407,F695)=1,"OK","Дубликат")</f>
        <v/>
      </c>
    </row>
    <row r="696" ht="38" customHeight="1">
      <c r="A696" s="146" t="inlineStr">
        <is>
          <t>SUB-L2-12-20</t>
        </is>
      </c>
      <c r="B696" s="39" t="inlineStr">
        <is>
          <t>2 уровень</t>
        </is>
      </c>
      <c r="C696" s="34" t="inlineStr">
        <is>
          <t>Закрытые условия на абонементы</t>
        </is>
      </c>
      <c r="D696" s="34" t="inlineStr">
        <is>
          <t>Скидка 20% на абонемент 12 занятий</t>
        </is>
      </c>
      <c r="E696" s="34" t="inlineStr">
        <is>
          <t>При покупке абонемента на 12 занятий</t>
        </is>
      </c>
      <c r="F696" s="147" t="inlineStr">
        <is>
          <t>FW-L2-9KDX3-V6SCT</t>
        </is>
      </c>
      <c r="G696" s="39" t="inlineStr">
        <is>
          <t>Не использован</t>
        </is>
      </c>
      <c r="H696" s="148" t="n"/>
      <c r="I696" s="34" t="str"/>
      <c r="J696" s="34" t="str"/>
      <c r="K696" s="130" t="n">
        <v>92</v>
      </c>
      <c r="L696" s="43">
        <f>IF(COUNTIF($F$5:$F$2407,F696)=1,"OK","Дубликат")</f>
        <v/>
      </c>
    </row>
    <row r="697" ht="38" customHeight="1">
      <c r="A697" s="146" t="inlineStr">
        <is>
          <t>SUB-L2-12-20</t>
        </is>
      </c>
      <c r="B697" s="39" t="inlineStr">
        <is>
          <t>2 уровень</t>
        </is>
      </c>
      <c r="C697" s="34" t="inlineStr">
        <is>
          <t>Закрытые условия на абонементы</t>
        </is>
      </c>
      <c r="D697" s="34" t="inlineStr">
        <is>
          <t>Скидка 20% на абонемент 12 занятий</t>
        </is>
      </c>
      <c r="E697" s="34" t="inlineStr">
        <is>
          <t>При покупке абонемента на 12 занятий</t>
        </is>
      </c>
      <c r="F697" s="147" t="inlineStr">
        <is>
          <t>FW-L2-A8UXU-NCVA4</t>
        </is>
      </c>
      <c r="G697" s="39" t="inlineStr">
        <is>
          <t>Не использован</t>
        </is>
      </c>
      <c r="H697" s="148" t="n"/>
      <c r="I697" s="34" t="str"/>
      <c r="J697" s="34" t="str"/>
      <c r="K697" s="130" t="n">
        <v>93</v>
      </c>
      <c r="L697" s="43">
        <f>IF(COUNTIF($F$5:$F$2407,F697)=1,"OK","Дубликат")</f>
        <v/>
      </c>
    </row>
    <row r="698" ht="38" customHeight="1">
      <c r="A698" s="146" t="inlineStr">
        <is>
          <t>SUB-L2-12-20</t>
        </is>
      </c>
      <c r="B698" s="39" t="inlineStr">
        <is>
          <t>2 уровень</t>
        </is>
      </c>
      <c r="C698" s="34" t="inlineStr">
        <is>
          <t>Закрытые условия на абонементы</t>
        </is>
      </c>
      <c r="D698" s="34" t="inlineStr">
        <is>
          <t>Скидка 20% на абонемент 12 занятий</t>
        </is>
      </c>
      <c r="E698" s="34" t="inlineStr">
        <is>
          <t>При покупке абонемента на 12 занятий</t>
        </is>
      </c>
      <c r="F698" s="147" t="inlineStr">
        <is>
          <t>FW-L2-CU69E-DPV8H</t>
        </is>
      </c>
      <c r="G698" s="39" t="inlineStr">
        <is>
          <t>Не использован</t>
        </is>
      </c>
      <c r="H698" s="148" t="n"/>
      <c r="I698" s="34" t="str"/>
      <c r="J698" s="34" t="str"/>
      <c r="K698" s="130" t="n">
        <v>94</v>
      </c>
      <c r="L698" s="43">
        <f>IF(COUNTIF($F$5:$F$2407,F698)=1,"OK","Дубликат")</f>
        <v/>
      </c>
    </row>
    <row r="699" ht="38" customHeight="1">
      <c r="A699" s="146" t="inlineStr">
        <is>
          <t>SUB-L2-12-20</t>
        </is>
      </c>
      <c r="B699" s="39" t="inlineStr">
        <is>
          <t>2 уровень</t>
        </is>
      </c>
      <c r="C699" s="34" t="inlineStr">
        <is>
          <t>Закрытые условия на абонементы</t>
        </is>
      </c>
      <c r="D699" s="34" t="inlineStr">
        <is>
          <t>Скидка 20% на абонемент 12 занятий</t>
        </is>
      </c>
      <c r="E699" s="34" t="inlineStr">
        <is>
          <t>При покупке абонемента на 12 занятий</t>
        </is>
      </c>
      <c r="F699" s="147" t="inlineStr">
        <is>
          <t>FW-L2-RAV34-EJBXB</t>
        </is>
      </c>
      <c r="G699" s="39" t="inlineStr">
        <is>
          <t>Не использован</t>
        </is>
      </c>
      <c r="H699" s="148" t="n"/>
      <c r="I699" s="34" t="str"/>
      <c r="J699" s="34" t="str"/>
      <c r="K699" s="130" t="n">
        <v>95</v>
      </c>
      <c r="L699" s="43">
        <f>IF(COUNTIF($F$5:$F$2407,F699)=1,"OK","Дубликат")</f>
        <v/>
      </c>
    </row>
    <row r="700" ht="38" customHeight="1">
      <c r="A700" s="146" t="inlineStr">
        <is>
          <t>SUB-L2-12-20</t>
        </is>
      </c>
      <c r="B700" s="39" t="inlineStr">
        <is>
          <t>2 уровень</t>
        </is>
      </c>
      <c r="C700" s="34" t="inlineStr">
        <is>
          <t>Закрытые условия на абонементы</t>
        </is>
      </c>
      <c r="D700" s="34" t="inlineStr">
        <is>
          <t>Скидка 20% на абонемент 12 занятий</t>
        </is>
      </c>
      <c r="E700" s="34" t="inlineStr">
        <is>
          <t>При покупке абонемента на 12 занятий</t>
        </is>
      </c>
      <c r="F700" s="147" t="inlineStr">
        <is>
          <t>FW-L2-3X733-XRAQ7</t>
        </is>
      </c>
      <c r="G700" s="39" t="inlineStr">
        <is>
          <t>Не использован</t>
        </is>
      </c>
      <c r="H700" s="148" t="n"/>
      <c r="I700" s="34" t="str"/>
      <c r="J700" s="34" t="str"/>
      <c r="K700" s="130" t="n">
        <v>96</v>
      </c>
      <c r="L700" s="43">
        <f>IF(COUNTIF($F$5:$F$2407,F700)=1,"OK","Дубликат")</f>
        <v/>
      </c>
    </row>
    <row r="701" ht="38" customHeight="1">
      <c r="A701" s="146" t="inlineStr">
        <is>
          <t>SUB-L2-12-20</t>
        </is>
      </c>
      <c r="B701" s="39" t="inlineStr">
        <is>
          <t>2 уровень</t>
        </is>
      </c>
      <c r="C701" s="34" t="inlineStr">
        <is>
          <t>Закрытые условия на абонементы</t>
        </is>
      </c>
      <c r="D701" s="34" t="inlineStr">
        <is>
          <t>Скидка 20% на абонемент 12 занятий</t>
        </is>
      </c>
      <c r="E701" s="34" t="inlineStr">
        <is>
          <t>При покупке абонемента на 12 занятий</t>
        </is>
      </c>
      <c r="F701" s="147" t="inlineStr">
        <is>
          <t>FW-L2-U8QRM-C4KTX</t>
        </is>
      </c>
      <c r="G701" s="39" t="inlineStr">
        <is>
          <t>Не использован</t>
        </is>
      </c>
      <c r="H701" s="148" t="n"/>
      <c r="I701" s="34" t="str"/>
      <c r="J701" s="34" t="str"/>
      <c r="K701" s="130" t="n">
        <v>97</v>
      </c>
      <c r="L701" s="43">
        <f>IF(COUNTIF($F$5:$F$2407,F701)=1,"OK","Дубликат")</f>
        <v/>
      </c>
    </row>
    <row r="702" ht="38" customHeight="1">
      <c r="A702" s="146" t="inlineStr">
        <is>
          <t>SUB-L2-12-20</t>
        </is>
      </c>
      <c r="B702" s="39" t="inlineStr">
        <is>
          <t>2 уровень</t>
        </is>
      </c>
      <c r="C702" s="34" t="inlineStr">
        <is>
          <t>Закрытые условия на абонементы</t>
        </is>
      </c>
      <c r="D702" s="34" t="inlineStr">
        <is>
          <t>Скидка 20% на абонемент 12 занятий</t>
        </is>
      </c>
      <c r="E702" s="34" t="inlineStr">
        <is>
          <t>При покупке абонемента на 12 занятий</t>
        </is>
      </c>
      <c r="F702" s="147" t="inlineStr">
        <is>
          <t>FW-L2-AGY4F-W8UNL</t>
        </is>
      </c>
      <c r="G702" s="39" t="inlineStr">
        <is>
          <t>Не использован</t>
        </is>
      </c>
      <c r="H702" s="148" t="n"/>
      <c r="I702" s="34" t="str"/>
      <c r="J702" s="34" t="str"/>
      <c r="K702" s="130" t="n">
        <v>98</v>
      </c>
      <c r="L702" s="43">
        <f>IF(COUNTIF($F$5:$F$2407,F702)=1,"OK","Дубликат")</f>
        <v/>
      </c>
    </row>
    <row r="703" ht="38" customHeight="1">
      <c r="A703" s="146" t="inlineStr">
        <is>
          <t>SUB-L2-12-20</t>
        </is>
      </c>
      <c r="B703" s="39" t="inlineStr">
        <is>
          <t>2 уровень</t>
        </is>
      </c>
      <c r="C703" s="34" t="inlineStr">
        <is>
          <t>Закрытые условия на абонементы</t>
        </is>
      </c>
      <c r="D703" s="34" t="inlineStr">
        <is>
          <t>Скидка 20% на абонемент 12 занятий</t>
        </is>
      </c>
      <c r="E703" s="34" t="inlineStr">
        <is>
          <t>При покупке абонемента на 12 занятий</t>
        </is>
      </c>
      <c r="F703" s="147" t="inlineStr">
        <is>
          <t>FW-L2-DET9Y-8ZMFX</t>
        </is>
      </c>
      <c r="G703" s="39" t="inlineStr">
        <is>
          <t>Не использован</t>
        </is>
      </c>
      <c r="H703" s="148" t="n"/>
      <c r="I703" s="34" t="str"/>
      <c r="J703" s="34" t="str"/>
      <c r="K703" s="130" t="n">
        <v>99</v>
      </c>
      <c r="L703" s="43">
        <f>IF(COUNTIF($F$5:$F$2407,F703)=1,"OK","Дубликат")</f>
        <v/>
      </c>
    </row>
    <row r="704" ht="38" customHeight="1">
      <c r="A704" s="146" t="inlineStr">
        <is>
          <t>SUB-L2-12-20</t>
        </is>
      </c>
      <c r="B704" s="39" t="inlineStr">
        <is>
          <t>2 уровень</t>
        </is>
      </c>
      <c r="C704" s="34" t="inlineStr">
        <is>
          <t>Закрытые условия на абонементы</t>
        </is>
      </c>
      <c r="D704" s="34" t="inlineStr">
        <is>
          <t>Скидка 20% на абонемент 12 занятий</t>
        </is>
      </c>
      <c r="E704" s="34" t="inlineStr">
        <is>
          <t>При покупке абонемента на 12 занятий</t>
        </is>
      </c>
      <c r="F704" s="147" t="inlineStr">
        <is>
          <t>FW-L2-F89BN-2GL55</t>
        </is>
      </c>
      <c r="G704" s="39" t="inlineStr">
        <is>
          <t>Не использован</t>
        </is>
      </c>
      <c r="H704" s="148" t="n"/>
      <c r="I704" s="34" t="str"/>
      <c r="J704" s="34" t="str"/>
      <c r="K704" s="130" t="n">
        <v>100</v>
      </c>
      <c r="L704" s="43">
        <f>IF(COUNTIF($F$5:$F$2407,F704)=1,"OK","Дубликат")</f>
        <v/>
      </c>
    </row>
    <row r="705" ht="38" customHeight="1">
      <c r="A705" s="146" t="inlineStr">
        <is>
          <t>SUB-L2-12-20</t>
        </is>
      </c>
      <c r="B705" s="39" t="inlineStr">
        <is>
          <t>2 уровень</t>
        </is>
      </c>
      <c r="C705" s="34" t="inlineStr">
        <is>
          <t>Закрытые условия на абонементы</t>
        </is>
      </c>
      <c r="D705" s="34" t="inlineStr">
        <is>
          <t>Скидка 20% на абонемент 12 занятий</t>
        </is>
      </c>
      <c r="E705" s="34" t="inlineStr">
        <is>
          <t>При покупке абонемента на 12 занятий</t>
        </is>
      </c>
      <c r="F705" s="147" t="inlineStr">
        <is>
          <t>FW-L2-T352S-78JUK</t>
        </is>
      </c>
      <c r="G705" s="39" t="inlineStr">
        <is>
          <t>Не использован</t>
        </is>
      </c>
      <c r="H705" s="148" t="n"/>
      <c r="I705" s="34" t="str"/>
      <c r="J705" s="34" t="str"/>
      <c r="K705" s="130" t="n">
        <v>101</v>
      </c>
      <c r="L705" s="43">
        <f>IF(COUNTIF($F$5:$F$2407,F705)=1,"OK","Дубликат")</f>
        <v/>
      </c>
    </row>
    <row r="706" ht="38" customHeight="1">
      <c r="A706" s="146" t="inlineStr">
        <is>
          <t>SUB-L2-12-20</t>
        </is>
      </c>
      <c r="B706" s="39" t="inlineStr">
        <is>
          <t>2 уровень</t>
        </is>
      </c>
      <c r="C706" s="34" t="inlineStr">
        <is>
          <t>Закрытые условия на абонементы</t>
        </is>
      </c>
      <c r="D706" s="34" t="inlineStr">
        <is>
          <t>Скидка 20% на абонемент 12 занятий</t>
        </is>
      </c>
      <c r="E706" s="34" t="inlineStr">
        <is>
          <t>При покупке абонемента на 12 занятий</t>
        </is>
      </c>
      <c r="F706" s="147" t="inlineStr">
        <is>
          <t>FW-L2-LSYG8-CM7A2</t>
        </is>
      </c>
      <c r="G706" s="39" t="inlineStr">
        <is>
          <t>Не использован</t>
        </is>
      </c>
      <c r="H706" s="148" t="n"/>
      <c r="I706" s="34" t="str"/>
      <c r="J706" s="34" t="str"/>
      <c r="K706" s="130" t="n">
        <v>102</v>
      </c>
      <c r="L706" s="43">
        <f>IF(COUNTIF($F$5:$F$2407,F706)=1,"OK","Дубликат")</f>
        <v/>
      </c>
    </row>
    <row r="707" ht="38" customHeight="1">
      <c r="A707" s="146" t="inlineStr">
        <is>
          <t>SUB-L2-12-20</t>
        </is>
      </c>
      <c r="B707" s="39" t="inlineStr">
        <is>
          <t>2 уровень</t>
        </is>
      </c>
      <c r="C707" s="34" t="inlineStr">
        <is>
          <t>Закрытые условия на абонементы</t>
        </is>
      </c>
      <c r="D707" s="34" t="inlineStr">
        <is>
          <t>Скидка 20% на абонемент 12 занятий</t>
        </is>
      </c>
      <c r="E707" s="34" t="inlineStr">
        <is>
          <t>При покупке абонемента на 12 занятий</t>
        </is>
      </c>
      <c r="F707" s="147" t="inlineStr">
        <is>
          <t>FW-L2-HKQR9-UCGUD</t>
        </is>
      </c>
      <c r="G707" s="39" t="inlineStr">
        <is>
          <t>Не использован</t>
        </is>
      </c>
      <c r="H707" s="148" t="n"/>
      <c r="I707" s="34" t="str"/>
      <c r="J707" s="34" t="str"/>
      <c r="K707" s="130" t="n">
        <v>103</v>
      </c>
      <c r="L707" s="43">
        <f>IF(COUNTIF($F$5:$F$2407,F707)=1,"OK","Дубликат")</f>
        <v/>
      </c>
    </row>
    <row r="708" ht="38" customHeight="1">
      <c r="A708" s="146" t="inlineStr">
        <is>
          <t>SUB-L2-12-20</t>
        </is>
      </c>
      <c r="B708" s="39" t="inlineStr">
        <is>
          <t>2 уровень</t>
        </is>
      </c>
      <c r="C708" s="34" t="inlineStr">
        <is>
          <t>Закрытые условия на абонементы</t>
        </is>
      </c>
      <c r="D708" s="34" t="inlineStr">
        <is>
          <t>Скидка 20% на абонемент 12 занятий</t>
        </is>
      </c>
      <c r="E708" s="34" t="inlineStr">
        <is>
          <t>При покупке абонемента на 12 занятий</t>
        </is>
      </c>
      <c r="F708" s="147" t="inlineStr">
        <is>
          <t>FW-L2-6P3CA-NZLJH</t>
        </is>
      </c>
      <c r="G708" s="39" t="inlineStr">
        <is>
          <t>Не использован</t>
        </is>
      </c>
      <c r="H708" s="148" t="n"/>
      <c r="I708" s="34" t="str"/>
      <c r="J708" s="34" t="str"/>
      <c r="K708" s="130" t="n">
        <v>104</v>
      </c>
      <c r="L708" s="43">
        <f>IF(COUNTIF($F$5:$F$2407,F708)=1,"OK","Дубликат")</f>
        <v/>
      </c>
    </row>
    <row r="709" ht="38" customHeight="1">
      <c r="A709" s="146" t="inlineStr">
        <is>
          <t>SUB-L2-12-20</t>
        </is>
      </c>
      <c r="B709" s="39" t="inlineStr">
        <is>
          <t>2 уровень</t>
        </is>
      </c>
      <c r="C709" s="34" t="inlineStr">
        <is>
          <t>Закрытые условия на абонементы</t>
        </is>
      </c>
      <c r="D709" s="34" t="inlineStr">
        <is>
          <t>Скидка 20% на абонемент 12 занятий</t>
        </is>
      </c>
      <c r="E709" s="34" t="inlineStr">
        <is>
          <t>При покупке абонемента на 12 занятий</t>
        </is>
      </c>
      <c r="F709" s="147" t="inlineStr">
        <is>
          <t>FW-L2-SAVSK-Z8RJT</t>
        </is>
      </c>
      <c r="G709" s="39" t="inlineStr">
        <is>
          <t>Не использован</t>
        </is>
      </c>
      <c r="H709" s="148" t="n"/>
      <c r="I709" s="34" t="str"/>
      <c r="J709" s="34" t="str"/>
      <c r="K709" s="130" t="n">
        <v>105</v>
      </c>
      <c r="L709" s="43">
        <f>IF(COUNTIF($F$5:$F$2407,F709)=1,"OK","Дубликат")</f>
        <v/>
      </c>
    </row>
    <row r="710" ht="38" customHeight="1">
      <c r="A710" s="146" t="inlineStr">
        <is>
          <t>SUB-L2-12-20</t>
        </is>
      </c>
      <c r="B710" s="39" t="inlineStr">
        <is>
          <t>2 уровень</t>
        </is>
      </c>
      <c r="C710" s="34" t="inlineStr">
        <is>
          <t>Закрытые условия на абонементы</t>
        </is>
      </c>
      <c r="D710" s="34" t="inlineStr">
        <is>
          <t>Скидка 20% на абонемент 12 занятий</t>
        </is>
      </c>
      <c r="E710" s="34" t="inlineStr">
        <is>
          <t>При покупке абонемента на 12 занятий</t>
        </is>
      </c>
      <c r="F710" s="147" t="inlineStr">
        <is>
          <t>FW-L2-ZZP6K-ZCDLV</t>
        </is>
      </c>
      <c r="G710" s="39" t="inlineStr">
        <is>
          <t>Не использован</t>
        </is>
      </c>
      <c r="H710" s="148" t="n"/>
      <c r="I710" s="34" t="str"/>
      <c r="J710" s="34" t="str"/>
      <c r="K710" s="130" t="n">
        <v>106</v>
      </c>
      <c r="L710" s="43">
        <f>IF(COUNTIF($F$5:$F$2407,F710)=1,"OK","Дубликат")</f>
        <v/>
      </c>
    </row>
    <row r="711" ht="38" customHeight="1">
      <c r="A711" s="146" t="inlineStr">
        <is>
          <t>SUB-L2-12-20</t>
        </is>
      </c>
      <c r="B711" s="39" t="inlineStr">
        <is>
          <t>2 уровень</t>
        </is>
      </c>
      <c r="C711" s="34" t="inlineStr">
        <is>
          <t>Закрытые условия на абонементы</t>
        </is>
      </c>
      <c r="D711" s="34" t="inlineStr">
        <is>
          <t>Скидка 20% на абонемент 12 занятий</t>
        </is>
      </c>
      <c r="E711" s="34" t="inlineStr">
        <is>
          <t>При покупке абонемента на 12 занятий</t>
        </is>
      </c>
      <c r="F711" s="147" t="inlineStr">
        <is>
          <t>FW-L2-YSNRJ-AY4DB</t>
        </is>
      </c>
      <c r="G711" s="39" t="inlineStr">
        <is>
          <t>Не использован</t>
        </is>
      </c>
      <c r="H711" s="148" t="n"/>
      <c r="I711" s="34" t="str"/>
      <c r="J711" s="34" t="str"/>
      <c r="K711" s="130" t="n">
        <v>107</v>
      </c>
      <c r="L711" s="43">
        <f>IF(COUNTIF($F$5:$F$2407,F711)=1,"OK","Дубликат")</f>
        <v/>
      </c>
    </row>
    <row r="712" ht="38" customHeight="1">
      <c r="A712" s="146" t="inlineStr">
        <is>
          <t>SUB-L2-12-20</t>
        </is>
      </c>
      <c r="B712" s="39" t="inlineStr">
        <is>
          <t>2 уровень</t>
        </is>
      </c>
      <c r="C712" s="34" t="inlineStr">
        <is>
          <t>Закрытые условия на абонементы</t>
        </is>
      </c>
      <c r="D712" s="34" t="inlineStr">
        <is>
          <t>Скидка 20% на абонемент 12 занятий</t>
        </is>
      </c>
      <c r="E712" s="34" t="inlineStr">
        <is>
          <t>При покупке абонемента на 12 занятий</t>
        </is>
      </c>
      <c r="F712" s="147" t="inlineStr">
        <is>
          <t>FW-L2-PZ2ES-9NTWB</t>
        </is>
      </c>
      <c r="G712" s="39" t="inlineStr">
        <is>
          <t>Не использован</t>
        </is>
      </c>
      <c r="H712" s="148" t="n"/>
      <c r="I712" s="34" t="str"/>
      <c r="J712" s="34" t="str"/>
      <c r="K712" s="130" t="n">
        <v>108</v>
      </c>
      <c r="L712" s="43">
        <f>IF(COUNTIF($F$5:$F$2407,F712)=1,"OK","Дубликат")</f>
        <v/>
      </c>
    </row>
    <row r="713" ht="38" customHeight="1">
      <c r="A713" s="146" t="inlineStr">
        <is>
          <t>SUB-L2-12-20</t>
        </is>
      </c>
      <c r="B713" s="39" t="inlineStr">
        <is>
          <t>2 уровень</t>
        </is>
      </c>
      <c r="C713" s="34" t="inlineStr">
        <is>
          <t>Закрытые условия на абонементы</t>
        </is>
      </c>
      <c r="D713" s="34" t="inlineStr">
        <is>
          <t>Скидка 20% на абонемент 12 занятий</t>
        </is>
      </c>
      <c r="E713" s="34" t="inlineStr">
        <is>
          <t>При покупке абонемента на 12 занятий</t>
        </is>
      </c>
      <c r="F713" s="147" t="inlineStr">
        <is>
          <t>FW-L2-6YMNH-HNGPM</t>
        </is>
      </c>
      <c r="G713" s="39" t="inlineStr">
        <is>
          <t>Не использован</t>
        </is>
      </c>
      <c r="H713" s="148" t="n"/>
      <c r="I713" s="34" t="str"/>
      <c r="J713" s="34" t="str"/>
      <c r="K713" s="130" t="n">
        <v>109</v>
      </c>
      <c r="L713" s="43">
        <f>IF(COUNTIF($F$5:$F$2407,F713)=1,"OK","Дубликат")</f>
        <v/>
      </c>
    </row>
    <row r="714" ht="38" customHeight="1">
      <c r="A714" s="146" t="inlineStr">
        <is>
          <t>SUB-L2-12-20</t>
        </is>
      </c>
      <c r="B714" s="39" t="inlineStr">
        <is>
          <t>2 уровень</t>
        </is>
      </c>
      <c r="C714" s="34" t="inlineStr">
        <is>
          <t>Закрытые условия на абонементы</t>
        </is>
      </c>
      <c r="D714" s="34" t="inlineStr">
        <is>
          <t>Скидка 20% на абонемент 12 занятий</t>
        </is>
      </c>
      <c r="E714" s="34" t="inlineStr">
        <is>
          <t>При покупке абонемента на 12 занятий</t>
        </is>
      </c>
      <c r="F714" s="147" t="inlineStr">
        <is>
          <t>FW-L2-HR7HT-Z5G5Y</t>
        </is>
      </c>
      <c r="G714" s="39" t="inlineStr">
        <is>
          <t>Не использован</t>
        </is>
      </c>
      <c r="H714" s="148" t="n"/>
      <c r="I714" s="34" t="str"/>
      <c r="J714" s="34" t="str"/>
      <c r="K714" s="130" t="n">
        <v>110</v>
      </c>
      <c r="L714" s="43">
        <f>IF(COUNTIF($F$5:$F$2407,F714)=1,"OK","Дубликат")</f>
        <v/>
      </c>
    </row>
    <row r="715" ht="38" customHeight="1">
      <c r="A715" s="146" t="inlineStr">
        <is>
          <t>SUB-L2-12-20</t>
        </is>
      </c>
      <c r="B715" s="39" t="inlineStr">
        <is>
          <t>2 уровень</t>
        </is>
      </c>
      <c r="C715" s="34" t="inlineStr">
        <is>
          <t>Закрытые условия на абонементы</t>
        </is>
      </c>
      <c r="D715" s="34" t="inlineStr">
        <is>
          <t>Скидка 20% на абонемент 12 занятий</t>
        </is>
      </c>
      <c r="E715" s="34" t="inlineStr">
        <is>
          <t>При покупке абонемента на 12 занятий</t>
        </is>
      </c>
      <c r="F715" s="147" t="inlineStr">
        <is>
          <t>FW-L2-KEC8K-UEM9C</t>
        </is>
      </c>
      <c r="G715" s="39" t="inlineStr">
        <is>
          <t>Не использован</t>
        </is>
      </c>
      <c r="H715" s="148" t="n"/>
      <c r="I715" s="34" t="str"/>
      <c r="J715" s="34" t="str"/>
      <c r="K715" s="130" t="n">
        <v>111</v>
      </c>
      <c r="L715" s="43">
        <f>IF(COUNTIF($F$5:$F$2407,F715)=1,"OK","Дубликат")</f>
        <v/>
      </c>
    </row>
    <row r="716" ht="38" customHeight="1">
      <c r="A716" s="146" t="inlineStr">
        <is>
          <t>SUB-L2-12-20</t>
        </is>
      </c>
      <c r="B716" s="39" t="inlineStr">
        <is>
          <t>2 уровень</t>
        </is>
      </c>
      <c r="C716" s="34" t="inlineStr">
        <is>
          <t>Закрытые условия на абонементы</t>
        </is>
      </c>
      <c r="D716" s="34" t="inlineStr">
        <is>
          <t>Скидка 20% на абонемент 12 занятий</t>
        </is>
      </c>
      <c r="E716" s="34" t="inlineStr">
        <is>
          <t>При покупке абонемента на 12 занятий</t>
        </is>
      </c>
      <c r="F716" s="147" t="inlineStr">
        <is>
          <t>FW-L2-54H3S-UYFQT</t>
        </is>
      </c>
      <c r="G716" s="39" t="inlineStr">
        <is>
          <t>Не использован</t>
        </is>
      </c>
      <c r="H716" s="148" t="n"/>
      <c r="I716" s="34" t="str"/>
      <c r="J716" s="34" t="str"/>
      <c r="K716" s="130" t="n">
        <v>112</v>
      </c>
      <c r="L716" s="43">
        <f>IF(COUNTIF($F$5:$F$2407,F716)=1,"OK","Дубликат")</f>
        <v/>
      </c>
    </row>
    <row r="717" ht="38" customHeight="1">
      <c r="A717" s="146" t="inlineStr">
        <is>
          <t>SUB-L2-12-20</t>
        </is>
      </c>
      <c r="B717" s="39" t="inlineStr">
        <is>
          <t>2 уровень</t>
        </is>
      </c>
      <c r="C717" s="34" t="inlineStr">
        <is>
          <t>Закрытые условия на абонементы</t>
        </is>
      </c>
      <c r="D717" s="34" t="inlineStr">
        <is>
          <t>Скидка 20% на абонемент 12 занятий</t>
        </is>
      </c>
      <c r="E717" s="34" t="inlineStr">
        <is>
          <t>При покупке абонемента на 12 занятий</t>
        </is>
      </c>
      <c r="F717" s="147" t="inlineStr">
        <is>
          <t>FW-L2-2MFME-U8H7P</t>
        </is>
      </c>
      <c r="G717" s="39" t="inlineStr">
        <is>
          <t>Не использован</t>
        </is>
      </c>
      <c r="H717" s="148" t="n"/>
      <c r="I717" s="34" t="str"/>
      <c r="J717" s="34" t="str"/>
      <c r="K717" s="130" t="n">
        <v>113</v>
      </c>
      <c r="L717" s="43">
        <f>IF(COUNTIF($F$5:$F$2407,F717)=1,"OK","Дубликат")</f>
        <v/>
      </c>
    </row>
    <row r="718" ht="38" customHeight="1">
      <c r="A718" s="146" t="inlineStr">
        <is>
          <t>SUB-L2-12-20</t>
        </is>
      </c>
      <c r="B718" s="39" t="inlineStr">
        <is>
          <t>2 уровень</t>
        </is>
      </c>
      <c r="C718" s="34" t="inlineStr">
        <is>
          <t>Закрытые условия на абонементы</t>
        </is>
      </c>
      <c r="D718" s="34" t="inlineStr">
        <is>
          <t>Скидка 20% на абонемент 12 занятий</t>
        </is>
      </c>
      <c r="E718" s="34" t="inlineStr">
        <is>
          <t>При покупке абонемента на 12 занятий</t>
        </is>
      </c>
      <c r="F718" s="147" t="inlineStr">
        <is>
          <t>FW-L2-4AKPY-MDTUN</t>
        </is>
      </c>
      <c r="G718" s="39" t="inlineStr">
        <is>
          <t>Не использован</t>
        </is>
      </c>
      <c r="H718" s="148" t="n"/>
      <c r="I718" s="34" t="str"/>
      <c r="J718" s="34" t="str"/>
      <c r="K718" s="130" t="n">
        <v>114</v>
      </c>
      <c r="L718" s="43">
        <f>IF(COUNTIF($F$5:$F$2407,F718)=1,"OK","Дубликат")</f>
        <v/>
      </c>
    </row>
    <row r="719" ht="38" customHeight="1">
      <c r="A719" s="146" t="inlineStr">
        <is>
          <t>SUB-L2-12-20</t>
        </is>
      </c>
      <c r="B719" s="39" t="inlineStr">
        <is>
          <t>2 уровень</t>
        </is>
      </c>
      <c r="C719" s="34" t="inlineStr">
        <is>
          <t>Закрытые условия на абонементы</t>
        </is>
      </c>
      <c r="D719" s="34" t="inlineStr">
        <is>
          <t>Скидка 20% на абонемент 12 занятий</t>
        </is>
      </c>
      <c r="E719" s="34" t="inlineStr">
        <is>
          <t>При покупке абонемента на 12 занятий</t>
        </is>
      </c>
      <c r="F719" s="147" t="inlineStr">
        <is>
          <t>FW-L2-AYJKJ-GXUPN</t>
        </is>
      </c>
      <c r="G719" s="39" t="inlineStr">
        <is>
          <t>Не использован</t>
        </is>
      </c>
      <c r="H719" s="148" t="n"/>
      <c r="I719" s="34" t="str"/>
      <c r="J719" s="34" t="str"/>
      <c r="K719" s="130" t="n">
        <v>115</v>
      </c>
      <c r="L719" s="43">
        <f>IF(COUNTIF($F$5:$F$2407,F719)=1,"OK","Дубликат")</f>
        <v/>
      </c>
    </row>
    <row r="720" ht="38" customHeight="1">
      <c r="A720" s="146" t="inlineStr">
        <is>
          <t>SUB-L2-12-20</t>
        </is>
      </c>
      <c r="B720" s="39" t="inlineStr">
        <is>
          <t>2 уровень</t>
        </is>
      </c>
      <c r="C720" s="34" t="inlineStr">
        <is>
          <t>Закрытые условия на абонементы</t>
        </is>
      </c>
      <c r="D720" s="34" t="inlineStr">
        <is>
          <t>Скидка 20% на абонемент 12 занятий</t>
        </is>
      </c>
      <c r="E720" s="34" t="inlineStr">
        <is>
          <t>При покупке абонемента на 12 занятий</t>
        </is>
      </c>
      <c r="F720" s="147" t="inlineStr">
        <is>
          <t>FW-L2-CQWXC-KX92U</t>
        </is>
      </c>
      <c r="G720" s="39" t="inlineStr">
        <is>
          <t>Не использован</t>
        </is>
      </c>
      <c r="H720" s="148" t="n"/>
      <c r="I720" s="34" t="str"/>
      <c r="J720" s="34" t="str"/>
      <c r="K720" s="130" t="n">
        <v>116</v>
      </c>
      <c r="L720" s="43">
        <f>IF(COUNTIF($F$5:$F$2407,F720)=1,"OK","Дубликат")</f>
        <v/>
      </c>
    </row>
    <row r="721" ht="38" customHeight="1">
      <c r="A721" s="146" t="inlineStr">
        <is>
          <t>SUB-L2-12-20</t>
        </is>
      </c>
      <c r="B721" s="39" t="inlineStr">
        <is>
          <t>2 уровень</t>
        </is>
      </c>
      <c r="C721" s="34" t="inlineStr">
        <is>
          <t>Закрытые условия на абонементы</t>
        </is>
      </c>
      <c r="D721" s="34" t="inlineStr">
        <is>
          <t>Скидка 20% на абонемент 12 занятий</t>
        </is>
      </c>
      <c r="E721" s="34" t="inlineStr">
        <is>
          <t>При покупке абонемента на 12 занятий</t>
        </is>
      </c>
      <c r="F721" s="147" t="inlineStr">
        <is>
          <t>FW-L2-AF88T-VJYTQ</t>
        </is>
      </c>
      <c r="G721" s="39" t="inlineStr">
        <is>
          <t>Не использован</t>
        </is>
      </c>
      <c r="H721" s="148" t="n"/>
      <c r="I721" s="34" t="str"/>
      <c r="J721" s="34" t="str"/>
      <c r="K721" s="130" t="n">
        <v>117</v>
      </c>
      <c r="L721" s="43">
        <f>IF(COUNTIF($F$5:$F$2407,F721)=1,"OK","Дубликат")</f>
        <v/>
      </c>
    </row>
    <row r="722" ht="38" customHeight="1">
      <c r="A722" s="146" t="inlineStr">
        <is>
          <t>SUB-L2-12-20</t>
        </is>
      </c>
      <c r="B722" s="39" t="inlineStr">
        <is>
          <t>2 уровень</t>
        </is>
      </c>
      <c r="C722" s="34" t="inlineStr">
        <is>
          <t>Закрытые условия на абонементы</t>
        </is>
      </c>
      <c r="D722" s="34" t="inlineStr">
        <is>
          <t>Скидка 20% на абонемент 12 занятий</t>
        </is>
      </c>
      <c r="E722" s="34" t="inlineStr">
        <is>
          <t>При покупке абонемента на 12 занятий</t>
        </is>
      </c>
      <c r="F722" s="147" t="inlineStr">
        <is>
          <t>FW-L2-M4RLC-23ZKS</t>
        </is>
      </c>
      <c r="G722" s="39" t="inlineStr">
        <is>
          <t>Не использован</t>
        </is>
      </c>
      <c r="H722" s="148" t="n"/>
      <c r="I722" s="34" t="str"/>
      <c r="J722" s="34" t="str"/>
      <c r="K722" s="130" t="n">
        <v>118</v>
      </c>
      <c r="L722" s="43">
        <f>IF(COUNTIF($F$5:$F$2407,F722)=1,"OK","Дубликат")</f>
        <v/>
      </c>
    </row>
    <row r="723" ht="38" customHeight="1">
      <c r="A723" s="146" t="inlineStr">
        <is>
          <t>SUB-L2-12-20</t>
        </is>
      </c>
      <c r="B723" s="39" t="inlineStr">
        <is>
          <t>2 уровень</t>
        </is>
      </c>
      <c r="C723" s="34" t="inlineStr">
        <is>
          <t>Закрытые условия на абонементы</t>
        </is>
      </c>
      <c r="D723" s="34" t="inlineStr">
        <is>
          <t>Скидка 20% на абонемент 12 занятий</t>
        </is>
      </c>
      <c r="E723" s="34" t="inlineStr">
        <is>
          <t>При покупке абонемента на 12 занятий</t>
        </is>
      </c>
      <c r="F723" s="147" t="inlineStr">
        <is>
          <t>FW-L2-5HXT6-JDTCQ</t>
        </is>
      </c>
      <c r="G723" s="39" t="inlineStr">
        <is>
          <t>Не использован</t>
        </is>
      </c>
      <c r="H723" s="148" t="n"/>
      <c r="I723" s="34" t="str"/>
      <c r="J723" s="34" t="str"/>
      <c r="K723" s="130" t="n">
        <v>119</v>
      </c>
      <c r="L723" s="43">
        <f>IF(COUNTIF($F$5:$F$2407,F723)=1,"OK","Дубликат")</f>
        <v/>
      </c>
    </row>
    <row r="724" ht="38" customHeight="1">
      <c r="A724" s="146" t="inlineStr">
        <is>
          <t>SUB-L2-12-20</t>
        </is>
      </c>
      <c r="B724" s="39" t="inlineStr">
        <is>
          <t>2 уровень</t>
        </is>
      </c>
      <c r="C724" s="34" t="inlineStr">
        <is>
          <t>Закрытые условия на абонементы</t>
        </is>
      </c>
      <c r="D724" s="34" t="inlineStr">
        <is>
          <t>Скидка 20% на абонемент 12 занятий</t>
        </is>
      </c>
      <c r="E724" s="34" t="inlineStr">
        <is>
          <t>При покупке абонемента на 12 занятий</t>
        </is>
      </c>
      <c r="F724" s="147" t="inlineStr">
        <is>
          <t>FW-L2-VJFEN-VWMVK</t>
        </is>
      </c>
      <c r="G724" s="39" t="inlineStr">
        <is>
          <t>Не использован</t>
        </is>
      </c>
      <c r="H724" s="148" t="n"/>
      <c r="I724" s="34" t="str"/>
      <c r="J724" s="34" t="str"/>
      <c r="K724" s="130" t="n">
        <v>120</v>
      </c>
      <c r="L724" s="43">
        <f>IF(COUNTIF($F$5:$F$2407,F724)=1,"OK","Дубликат")</f>
        <v/>
      </c>
    </row>
    <row r="725" ht="38" customHeight="1">
      <c r="A725" s="146" t="inlineStr">
        <is>
          <t>SUB-L2-12-20</t>
        </is>
      </c>
      <c r="B725" s="39" t="inlineStr">
        <is>
          <t>2 уровень</t>
        </is>
      </c>
      <c r="C725" s="34" t="inlineStr">
        <is>
          <t>Закрытые условия на абонементы</t>
        </is>
      </c>
      <c r="D725" s="34" t="inlineStr">
        <is>
          <t>Скидка 20% на абонемент 12 занятий</t>
        </is>
      </c>
      <c r="E725" s="34" t="inlineStr">
        <is>
          <t>При покупке абонемента на 12 занятий</t>
        </is>
      </c>
      <c r="F725" s="147" t="inlineStr">
        <is>
          <t>FW-L2-H2HPJ-NFNG8</t>
        </is>
      </c>
      <c r="G725" s="39" t="inlineStr">
        <is>
          <t>Не использован</t>
        </is>
      </c>
      <c r="H725" s="148" t="n"/>
      <c r="I725" s="34" t="str"/>
      <c r="J725" s="34" t="str"/>
      <c r="K725" s="130" t="n">
        <v>121</v>
      </c>
      <c r="L725" s="43">
        <f>IF(COUNTIF($F$5:$F$2407,F725)=1,"OK","Дубликат")</f>
        <v/>
      </c>
    </row>
    <row r="726" ht="38" customHeight="1">
      <c r="A726" s="146" t="inlineStr">
        <is>
          <t>SUB-L2-12-20</t>
        </is>
      </c>
      <c r="B726" s="39" t="inlineStr">
        <is>
          <t>2 уровень</t>
        </is>
      </c>
      <c r="C726" s="34" t="inlineStr">
        <is>
          <t>Закрытые условия на абонементы</t>
        </is>
      </c>
      <c r="D726" s="34" t="inlineStr">
        <is>
          <t>Скидка 20% на абонемент 12 занятий</t>
        </is>
      </c>
      <c r="E726" s="34" t="inlineStr">
        <is>
          <t>При покупке абонемента на 12 занятий</t>
        </is>
      </c>
      <c r="F726" s="147" t="inlineStr">
        <is>
          <t>FW-L2-TQK9Z-NQPJ2</t>
        </is>
      </c>
      <c r="G726" s="39" t="inlineStr">
        <is>
          <t>Не использован</t>
        </is>
      </c>
      <c r="H726" s="148" t="n"/>
      <c r="I726" s="34" t="str"/>
      <c r="J726" s="34" t="str"/>
      <c r="K726" s="130" t="n">
        <v>122</v>
      </c>
      <c r="L726" s="43">
        <f>IF(COUNTIF($F$5:$F$2407,F726)=1,"OK","Дубликат")</f>
        <v/>
      </c>
    </row>
    <row r="727" ht="38" customHeight="1">
      <c r="A727" s="146" t="inlineStr">
        <is>
          <t>SUB-L2-12-20</t>
        </is>
      </c>
      <c r="B727" s="39" t="inlineStr">
        <is>
          <t>2 уровень</t>
        </is>
      </c>
      <c r="C727" s="34" t="inlineStr">
        <is>
          <t>Закрытые условия на абонементы</t>
        </is>
      </c>
      <c r="D727" s="34" t="inlineStr">
        <is>
          <t>Скидка 20% на абонемент 12 занятий</t>
        </is>
      </c>
      <c r="E727" s="34" t="inlineStr">
        <is>
          <t>При покупке абонемента на 12 занятий</t>
        </is>
      </c>
      <c r="F727" s="147" t="inlineStr">
        <is>
          <t>FW-L2-LF7FB-ZTP9U</t>
        </is>
      </c>
      <c r="G727" s="39" t="inlineStr">
        <is>
          <t>Не использован</t>
        </is>
      </c>
      <c r="H727" s="148" t="n"/>
      <c r="I727" s="34" t="str"/>
      <c r="J727" s="34" t="str"/>
      <c r="K727" s="130" t="n">
        <v>123</v>
      </c>
      <c r="L727" s="43">
        <f>IF(COUNTIF($F$5:$F$2407,F727)=1,"OK","Дубликат")</f>
        <v/>
      </c>
    </row>
    <row r="728" ht="38" customHeight="1">
      <c r="A728" s="146" t="inlineStr">
        <is>
          <t>SUB-L2-12-20</t>
        </is>
      </c>
      <c r="B728" s="39" t="inlineStr">
        <is>
          <t>2 уровень</t>
        </is>
      </c>
      <c r="C728" s="34" t="inlineStr">
        <is>
          <t>Закрытые условия на абонементы</t>
        </is>
      </c>
      <c r="D728" s="34" t="inlineStr">
        <is>
          <t>Скидка 20% на абонемент 12 занятий</t>
        </is>
      </c>
      <c r="E728" s="34" t="inlineStr">
        <is>
          <t>При покупке абонемента на 12 занятий</t>
        </is>
      </c>
      <c r="F728" s="147" t="inlineStr">
        <is>
          <t>FW-L2-GAKKA-HR9CH</t>
        </is>
      </c>
      <c r="G728" s="39" t="inlineStr">
        <is>
          <t>Не использован</t>
        </is>
      </c>
      <c r="H728" s="148" t="n"/>
      <c r="I728" s="34" t="str"/>
      <c r="J728" s="34" t="str"/>
      <c r="K728" s="130" t="n">
        <v>124</v>
      </c>
      <c r="L728" s="43">
        <f>IF(COUNTIF($F$5:$F$2407,F728)=1,"OK","Дубликат")</f>
        <v/>
      </c>
    </row>
    <row r="729" ht="38" customHeight="1">
      <c r="A729" s="146" t="inlineStr">
        <is>
          <t>SUB-L2-12-20</t>
        </is>
      </c>
      <c r="B729" s="39" t="inlineStr">
        <is>
          <t>2 уровень</t>
        </is>
      </c>
      <c r="C729" s="34" t="inlineStr">
        <is>
          <t>Закрытые условия на абонементы</t>
        </is>
      </c>
      <c r="D729" s="34" t="inlineStr">
        <is>
          <t>Скидка 20% на абонемент 12 занятий</t>
        </is>
      </c>
      <c r="E729" s="34" t="inlineStr">
        <is>
          <t>При покупке абонемента на 12 занятий</t>
        </is>
      </c>
      <c r="F729" s="147" t="inlineStr">
        <is>
          <t>FW-L2-ACFG3-L9GP2</t>
        </is>
      </c>
      <c r="G729" s="39" t="inlineStr">
        <is>
          <t>Не использован</t>
        </is>
      </c>
      <c r="H729" s="148" t="n"/>
      <c r="I729" s="34" t="str"/>
      <c r="J729" s="34" t="str"/>
      <c r="K729" s="130" t="n">
        <v>125</v>
      </c>
      <c r="L729" s="43">
        <f>IF(COUNTIF($F$5:$F$2407,F729)=1,"OK","Дубликат")</f>
        <v/>
      </c>
    </row>
    <row r="730" ht="38" customHeight="1">
      <c r="A730" s="146" t="inlineStr">
        <is>
          <t>SUB-L2-12-20</t>
        </is>
      </c>
      <c r="B730" s="39" t="inlineStr">
        <is>
          <t>2 уровень</t>
        </is>
      </c>
      <c r="C730" s="34" t="inlineStr">
        <is>
          <t>Закрытые условия на абонементы</t>
        </is>
      </c>
      <c r="D730" s="34" t="inlineStr">
        <is>
          <t>Скидка 20% на абонемент 12 занятий</t>
        </is>
      </c>
      <c r="E730" s="34" t="inlineStr">
        <is>
          <t>При покупке абонемента на 12 занятий</t>
        </is>
      </c>
      <c r="F730" s="147" t="inlineStr">
        <is>
          <t>FW-L2-DQYHT-E8QF9</t>
        </is>
      </c>
      <c r="G730" s="39" t="inlineStr">
        <is>
          <t>Не использован</t>
        </is>
      </c>
      <c r="H730" s="148" t="n"/>
      <c r="I730" s="34" t="str"/>
      <c r="J730" s="34" t="str"/>
      <c r="K730" s="130" t="n">
        <v>126</v>
      </c>
      <c r="L730" s="43">
        <f>IF(COUNTIF($F$5:$F$2407,F730)=1,"OK","Дубликат")</f>
        <v/>
      </c>
    </row>
    <row r="731" ht="38" customHeight="1">
      <c r="A731" s="146" t="inlineStr">
        <is>
          <t>SUB-L2-12-20</t>
        </is>
      </c>
      <c r="B731" s="39" t="inlineStr">
        <is>
          <t>2 уровень</t>
        </is>
      </c>
      <c r="C731" s="34" t="inlineStr">
        <is>
          <t>Закрытые условия на абонементы</t>
        </is>
      </c>
      <c r="D731" s="34" t="inlineStr">
        <is>
          <t>Скидка 20% на абонемент 12 занятий</t>
        </is>
      </c>
      <c r="E731" s="34" t="inlineStr">
        <is>
          <t>При покупке абонемента на 12 занятий</t>
        </is>
      </c>
      <c r="F731" s="147" t="inlineStr">
        <is>
          <t>FW-L2-UKHPX-LQBA5</t>
        </is>
      </c>
      <c r="G731" s="39" t="inlineStr">
        <is>
          <t>Не использован</t>
        </is>
      </c>
      <c r="H731" s="148" t="n"/>
      <c r="I731" s="34" t="str"/>
      <c r="J731" s="34" t="str"/>
      <c r="K731" s="130" t="n">
        <v>127</v>
      </c>
      <c r="L731" s="43">
        <f>IF(COUNTIF($F$5:$F$2407,F731)=1,"OK","Дубликат")</f>
        <v/>
      </c>
    </row>
    <row r="732" ht="38" customHeight="1">
      <c r="A732" s="146" t="inlineStr">
        <is>
          <t>SUB-L2-12-20</t>
        </is>
      </c>
      <c r="B732" s="39" t="inlineStr">
        <is>
          <t>2 уровень</t>
        </is>
      </c>
      <c r="C732" s="34" t="inlineStr">
        <is>
          <t>Закрытые условия на абонементы</t>
        </is>
      </c>
      <c r="D732" s="34" t="inlineStr">
        <is>
          <t>Скидка 20% на абонемент 12 занятий</t>
        </is>
      </c>
      <c r="E732" s="34" t="inlineStr">
        <is>
          <t>При покупке абонемента на 12 занятий</t>
        </is>
      </c>
      <c r="F732" s="147" t="inlineStr">
        <is>
          <t>FW-L2-EUVS8-DRMXS</t>
        </is>
      </c>
      <c r="G732" s="39" t="inlineStr">
        <is>
          <t>Не использован</t>
        </is>
      </c>
      <c r="H732" s="148" t="n"/>
      <c r="I732" s="34" t="str"/>
      <c r="J732" s="34" t="str"/>
      <c r="K732" s="130" t="n">
        <v>128</v>
      </c>
      <c r="L732" s="43">
        <f>IF(COUNTIF($F$5:$F$2407,F732)=1,"OK","Дубликат")</f>
        <v/>
      </c>
    </row>
    <row r="733" ht="38" customHeight="1">
      <c r="A733" s="146" t="inlineStr">
        <is>
          <t>SUB-L2-12-20</t>
        </is>
      </c>
      <c r="B733" s="39" t="inlineStr">
        <is>
          <t>2 уровень</t>
        </is>
      </c>
      <c r="C733" s="34" t="inlineStr">
        <is>
          <t>Закрытые условия на абонементы</t>
        </is>
      </c>
      <c r="D733" s="34" t="inlineStr">
        <is>
          <t>Скидка 20% на абонемент 12 занятий</t>
        </is>
      </c>
      <c r="E733" s="34" t="inlineStr">
        <is>
          <t>При покупке абонемента на 12 занятий</t>
        </is>
      </c>
      <c r="F733" s="147" t="inlineStr">
        <is>
          <t>FW-L2-FYTYE-AGZBQ</t>
        </is>
      </c>
      <c r="G733" s="39" t="inlineStr">
        <is>
          <t>Не использован</t>
        </is>
      </c>
      <c r="H733" s="148" t="n"/>
      <c r="I733" s="34" t="str"/>
      <c r="J733" s="34" t="str"/>
      <c r="K733" s="130" t="n">
        <v>129</v>
      </c>
      <c r="L733" s="43">
        <f>IF(COUNTIF($F$5:$F$2407,F733)=1,"OK","Дубликат")</f>
        <v/>
      </c>
    </row>
    <row r="734" ht="38" customHeight="1">
      <c r="A734" s="146" t="inlineStr">
        <is>
          <t>SUB-L2-12-20</t>
        </is>
      </c>
      <c r="B734" s="39" t="inlineStr">
        <is>
          <t>2 уровень</t>
        </is>
      </c>
      <c r="C734" s="34" t="inlineStr">
        <is>
          <t>Закрытые условия на абонементы</t>
        </is>
      </c>
      <c r="D734" s="34" t="inlineStr">
        <is>
          <t>Скидка 20% на абонемент 12 занятий</t>
        </is>
      </c>
      <c r="E734" s="34" t="inlineStr">
        <is>
          <t>При покупке абонемента на 12 занятий</t>
        </is>
      </c>
      <c r="F734" s="147" t="inlineStr">
        <is>
          <t>FW-L2-A8ZJU-P4YHE</t>
        </is>
      </c>
      <c r="G734" s="39" t="inlineStr">
        <is>
          <t>Не использован</t>
        </is>
      </c>
      <c r="H734" s="148" t="n"/>
      <c r="I734" s="34" t="str"/>
      <c r="J734" s="34" t="str"/>
      <c r="K734" s="130" t="n">
        <v>130</v>
      </c>
      <c r="L734" s="43">
        <f>IF(COUNTIF($F$5:$F$2407,F734)=1,"OK","Дубликат")</f>
        <v/>
      </c>
    </row>
    <row r="735" ht="38" customHeight="1">
      <c r="A735" s="146" t="inlineStr">
        <is>
          <t>SUB-L2-12-20</t>
        </is>
      </c>
      <c r="B735" s="39" t="inlineStr">
        <is>
          <t>2 уровень</t>
        </is>
      </c>
      <c r="C735" s="34" t="inlineStr">
        <is>
          <t>Закрытые условия на абонементы</t>
        </is>
      </c>
      <c r="D735" s="34" t="inlineStr">
        <is>
          <t>Скидка 20% на абонемент 12 занятий</t>
        </is>
      </c>
      <c r="E735" s="34" t="inlineStr">
        <is>
          <t>При покупке абонемента на 12 занятий</t>
        </is>
      </c>
      <c r="F735" s="147" t="inlineStr">
        <is>
          <t>FW-L2-KVG2V-SF4ZH</t>
        </is>
      </c>
      <c r="G735" s="39" t="inlineStr">
        <is>
          <t>Не использован</t>
        </is>
      </c>
      <c r="H735" s="148" t="n"/>
      <c r="I735" s="34" t="str"/>
      <c r="J735" s="34" t="str"/>
      <c r="K735" s="130" t="n">
        <v>131</v>
      </c>
      <c r="L735" s="43">
        <f>IF(COUNTIF($F$5:$F$2407,F735)=1,"OK","Дубликат")</f>
        <v/>
      </c>
    </row>
    <row r="736" ht="38" customHeight="1">
      <c r="A736" s="146" t="inlineStr">
        <is>
          <t>SUB-L2-12-20</t>
        </is>
      </c>
      <c r="B736" s="39" t="inlineStr">
        <is>
          <t>2 уровень</t>
        </is>
      </c>
      <c r="C736" s="34" t="inlineStr">
        <is>
          <t>Закрытые условия на абонементы</t>
        </is>
      </c>
      <c r="D736" s="34" t="inlineStr">
        <is>
          <t>Скидка 20% на абонемент 12 занятий</t>
        </is>
      </c>
      <c r="E736" s="34" t="inlineStr">
        <is>
          <t>При покупке абонемента на 12 занятий</t>
        </is>
      </c>
      <c r="F736" s="147" t="inlineStr">
        <is>
          <t>FW-L2-F98VT-R4AP3</t>
        </is>
      </c>
      <c r="G736" s="39" t="inlineStr">
        <is>
          <t>Не использован</t>
        </is>
      </c>
      <c r="H736" s="148" t="n"/>
      <c r="I736" s="34" t="str"/>
      <c r="J736" s="34" t="str"/>
      <c r="K736" s="130" t="n">
        <v>132</v>
      </c>
      <c r="L736" s="43">
        <f>IF(COUNTIF($F$5:$F$2407,F736)=1,"OK","Дубликат")</f>
        <v/>
      </c>
    </row>
    <row r="737" ht="38" customHeight="1">
      <c r="A737" s="146" t="inlineStr">
        <is>
          <t>SUB-L2-12-20</t>
        </is>
      </c>
      <c r="B737" s="39" t="inlineStr">
        <is>
          <t>2 уровень</t>
        </is>
      </c>
      <c r="C737" s="34" t="inlineStr">
        <is>
          <t>Закрытые условия на абонементы</t>
        </is>
      </c>
      <c r="D737" s="34" t="inlineStr">
        <is>
          <t>Скидка 20% на абонемент 12 занятий</t>
        </is>
      </c>
      <c r="E737" s="34" t="inlineStr">
        <is>
          <t>При покупке абонемента на 12 занятий</t>
        </is>
      </c>
      <c r="F737" s="147" t="inlineStr">
        <is>
          <t>FW-L2-P6C6X-MA2HG</t>
        </is>
      </c>
      <c r="G737" s="39" t="inlineStr">
        <is>
          <t>Не использован</t>
        </is>
      </c>
      <c r="H737" s="148" t="n"/>
      <c r="I737" s="34" t="str"/>
      <c r="J737" s="34" t="str"/>
      <c r="K737" s="130" t="n">
        <v>133</v>
      </c>
      <c r="L737" s="43">
        <f>IF(COUNTIF($F$5:$F$2407,F737)=1,"OK","Дубликат")</f>
        <v/>
      </c>
    </row>
    <row r="738" ht="38" customHeight="1">
      <c r="A738" s="146" t="inlineStr">
        <is>
          <t>SUB-L2-12-20</t>
        </is>
      </c>
      <c r="B738" s="39" t="inlineStr">
        <is>
          <t>2 уровень</t>
        </is>
      </c>
      <c r="C738" s="34" t="inlineStr">
        <is>
          <t>Закрытые условия на абонементы</t>
        </is>
      </c>
      <c r="D738" s="34" t="inlineStr">
        <is>
          <t>Скидка 20% на абонемент 12 занятий</t>
        </is>
      </c>
      <c r="E738" s="34" t="inlineStr">
        <is>
          <t>При покупке абонемента на 12 занятий</t>
        </is>
      </c>
      <c r="F738" s="147" t="inlineStr">
        <is>
          <t>FW-L2-LHPVF-K54BQ</t>
        </is>
      </c>
      <c r="G738" s="39" t="inlineStr">
        <is>
          <t>Не использован</t>
        </is>
      </c>
      <c r="H738" s="148" t="n"/>
      <c r="I738" s="34" t="str"/>
      <c r="J738" s="34" t="str"/>
      <c r="K738" s="130" t="n">
        <v>134</v>
      </c>
      <c r="L738" s="43">
        <f>IF(COUNTIF($F$5:$F$2407,F738)=1,"OK","Дубликат")</f>
        <v/>
      </c>
    </row>
    <row r="739" ht="38" customHeight="1">
      <c r="A739" s="146" t="inlineStr">
        <is>
          <t>SUB-L2-12-20</t>
        </is>
      </c>
      <c r="B739" s="39" t="inlineStr">
        <is>
          <t>2 уровень</t>
        </is>
      </c>
      <c r="C739" s="34" t="inlineStr">
        <is>
          <t>Закрытые условия на абонементы</t>
        </is>
      </c>
      <c r="D739" s="34" t="inlineStr">
        <is>
          <t>Скидка 20% на абонемент 12 занятий</t>
        </is>
      </c>
      <c r="E739" s="34" t="inlineStr">
        <is>
          <t>При покупке абонемента на 12 занятий</t>
        </is>
      </c>
      <c r="F739" s="147" t="inlineStr">
        <is>
          <t>FW-L2-S3RDR-47Z86</t>
        </is>
      </c>
      <c r="G739" s="39" t="inlineStr">
        <is>
          <t>Не использован</t>
        </is>
      </c>
      <c r="H739" s="148" t="n"/>
      <c r="I739" s="34" t="str"/>
      <c r="J739" s="34" t="str"/>
      <c r="K739" s="130" t="n">
        <v>135</v>
      </c>
      <c r="L739" s="43">
        <f>IF(COUNTIF($F$5:$F$2407,F739)=1,"OK","Дубликат")</f>
        <v/>
      </c>
    </row>
    <row r="740" ht="38" customHeight="1">
      <c r="A740" s="146" t="inlineStr">
        <is>
          <t>SUB-L2-12-20</t>
        </is>
      </c>
      <c r="B740" s="39" t="inlineStr">
        <is>
          <t>2 уровень</t>
        </is>
      </c>
      <c r="C740" s="34" t="inlineStr">
        <is>
          <t>Закрытые условия на абонементы</t>
        </is>
      </c>
      <c r="D740" s="34" t="inlineStr">
        <is>
          <t>Скидка 20% на абонемент 12 занятий</t>
        </is>
      </c>
      <c r="E740" s="34" t="inlineStr">
        <is>
          <t>При покупке абонемента на 12 занятий</t>
        </is>
      </c>
      <c r="F740" s="147" t="inlineStr">
        <is>
          <t>FW-L2-NHBE8-62J2K</t>
        </is>
      </c>
      <c r="G740" s="39" t="inlineStr">
        <is>
          <t>Не использован</t>
        </is>
      </c>
      <c r="H740" s="148" t="n"/>
      <c r="I740" s="34" t="str"/>
      <c r="J740" s="34" t="str"/>
      <c r="K740" s="130" t="n">
        <v>136</v>
      </c>
      <c r="L740" s="43">
        <f>IF(COUNTIF($F$5:$F$2407,F740)=1,"OK","Дубликат")</f>
        <v/>
      </c>
    </row>
    <row r="741" ht="38" customHeight="1">
      <c r="A741" s="146" t="inlineStr">
        <is>
          <t>SUB-L2-12-20</t>
        </is>
      </c>
      <c r="B741" s="39" t="inlineStr">
        <is>
          <t>2 уровень</t>
        </is>
      </c>
      <c r="C741" s="34" t="inlineStr">
        <is>
          <t>Закрытые условия на абонементы</t>
        </is>
      </c>
      <c r="D741" s="34" t="inlineStr">
        <is>
          <t>Скидка 20% на абонемент 12 занятий</t>
        </is>
      </c>
      <c r="E741" s="34" t="inlineStr">
        <is>
          <t>При покупке абонемента на 12 занятий</t>
        </is>
      </c>
      <c r="F741" s="147" t="inlineStr">
        <is>
          <t>FW-L2-S8T68-FCHWS</t>
        </is>
      </c>
      <c r="G741" s="39" t="inlineStr">
        <is>
          <t>Не использован</t>
        </is>
      </c>
      <c r="H741" s="148" t="n"/>
      <c r="I741" s="34" t="str"/>
      <c r="J741" s="34" t="str"/>
      <c r="K741" s="130" t="n">
        <v>137</v>
      </c>
      <c r="L741" s="43">
        <f>IF(COUNTIF($F$5:$F$2407,F741)=1,"OK","Дубликат")</f>
        <v/>
      </c>
    </row>
    <row r="742" ht="38" customHeight="1">
      <c r="A742" s="146" t="inlineStr">
        <is>
          <t>SUB-L2-12-20</t>
        </is>
      </c>
      <c r="B742" s="39" t="inlineStr">
        <is>
          <t>2 уровень</t>
        </is>
      </c>
      <c r="C742" s="34" t="inlineStr">
        <is>
          <t>Закрытые условия на абонементы</t>
        </is>
      </c>
      <c r="D742" s="34" t="inlineStr">
        <is>
          <t>Скидка 20% на абонемент 12 занятий</t>
        </is>
      </c>
      <c r="E742" s="34" t="inlineStr">
        <is>
          <t>При покупке абонемента на 12 занятий</t>
        </is>
      </c>
      <c r="F742" s="147" t="inlineStr">
        <is>
          <t>FW-L2-27FVT-TK8LT</t>
        </is>
      </c>
      <c r="G742" s="39" t="inlineStr">
        <is>
          <t>Не использован</t>
        </is>
      </c>
      <c r="H742" s="148" t="n"/>
      <c r="I742" s="34" t="str"/>
      <c r="J742" s="34" t="str"/>
      <c r="K742" s="130" t="n">
        <v>138</v>
      </c>
      <c r="L742" s="43">
        <f>IF(COUNTIF($F$5:$F$2407,F742)=1,"OK","Дубликат")</f>
        <v/>
      </c>
    </row>
    <row r="743" ht="38" customHeight="1">
      <c r="A743" s="146" t="inlineStr">
        <is>
          <t>SUB-L2-12-20</t>
        </is>
      </c>
      <c r="B743" s="39" t="inlineStr">
        <is>
          <t>2 уровень</t>
        </is>
      </c>
      <c r="C743" s="34" t="inlineStr">
        <is>
          <t>Закрытые условия на абонементы</t>
        </is>
      </c>
      <c r="D743" s="34" t="inlineStr">
        <is>
          <t>Скидка 20% на абонемент 12 занятий</t>
        </is>
      </c>
      <c r="E743" s="34" t="inlineStr">
        <is>
          <t>При покупке абонемента на 12 занятий</t>
        </is>
      </c>
      <c r="F743" s="147" t="inlineStr">
        <is>
          <t>FW-L2-XRW8P-XBZ49</t>
        </is>
      </c>
      <c r="G743" s="39" t="inlineStr">
        <is>
          <t>Не использован</t>
        </is>
      </c>
      <c r="H743" s="148" t="n"/>
      <c r="I743" s="34" t="str"/>
      <c r="J743" s="34" t="str"/>
      <c r="K743" s="130" t="n">
        <v>139</v>
      </c>
      <c r="L743" s="43">
        <f>IF(COUNTIF($F$5:$F$2407,F743)=1,"OK","Дубликат")</f>
        <v/>
      </c>
    </row>
    <row r="744" ht="38" customHeight="1">
      <c r="A744" s="146" t="inlineStr">
        <is>
          <t>SUB-L2-12-20</t>
        </is>
      </c>
      <c r="B744" s="39" t="inlineStr">
        <is>
          <t>2 уровень</t>
        </is>
      </c>
      <c r="C744" s="34" t="inlineStr">
        <is>
          <t>Закрытые условия на абонементы</t>
        </is>
      </c>
      <c r="D744" s="34" t="inlineStr">
        <is>
          <t>Скидка 20% на абонемент 12 занятий</t>
        </is>
      </c>
      <c r="E744" s="34" t="inlineStr">
        <is>
          <t>При покупке абонемента на 12 занятий</t>
        </is>
      </c>
      <c r="F744" s="147" t="inlineStr">
        <is>
          <t>FW-L2-QFJ6R-5F6QH</t>
        </is>
      </c>
      <c r="G744" s="39" t="inlineStr">
        <is>
          <t>Не использован</t>
        </is>
      </c>
      <c r="H744" s="148" t="n"/>
      <c r="I744" s="34" t="str"/>
      <c r="J744" s="34" t="str"/>
      <c r="K744" s="130" t="n">
        <v>140</v>
      </c>
      <c r="L744" s="43">
        <f>IF(COUNTIF($F$5:$F$2407,F744)=1,"OK","Дубликат")</f>
        <v/>
      </c>
    </row>
    <row r="745" ht="38" customHeight="1">
      <c r="A745" s="146" t="inlineStr">
        <is>
          <t>SUB-L2-12-20</t>
        </is>
      </c>
      <c r="B745" s="39" t="inlineStr">
        <is>
          <t>2 уровень</t>
        </is>
      </c>
      <c r="C745" s="34" t="inlineStr">
        <is>
          <t>Закрытые условия на абонементы</t>
        </is>
      </c>
      <c r="D745" s="34" t="inlineStr">
        <is>
          <t>Скидка 20% на абонемент 12 занятий</t>
        </is>
      </c>
      <c r="E745" s="34" t="inlineStr">
        <is>
          <t>При покупке абонемента на 12 занятий</t>
        </is>
      </c>
      <c r="F745" s="147" t="inlineStr">
        <is>
          <t>FW-L2-TYG3X-7QEN9</t>
        </is>
      </c>
      <c r="G745" s="39" t="inlineStr">
        <is>
          <t>Не использован</t>
        </is>
      </c>
      <c r="H745" s="148" t="n"/>
      <c r="I745" s="34" t="str"/>
      <c r="J745" s="34" t="str"/>
      <c r="K745" s="130" t="n">
        <v>141</v>
      </c>
      <c r="L745" s="43">
        <f>IF(COUNTIF($F$5:$F$2407,F745)=1,"OK","Дубликат")</f>
        <v/>
      </c>
    </row>
    <row r="746" ht="38" customHeight="1">
      <c r="A746" s="146" t="inlineStr">
        <is>
          <t>SUB-L2-12-20</t>
        </is>
      </c>
      <c r="B746" s="39" t="inlineStr">
        <is>
          <t>2 уровень</t>
        </is>
      </c>
      <c r="C746" s="34" t="inlineStr">
        <is>
          <t>Закрытые условия на абонементы</t>
        </is>
      </c>
      <c r="D746" s="34" t="inlineStr">
        <is>
          <t>Скидка 20% на абонемент 12 занятий</t>
        </is>
      </c>
      <c r="E746" s="34" t="inlineStr">
        <is>
          <t>При покупке абонемента на 12 занятий</t>
        </is>
      </c>
      <c r="F746" s="147" t="inlineStr">
        <is>
          <t>FW-L2-4UQBP-7P3LE</t>
        </is>
      </c>
      <c r="G746" s="39" t="inlineStr">
        <is>
          <t>Не использован</t>
        </is>
      </c>
      <c r="H746" s="148" t="n"/>
      <c r="I746" s="34" t="str"/>
      <c r="J746" s="34" t="str"/>
      <c r="K746" s="130" t="n">
        <v>142</v>
      </c>
      <c r="L746" s="43">
        <f>IF(COUNTIF($F$5:$F$2407,F746)=1,"OK","Дубликат")</f>
        <v/>
      </c>
    </row>
    <row r="747" ht="38" customHeight="1">
      <c r="A747" s="146" t="inlineStr">
        <is>
          <t>SUB-L2-12-20</t>
        </is>
      </c>
      <c r="B747" s="39" t="inlineStr">
        <is>
          <t>2 уровень</t>
        </is>
      </c>
      <c r="C747" s="34" t="inlineStr">
        <is>
          <t>Закрытые условия на абонементы</t>
        </is>
      </c>
      <c r="D747" s="34" t="inlineStr">
        <is>
          <t>Скидка 20% на абонемент 12 занятий</t>
        </is>
      </c>
      <c r="E747" s="34" t="inlineStr">
        <is>
          <t>При покупке абонемента на 12 занятий</t>
        </is>
      </c>
      <c r="F747" s="147" t="inlineStr">
        <is>
          <t>FW-L2-6EBFK-L3PTD</t>
        </is>
      </c>
      <c r="G747" s="39" t="inlineStr">
        <is>
          <t>Не использован</t>
        </is>
      </c>
      <c r="H747" s="148" t="n"/>
      <c r="I747" s="34" t="str"/>
      <c r="J747" s="34" t="str"/>
      <c r="K747" s="130" t="n">
        <v>143</v>
      </c>
      <c r="L747" s="43">
        <f>IF(COUNTIF($F$5:$F$2407,F747)=1,"OK","Дубликат")</f>
        <v/>
      </c>
    </row>
    <row r="748" ht="38" customHeight="1">
      <c r="A748" s="146" t="inlineStr">
        <is>
          <t>SUB-L2-12-20</t>
        </is>
      </c>
      <c r="B748" s="39" t="inlineStr">
        <is>
          <t>2 уровень</t>
        </is>
      </c>
      <c r="C748" s="34" t="inlineStr">
        <is>
          <t>Закрытые условия на абонементы</t>
        </is>
      </c>
      <c r="D748" s="34" t="inlineStr">
        <is>
          <t>Скидка 20% на абонемент 12 занятий</t>
        </is>
      </c>
      <c r="E748" s="34" t="inlineStr">
        <is>
          <t>При покупке абонемента на 12 занятий</t>
        </is>
      </c>
      <c r="F748" s="147" t="inlineStr">
        <is>
          <t>FW-L2-4P2TM-TMFCT</t>
        </is>
      </c>
      <c r="G748" s="39" t="inlineStr">
        <is>
          <t>Не использован</t>
        </is>
      </c>
      <c r="H748" s="148" t="n"/>
      <c r="I748" s="34" t="str"/>
      <c r="J748" s="34" t="str"/>
      <c r="K748" s="130" t="n">
        <v>144</v>
      </c>
      <c r="L748" s="43">
        <f>IF(COUNTIF($F$5:$F$2407,F748)=1,"OK","Дубликат")</f>
        <v/>
      </c>
    </row>
    <row r="749" ht="38" customHeight="1">
      <c r="A749" s="146" t="inlineStr">
        <is>
          <t>SUB-L2-12-20</t>
        </is>
      </c>
      <c r="B749" s="39" t="inlineStr">
        <is>
          <t>2 уровень</t>
        </is>
      </c>
      <c r="C749" s="34" t="inlineStr">
        <is>
          <t>Закрытые условия на абонементы</t>
        </is>
      </c>
      <c r="D749" s="34" t="inlineStr">
        <is>
          <t>Скидка 20% на абонемент 12 занятий</t>
        </is>
      </c>
      <c r="E749" s="34" t="inlineStr">
        <is>
          <t>При покупке абонемента на 12 занятий</t>
        </is>
      </c>
      <c r="F749" s="147" t="inlineStr">
        <is>
          <t>FW-L2-NCGXZ-GYPGL</t>
        </is>
      </c>
      <c r="G749" s="39" t="inlineStr">
        <is>
          <t>Не использован</t>
        </is>
      </c>
      <c r="H749" s="148" t="n"/>
      <c r="I749" s="34" t="str"/>
      <c r="J749" s="34" t="str"/>
      <c r="K749" s="130" t="n">
        <v>145</v>
      </c>
      <c r="L749" s="43">
        <f>IF(COUNTIF($F$5:$F$2407,F749)=1,"OK","Дубликат")</f>
        <v/>
      </c>
    </row>
    <row r="750" ht="38" customHeight="1">
      <c r="A750" s="146" t="inlineStr">
        <is>
          <t>SUB-L2-12-20</t>
        </is>
      </c>
      <c r="B750" s="39" t="inlineStr">
        <is>
          <t>2 уровень</t>
        </is>
      </c>
      <c r="C750" s="34" t="inlineStr">
        <is>
          <t>Закрытые условия на абонементы</t>
        </is>
      </c>
      <c r="D750" s="34" t="inlineStr">
        <is>
          <t>Скидка 20% на абонемент 12 занятий</t>
        </is>
      </c>
      <c r="E750" s="34" t="inlineStr">
        <is>
          <t>При покупке абонемента на 12 занятий</t>
        </is>
      </c>
      <c r="F750" s="147" t="inlineStr">
        <is>
          <t>FW-L2-ZG9FX-YCZ6S</t>
        </is>
      </c>
      <c r="G750" s="39" t="inlineStr">
        <is>
          <t>Не использован</t>
        </is>
      </c>
      <c r="H750" s="148" t="n"/>
      <c r="I750" s="34" t="str"/>
      <c r="J750" s="34" t="str"/>
      <c r="K750" s="130" t="n">
        <v>146</v>
      </c>
      <c r="L750" s="43">
        <f>IF(COUNTIF($F$5:$F$2407,F750)=1,"OK","Дубликат")</f>
        <v/>
      </c>
    </row>
    <row r="751" ht="38" customHeight="1">
      <c r="A751" s="146" t="inlineStr">
        <is>
          <t>SUB-L2-12-20</t>
        </is>
      </c>
      <c r="B751" s="39" t="inlineStr">
        <is>
          <t>2 уровень</t>
        </is>
      </c>
      <c r="C751" s="34" t="inlineStr">
        <is>
          <t>Закрытые условия на абонементы</t>
        </is>
      </c>
      <c r="D751" s="34" t="inlineStr">
        <is>
          <t>Скидка 20% на абонемент 12 занятий</t>
        </is>
      </c>
      <c r="E751" s="34" t="inlineStr">
        <is>
          <t>При покупке абонемента на 12 занятий</t>
        </is>
      </c>
      <c r="F751" s="147" t="inlineStr">
        <is>
          <t>FW-L2-U62YA-SUBPS</t>
        </is>
      </c>
      <c r="G751" s="39" t="inlineStr">
        <is>
          <t>Не использован</t>
        </is>
      </c>
      <c r="H751" s="148" t="n"/>
      <c r="I751" s="34" t="str"/>
      <c r="J751" s="34" t="str"/>
      <c r="K751" s="130" t="n">
        <v>147</v>
      </c>
      <c r="L751" s="43">
        <f>IF(COUNTIF($F$5:$F$2407,F751)=1,"OK","Дубликат")</f>
        <v/>
      </c>
    </row>
    <row r="752" ht="38" customHeight="1">
      <c r="A752" s="146" t="inlineStr">
        <is>
          <t>SUB-L2-12-20</t>
        </is>
      </c>
      <c r="B752" s="39" t="inlineStr">
        <is>
          <t>2 уровень</t>
        </is>
      </c>
      <c r="C752" s="34" t="inlineStr">
        <is>
          <t>Закрытые условия на абонементы</t>
        </is>
      </c>
      <c r="D752" s="34" t="inlineStr">
        <is>
          <t>Скидка 20% на абонемент 12 занятий</t>
        </is>
      </c>
      <c r="E752" s="34" t="inlineStr">
        <is>
          <t>При покупке абонемента на 12 занятий</t>
        </is>
      </c>
      <c r="F752" s="147" t="inlineStr">
        <is>
          <t>FW-L2-UV88A-SV3YT</t>
        </is>
      </c>
      <c r="G752" s="39" t="inlineStr">
        <is>
          <t>Не использован</t>
        </is>
      </c>
      <c r="H752" s="148" t="n"/>
      <c r="I752" s="34" t="str"/>
      <c r="J752" s="34" t="str"/>
      <c r="K752" s="130" t="n">
        <v>148</v>
      </c>
      <c r="L752" s="43">
        <f>IF(COUNTIF($F$5:$F$2407,F752)=1,"OK","Дубликат")</f>
        <v/>
      </c>
    </row>
    <row r="753" ht="38" customHeight="1">
      <c r="A753" s="146" t="inlineStr">
        <is>
          <t>SUB-L2-12-20</t>
        </is>
      </c>
      <c r="B753" s="39" t="inlineStr">
        <is>
          <t>2 уровень</t>
        </is>
      </c>
      <c r="C753" s="34" t="inlineStr">
        <is>
          <t>Закрытые условия на абонементы</t>
        </is>
      </c>
      <c r="D753" s="34" t="inlineStr">
        <is>
          <t>Скидка 20% на абонемент 12 занятий</t>
        </is>
      </c>
      <c r="E753" s="34" t="inlineStr">
        <is>
          <t>При покупке абонемента на 12 занятий</t>
        </is>
      </c>
      <c r="F753" s="147" t="inlineStr">
        <is>
          <t>FW-L2-N58FB-M6GW8</t>
        </is>
      </c>
      <c r="G753" s="39" t="inlineStr">
        <is>
          <t>Не использован</t>
        </is>
      </c>
      <c r="H753" s="148" t="n"/>
      <c r="I753" s="34" t="str"/>
      <c r="J753" s="34" t="str"/>
      <c r="K753" s="130" t="n">
        <v>149</v>
      </c>
      <c r="L753" s="43">
        <f>IF(COUNTIF($F$5:$F$2407,F753)=1,"OK","Дубликат")</f>
        <v/>
      </c>
    </row>
    <row r="754" ht="38" customHeight="1">
      <c r="A754" s="146" t="inlineStr">
        <is>
          <t>SUB-L2-12-20</t>
        </is>
      </c>
      <c r="B754" s="39" t="inlineStr">
        <is>
          <t>2 уровень</t>
        </is>
      </c>
      <c r="C754" s="34" t="inlineStr">
        <is>
          <t>Закрытые условия на абонементы</t>
        </is>
      </c>
      <c r="D754" s="34" t="inlineStr">
        <is>
          <t>Скидка 20% на абонемент 12 занятий</t>
        </is>
      </c>
      <c r="E754" s="34" t="inlineStr">
        <is>
          <t>При покупке абонемента на 12 занятий</t>
        </is>
      </c>
      <c r="F754" s="147" t="inlineStr">
        <is>
          <t>FW-L2-SY8FE-N5RFY</t>
        </is>
      </c>
      <c r="G754" s="39" t="inlineStr">
        <is>
          <t>Не использован</t>
        </is>
      </c>
      <c r="H754" s="148" t="n"/>
      <c r="I754" s="34" t="str"/>
      <c r="J754" s="34" t="str"/>
      <c r="K754" s="130" t="n">
        <v>150</v>
      </c>
      <c r="L754" s="43">
        <f>IF(COUNTIF($F$5:$F$2407,F754)=1,"OK","Дубликат")</f>
        <v/>
      </c>
    </row>
    <row r="755" ht="38" customHeight="1">
      <c r="A755" s="146" t="inlineStr">
        <is>
          <t>SUB-L2-12-20</t>
        </is>
      </c>
      <c r="B755" s="39" t="inlineStr">
        <is>
          <t>2 уровень</t>
        </is>
      </c>
      <c r="C755" s="34" t="inlineStr">
        <is>
          <t>Закрытые условия на абонементы</t>
        </is>
      </c>
      <c r="D755" s="34" t="inlineStr">
        <is>
          <t>Скидка 20% на абонемент 12 занятий</t>
        </is>
      </c>
      <c r="E755" s="34" t="inlineStr">
        <is>
          <t>При покупке абонемента на 12 занятий</t>
        </is>
      </c>
      <c r="F755" s="147" t="inlineStr">
        <is>
          <t>FW-L2-W2QXH-GNRCD</t>
        </is>
      </c>
      <c r="G755" s="39" t="inlineStr">
        <is>
          <t>Не использован</t>
        </is>
      </c>
      <c r="H755" s="148" t="n"/>
      <c r="I755" s="34" t="str"/>
      <c r="J755" s="34" t="str"/>
      <c r="K755" s="130" t="n">
        <v>151</v>
      </c>
      <c r="L755" s="43">
        <f>IF(COUNTIF($F$5:$F$2407,F755)=1,"OK","Дубликат")</f>
        <v/>
      </c>
    </row>
    <row r="756" ht="38" customHeight="1">
      <c r="A756" s="146" t="inlineStr">
        <is>
          <t>SUB-L2-12-20</t>
        </is>
      </c>
      <c r="B756" s="39" t="inlineStr">
        <is>
          <t>2 уровень</t>
        </is>
      </c>
      <c r="C756" s="34" t="inlineStr">
        <is>
          <t>Закрытые условия на абонементы</t>
        </is>
      </c>
      <c r="D756" s="34" t="inlineStr">
        <is>
          <t>Скидка 20% на абонемент 12 занятий</t>
        </is>
      </c>
      <c r="E756" s="34" t="inlineStr">
        <is>
          <t>При покупке абонемента на 12 занятий</t>
        </is>
      </c>
      <c r="F756" s="147" t="inlineStr">
        <is>
          <t>FW-L2-YCSDK-MY5D6</t>
        </is>
      </c>
      <c r="G756" s="39" t="inlineStr">
        <is>
          <t>Не использован</t>
        </is>
      </c>
      <c r="H756" s="148" t="n"/>
      <c r="I756" s="34" t="str"/>
      <c r="J756" s="34" t="str"/>
      <c r="K756" s="130" t="n">
        <v>152</v>
      </c>
      <c r="L756" s="43">
        <f>IF(COUNTIF($F$5:$F$2407,F756)=1,"OK","Дубликат")</f>
        <v/>
      </c>
    </row>
    <row r="757" ht="38" customHeight="1">
      <c r="A757" s="146" t="inlineStr">
        <is>
          <t>SUB-L2-12-20</t>
        </is>
      </c>
      <c r="B757" s="39" t="inlineStr">
        <is>
          <t>2 уровень</t>
        </is>
      </c>
      <c r="C757" s="34" t="inlineStr">
        <is>
          <t>Закрытые условия на абонементы</t>
        </is>
      </c>
      <c r="D757" s="34" t="inlineStr">
        <is>
          <t>Скидка 20% на абонемент 12 занятий</t>
        </is>
      </c>
      <c r="E757" s="34" t="inlineStr">
        <is>
          <t>При покупке абонемента на 12 занятий</t>
        </is>
      </c>
      <c r="F757" s="147" t="inlineStr">
        <is>
          <t>FW-L2-X34S9-GACAH</t>
        </is>
      </c>
      <c r="G757" s="39" t="inlineStr">
        <is>
          <t>Не использован</t>
        </is>
      </c>
      <c r="H757" s="148" t="n"/>
      <c r="I757" s="34" t="str"/>
      <c r="J757" s="34" t="str"/>
      <c r="K757" s="130" t="n">
        <v>153</v>
      </c>
      <c r="L757" s="43">
        <f>IF(COUNTIF($F$5:$F$2407,F757)=1,"OK","Дубликат")</f>
        <v/>
      </c>
    </row>
    <row r="758" ht="38" customHeight="1">
      <c r="A758" s="146" t="inlineStr">
        <is>
          <t>SUB-L2-12-20</t>
        </is>
      </c>
      <c r="B758" s="39" t="inlineStr">
        <is>
          <t>2 уровень</t>
        </is>
      </c>
      <c r="C758" s="34" t="inlineStr">
        <is>
          <t>Закрытые условия на абонементы</t>
        </is>
      </c>
      <c r="D758" s="34" t="inlineStr">
        <is>
          <t>Скидка 20% на абонемент 12 занятий</t>
        </is>
      </c>
      <c r="E758" s="34" t="inlineStr">
        <is>
          <t>При покупке абонемента на 12 занятий</t>
        </is>
      </c>
      <c r="F758" s="147" t="inlineStr">
        <is>
          <t>FW-L2-EJKKP-JZ99M</t>
        </is>
      </c>
      <c r="G758" s="39" t="inlineStr">
        <is>
          <t>Не использован</t>
        </is>
      </c>
      <c r="H758" s="148" t="n"/>
      <c r="I758" s="34" t="str"/>
      <c r="J758" s="34" t="str"/>
      <c r="K758" s="130" t="n">
        <v>154</v>
      </c>
      <c r="L758" s="43">
        <f>IF(COUNTIF($F$5:$F$2407,F758)=1,"OK","Дубликат")</f>
        <v/>
      </c>
    </row>
    <row r="759" ht="38" customHeight="1">
      <c r="A759" s="146" t="inlineStr">
        <is>
          <t>SUB-L2-12-20</t>
        </is>
      </c>
      <c r="B759" s="39" t="inlineStr">
        <is>
          <t>2 уровень</t>
        </is>
      </c>
      <c r="C759" s="34" t="inlineStr">
        <is>
          <t>Закрытые условия на абонементы</t>
        </is>
      </c>
      <c r="D759" s="34" t="inlineStr">
        <is>
          <t>Скидка 20% на абонемент 12 занятий</t>
        </is>
      </c>
      <c r="E759" s="34" t="inlineStr">
        <is>
          <t>При покупке абонемента на 12 занятий</t>
        </is>
      </c>
      <c r="F759" s="147" t="inlineStr">
        <is>
          <t>FW-L2-HG8P6-V3WBW</t>
        </is>
      </c>
      <c r="G759" s="39" t="inlineStr">
        <is>
          <t>Не использован</t>
        </is>
      </c>
      <c r="H759" s="148" t="n"/>
      <c r="I759" s="34" t="str"/>
      <c r="J759" s="34" t="str"/>
      <c r="K759" s="130" t="n">
        <v>155</v>
      </c>
      <c r="L759" s="43">
        <f>IF(COUNTIF($F$5:$F$2407,F759)=1,"OK","Дубликат")</f>
        <v/>
      </c>
    </row>
    <row r="760" ht="38" customHeight="1">
      <c r="A760" s="146" t="inlineStr">
        <is>
          <t>SUB-L2-12-20</t>
        </is>
      </c>
      <c r="B760" s="39" t="inlineStr">
        <is>
          <t>2 уровень</t>
        </is>
      </c>
      <c r="C760" s="34" t="inlineStr">
        <is>
          <t>Закрытые условия на абонементы</t>
        </is>
      </c>
      <c r="D760" s="34" t="inlineStr">
        <is>
          <t>Скидка 20% на абонемент 12 занятий</t>
        </is>
      </c>
      <c r="E760" s="34" t="inlineStr">
        <is>
          <t>При покупке абонемента на 12 занятий</t>
        </is>
      </c>
      <c r="F760" s="147" t="inlineStr">
        <is>
          <t>FW-L2-GBZH6-XXW3B</t>
        </is>
      </c>
      <c r="G760" s="39" t="inlineStr">
        <is>
          <t>Не использован</t>
        </is>
      </c>
      <c r="H760" s="148" t="n"/>
      <c r="I760" s="34" t="str"/>
      <c r="J760" s="34" t="str"/>
      <c r="K760" s="130" t="n">
        <v>156</v>
      </c>
      <c r="L760" s="43">
        <f>IF(COUNTIF($F$5:$F$2407,F760)=1,"OK","Дубликат")</f>
        <v/>
      </c>
    </row>
    <row r="761" ht="38" customHeight="1">
      <c r="A761" s="146" t="inlineStr">
        <is>
          <t>SUB-L2-12-20</t>
        </is>
      </c>
      <c r="B761" s="39" t="inlineStr">
        <is>
          <t>2 уровень</t>
        </is>
      </c>
      <c r="C761" s="34" t="inlineStr">
        <is>
          <t>Закрытые условия на абонементы</t>
        </is>
      </c>
      <c r="D761" s="34" t="inlineStr">
        <is>
          <t>Скидка 20% на абонемент 12 занятий</t>
        </is>
      </c>
      <c r="E761" s="34" t="inlineStr">
        <is>
          <t>При покупке абонемента на 12 занятий</t>
        </is>
      </c>
      <c r="F761" s="147" t="inlineStr">
        <is>
          <t>FW-L2-N5EPM-57VZM</t>
        </is>
      </c>
      <c r="G761" s="39" t="inlineStr">
        <is>
          <t>Не использован</t>
        </is>
      </c>
      <c r="H761" s="148" t="n"/>
      <c r="I761" s="34" t="str"/>
      <c r="J761" s="34" t="str"/>
      <c r="K761" s="130" t="n">
        <v>157</v>
      </c>
      <c r="L761" s="43">
        <f>IF(COUNTIF($F$5:$F$2407,F761)=1,"OK","Дубликат")</f>
        <v/>
      </c>
    </row>
    <row r="762" ht="38" customHeight="1">
      <c r="A762" s="146" t="inlineStr">
        <is>
          <t>SUB-L2-12-20</t>
        </is>
      </c>
      <c r="B762" s="39" t="inlineStr">
        <is>
          <t>2 уровень</t>
        </is>
      </c>
      <c r="C762" s="34" t="inlineStr">
        <is>
          <t>Закрытые условия на абонементы</t>
        </is>
      </c>
      <c r="D762" s="34" t="inlineStr">
        <is>
          <t>Скидка 20% на абонемент 12 занятий</t>
        </is>
      </c>
      <c r="E762" s="34" t="inlineStr">
        <is>
          <t>При покупке абонемента на 12 занятий</t>
        </is>
      </c>
      <c r="F762" s="147" t="inlineStr">
        <is>
          <t>FW-L2-DP9GR-FPYC9</t>
        </is>
      </c>
      <c r="G762" s="39" t="inlineStr">
        <is>
          <t>Не использован</t>
        </is>
      </c>
      <c r="H762" s="148" t="n"/>
      <c r="I762" s="34" t="str"/>
      <c r="J762" s="34" t="str"/>
      <c r="K762" s="130" t="n">
        <v>158</v>
      </c>
      <c r="L762" s="43">
        <f>IF(COUNTIF($F$5:$F$2407,F762)=1,"OK","Дубликат")</f>
        <v/>
      </c>
    </row>
    <row r="763" ht="38" customHeight="1">
      <c r="A763" s="146" t="inlineStr">
        <is>
          <t>SUB-L2-12-20</t>
        </is>
      </c>
      <c r="B763" s="39" t="inlineStr">
        <is>
          <t>2 уровень</t>
        </is>
      </c>
      <c r="C763" s="34" t="inlineStr">
        <is>
          <t>Закрытые условия на абонементы</t>
        </is>
      </c>
      <c r="D763" s="34" t="inlineStr">
        <is>
          <t>Скидка 20% на абонемент 12 занятий</t>
        </is>
      </c>
      <c r="E763" s="34" t="inlineStr">
        <is>
          <t>При покупке абонемента на 12 занятий</t>
        </is>
      </c>
      <c r="F763" s="147" t="inlineStr">
        <is>
          <t>FW-L2-AR6ER-GYMW7</t>
        </is>
      </c>
      <c r="G763" s="39" t="inlineStr">
        <is>
          <t>Не использован</t>
        </is>
      </c>
      <c r="H763" s="148" t="n"/>
      <c r="I763" s="34" t="str"/>
      <c r="J763" s="34" t="str"/>
      <c r="K763" s="130" t="n">
        <v>159</v>
      </c>
      <c r="L763" s="43">
        <f>IF(COUNTIF($F$5:$F$2407,F763)=1,"OK","Дубликат")</f>
        <v/>
      </c>
    </row>
    <row r="764" ht="38" customHeight="1">
      <c r="A764" s="146" t="inlineStr">
        <is>
          <t>SUB-L2-12-20</t>
        </is>
      </c>
      <c r="B764" s="39" t="inlineStr">
        <is>
          <t>2 уровень</t>
        </is>
      </c>
      <c r="C764" s="34" t="inlineStr">
        <is>
          <t>Закрытые условия на абонементы</t>
        </is>
      </c>
      <c r="D764" s="34" t="inlineStr">
        <is>
          <t>Скидка 20% на абонемент 12 занятий</t>
        </is>
      </c>
      <c r="E764" s="34" t="inlineStr">
        <is>
          <t>При покупке абонемента на 12 занятий</t>
        </is>
      </c>
      <c r="F764" s="147" t="inlineStr">
        <is>
          <t>FW-L2-LHW3C-8NWE7</t>
        </is>
      </c>
      <c r="G764" s="39" t="inlineStr">
        <is>
          <t>Не использован</t>
        </is>
      </c>
      <c r="H764" s="148" t="n"/>
      <c r="I764" s="34" t="str"/>
      <c r="J764" s="34" t="str"/>
      <c r="K764" s="130" t="n">
        <v>160</v>
      </c>
      <c r="L764" s="43">
        <f>IF(COUNTIF($F$5:$F$2407,F764)=1,"OK","Дубликат")</f>
        <v/>
      </c>
    </row>
    <row r="765" ht="38" customHeight="1">
      <c r="A765" s="146" t="inlineStr">
        <is>
          <t>SUB-L2-12-20</t>
        </is>
      </c>
      <c r="B765" s="39" t="inlineStr">
        <is>
          <t>2 уровень</t>
        </is>
      </c>
      <c r="C765" s="34" t="inlineStr">
        <is>
          <t>Закрытые условия на абонементы</t>
        </is>
      </c>
      <c r="D765" s="34" t="inlineStr">
        <is>
          <t>Скидка 20% на абонемент 12 занятий</t>
        </is>
      </c>
      <c r="E765" s="34" t="inlineStr">
        <is>
          <t>При покупке абонемента на 12 занятий</t>
        </is>
      </c>
      <c r="F765" s="147" t="inlineStr">
        <is>
          <t>FW-L2-43UC5-98TFJ</t>
        </is>
      </c>
      <c r="G765" s="39" t="inlineStr">
        <is>
          <t>Не использован</t>
        </is>
      </c>
      <c r="H765" s="148" t="n"/>
      <c r="I765" s="34" t="str"/>
      <c r="J765" s="34" t="str"/>
      <c r="K765" s="130" t="n">
        <v>161</v>
      </c>
      <c r="L765" s="43">
        <f>IF(COUNTIF($F$5:$F$2407,F765)=1,"OK","Дубликат")</f>
        <v/>
      </c>
    </row>
    <row r="766" ht="38" customHeight="1">
      <c r="A766" s="146" t="inlineStr">
        <is>
          <t>SUB-L2-12-20</t>
        </is>
      </c>
      <c r="B766" s="39" t="inlineStr">
        <is>
          <t>2 уровень</t>
        </is>
      </c>
      <c r="C766" s="34" t="inlineStr">
        <is>
          <t>Закрытые условия на абонементы</t>
        </is>
      </c>
      <c r="D766" s="34" t="inlineStr">
        <is>
          <t>Скидка 20% на абонемент 12 занятий</t>
        </is>
      </c>
      <c r="E766" s="34" t="inlineStr">
        <is>
          <t>При покупке абонемента на 12 занятий</t>
        </is>
      </c>
      <c r="F766" s="147" t="inlineStr">
        <is>
          <t>FW-L2-TW8YA-69L8P</t>
        </is>
      </c>
      <c r="G766" s="39" t="inlineStr">
        <is>
          <t>Не использован</t>
        </is>
      </c>
      <c r="H766" s="148" t="n"/>
      <c r="I766" s="34" t="str"/>
      <c r="J766" s="34" t="str"/>
      <c r="K766" s="130" t="n">
        <v>162</v>
      </c>
      <c r="L766" s="43">
        <f>IF(COUNTIF($F$5:$F$2407,F766)=1,"OK","Дубликат")</f>
        <v/>
      </c>
    </row>
    <row r="767" ht="38" customHeight="1">
      <c r="A767" s="146" t="inlineStr">
        <is>
          <t>SUB-L2-12-20</t>
        </is>
      </c>
      <c r="B767" s="39" t="inlineStr">
        <is>
          <t>2 уровень</t>
        </is>
      </c>
      <c r="C767" s="34" t="inlineStr">
        <is>
          <t>Закрытые условия на абонементы</t>
        </is>
      </c>
      <c r="D767" s="34" t="inlineStr">
        <is>
          <t>Скидка 20% на абонемент 12 занятий</t>
        </is>
      </c>
      <c r="E767" s="34" t="inlineStr">
        <is>
          <t>При покупке абонемента на 12 занятий</t>
        </is>
      </c>
      <c r="F767" s="147" t="inlineStr">
        <is>
          <t>FW-L2-5LKDE-WZHNR</t>
        </is>
      </c>
      <c r="G767" s="39" t="inlineStr">
        <is>
          <t>Не использован</t>
        </is>
      </c>
      <c r="H767" s="148" t="n"/>
      <c r="I767" s="34" t="str"/>
      <c r="J767" s="34" t="str"/>
      <c r="K767" s="130" t="n">
        <v>163</v>
      </c>
      <c r="L767" s="43">
        <f>IF(COUNTIF($F$5:$F$2407,F767)=1,"OK","Дубликат")</f>
        <v/>
      </c>
    </row>
    <row r="768" ht="38" customHeight="1">
      <c r="A768" s="146" t="inlineStr">
        <is>
          <t>SUB-L2-12-20</t>
        </is>
      </c>
      <c r="B768" s="39" t="inlineStr">
        <is>
          <t>2 уровень</t>
        </is>
      </c>
      <c r="C768" s="34" t="inlineStr">
        <is>
          <t>Закрытые условия на абонементы</t>
        </is>
      </c>
      <c r="D768" s="34" t="inlineStr">
        <is>
          <t>Скидка 20% на абонемент 12 занятий</t>
        </is>
      </c>
      <c r="E768" s="34" t="inlineStr">
        <is>
          <t>При покупке абонемента на 12 занятий</t>
        </is>
      </c>
      <c r="F768" s="147" t="inlineStr">
        <is>
          <t>FW-L2-GFZMT-9SKS5</t>
        </is>
      </c>
      <c r="G768" s="39" t="inlineStr">
        <is>
          <t>Не использован</t>
        </is>
      </c>
      <c r="H768" s="148" t="n"/>
      <c r="I768" s="34" t="str"/>
      <c r="J768" s="34" t="str"/>
      <c r="K768" s="130" t="n">
        <v>164</v>
      </c>
      <c r="L768" s="43">
        <f>IF(COUNTIF($F$5:$F$2407,F768)=1,"OK","Дубликат")</f>
        <v/>
      </c>
    </row>
    <row r="769" ht="38" customHeight="1">
      <c r="A769" s="146" t="inlineStr">
        <is>
          <t>SUB-L2-12-20</t>
        </is>
      </c>
      <c r="B769" s="39" t="inlineStr">
        <is>
          <t>2 уровень</t>
        </is>
      </c>
      <c r="C769" s="34" t="inlineStr">
        <is>
          <t>Закрытые условия на абонементы</t>
        </is>
      </c>
      <c r="D769" s="34" t="inlineStr">
        <is>
          <t>Скидка 20% на абонемент 12 занятий</t>
        </is>
      </c>
      <c r="E769" s="34" t="inlineStr">
        <is>
          <t>При покупке абонемента на 12 занятий</t>
        </is>
      </c>
      <c r="F769" s="147" t="inlineStr">
        <is>
          <t>FW-L2-HJAW7-TWBCV</t>
        </is>
      </c>
      <c r="G769" s="39" t="inlineStr">
        <is>
          <t>Не использован</t>
        </is>
      </c>
      <c r="H769" s="148" t="n"/>
      <c r="I769" s="34" t="str"/>
      <c r="J769" s="34" t="str"/>
      <c r="K769" s="130" t="n">
        <v>165</v>
      </c>
      <c r="L769" s="43">
        <f>IF(COUNTIF($F$5:$F$2407,F769)=1,"OK","Дубликат")</f>
        <v/>
      </c>
    </row>
    <row r="770" ht="38" customHeight="1">
      <c r="A770" s="146" t="inlineStr">
        <is>
          <t>SUB-L2-12-20</t>
        </is>
      </c>
      <c r="B770" s="39" t="inlineStr">
        <is>
          <t>2 уровень</t>
        </is>
      </c>
      <c r="C770" s="34" t="inlineStr">
        <is>
          <t>Закрытые условия на абонементы</t>
        </is>
      </c>
      <c r="D770" s="34" t="inlineStr">
        <is>
          <t>Скидка 20% на абонемент 12 занятий</t>
        </is>
      </c>
      <c r="E770" s="34" t="inlineStr">
        <is>
          <t>При покупке абонемента на 12 занятий</t>
        </is>
      </c>
      <c r="F770" s="147" t="inlineStr">
        <is>
          <t>FW-L2-HE43B-XBT8W</t>
        </is>
      </c>
      <c r="G770" s="39" t="inlineStr">
        <is>
          <t>Не использован</t>
        </is>
      </c>
      <c r="H770" s="148" t="n"/>
      <c r="I770" s="34" t="str"/>
      <c r="J770" s="34" t="str"/>
      <c r="K770" s="130" t="n">
        <v>166</v>
      </c>
      <c r="L770" s="43">
        <f>IF(COUNTIF($F$5:$F$2407,F770)=1,"OK","Дубликат")</f>
        <v/>
      </c>
    </row>
    <row r="771" ht="38" customHeight="1">
      <c r="A771" s="146" t="inlineStr">
        <is>
          <t>SUB-L2-12-20</t>
        </is>
      </c>
      <c r="B771" s="39" t="inlineStr">
        <is>
          <t>2 уровень</t>
        </is>
      </c>
      <c r="C771" s="34" t="inlineStr">
        <is>
          <t>Закрытые условия на абонементы</t>
        </is>
      </c>
      <c r="D771" s="34" t="inlineStr">
        <is>
          <t>Скидка 20% на абонемент 12 занятий</t>
        </is>
      </c>
      <c r="E771" s="34" t="inlineStr">
        <is>
          <t>При покупке абонемента на 12 занятий</t>
        </is>
      </c>
      <c r="F771" s="147" t="inlineStr">
        <is>
          <t>FW-L2-7WY32-TMWUN</t>
        </is>
      </c>
      <c r="G771" s="39" t="inlineStr">
        <is>
          <t>Не использован</t>
        </is>
      </c>
      <c r="H771" s="148" t="n"/>
      <c r="I771" s="34" t="str"/>
      <c r="J771" s="34" t="str"/>
      <c r="K771" s="130" t="n">
        <v>167</v>
      </c>
      <c r="L771" s="43">
        <f>IF(COUNTIF($F$5:$F$2407,F771)=1,"OK","Дубликат")</f>
        <v/>
      </c>
    </row>
    <row r="772" ht="38" customHeight="1">
      <c r="A772" s="146" t="inlineStr">
        <is>
          <t>SUB-L2-12-20</t>
        </is>
      </c>
      <c r="B772" s="39" t="inlineStr">
        <is>
          <t>2 уровень</t>
        </is>
      </c>
      <c r="C772" s="34" t="inlineStr">
        <is>
          <t>Закрытые условия на абонементы</t>
        </is>
      </c>
      <c r="D772" s="34" t="inlineStr">
        <is>
          <t>Скидка 20% на абонемент 12 занятий</t>
        </is>
      </c>
      <c r="E772" s="34" t="inlineStr">
        <is>
          <t>При покупке абонемента на 12 занятий</t>
        </is>
      </c>
      <c r="F772" s="147" t="inlineStr">
        <is>
          <t>FW-L2-EGC92-DEHFU</t>
        </is>
      </c>
      <c r="G772" s="39" t="inlineStr">
        <is>
          <t>Не использован</t>
        </is>
      </c>
      <c r="H772" s="148" t="n"/>
      <c r="I772" s="34" t="str"/>
      <c r="J772" s="34" t="str"/>
      <c r="K772" s="130" t="n">
        <v>168</v>
      </c>
      <c r="L772" s="43">
        <f>IF(COUNTIF($F$5:$F$2407,F772)=1,"OK","Дубликат")</f>
        <v/>
      </c>
    </row>
    <row r="773" ht="38" customHeight="1">
      <c r="A773" s="146" t="inlineStr">
        <is>
          <t>SUB-L2-12-20</t>
        </is>
      </c>
      <c r="B773" s="39" t="inlineStr">
        <is>
          <t>2 уровень</t>
        </is>
      </c>
      <c r="C773" s="34" t="inlineStr">
        <is>
          <t>Закрытые условия на абонементы</t>
        </is>
      </c>
      <c r="D773" s="34" t="inlineStr">
        <is>
          <t>Скидка 20% на абонемент 12 занятий</t>
        </is>
      </c>
      <c r="E773" s="34" t="inlineStr">
        <is>
          <t>При покупке абонемента на 12 занятий</t>
        </is>
      </c>
      <c r="F773" s="147" t="inlineStr">
        <is>
          <t>FW-L2-JVS8H-6YFDT</t>
        </is>
      </c>
      <c r="G773" s="39" t="inlineStr">
        <is>
          <t>Не использован</t>
        </is>
      </c>
      <c r="H773" s="148" t="n"/>
      <c r="I773" s="34" t="str"/>
      <c r="J773" s="34" t="str"/>
      <c r="K773" s="130" t="n">
        <v>169</v>
      </c>
      <c r="L773" s="43">
        <f>IF(COUNTIF($F$5:$F$2407,F773)=1,"OK","Дубликат")</f>
        <v/>
      </c>
    </row>
    <row r="774" ht="38" customHeight="1">
      <c r="A774" s="146" t="inlineStr">
        <is>
          <t>SUB-L2-12-20</t>
        </is>
      </c>
      <c r="B774" s="39" t="inlineStr">
        <is>
          <t>2 уровень</t>
        </is>
      </c>
      <c r="C774" s="34" t="inlineStr">
        <is>
          <t>Закрытые условия на абонементы</t>
        </is>
      </c>
      <c r="D774" s="34" t="inlineStr">
        <is>
          <t>Скидка 20% на абонемент 12 занятий</t>
        </is>
      </c>
      <c r="E774" s="34" t="inlineStr">
        <is>
          <t>При покупке абонемента на 12 занятий</t>
        </is>
      </c>
      <c r="F774" s="147" t="inlineStr">
        <is>
          <t>FW-L2-S3ZMD-BPU26</t>
        </is>
      </c>
      <c r="G774" s="39" t="inlineStr">
        <is>
          <t>Не использован</t>
        </is>
      </c>
      <c r="H774" s="148" t="n"/>
      <c r="I774" s="34" t="str"/>
      <c r="J774" s="34" t="str"/>
      <c r="K774" s="130" t="n">
        <v>170</v>
      </c>
      <c r="L774" s="43">
        <f>IF(COUNTIF($F$5:$F$2407,F774)=1,"OK","Дубликат")</f>
        <v/>
      </c>
    </row>
    <row r="775" ht="38" customHeight="1">
      <c r="A775" s="146" t="inlineStr">
        <is>
          <t>SUB-L2-12-20</t>
        </is>
      </c>
      <c r="B775" s="39" t="inlineStr">
        <is>
          <t>2 уровень</t>
        </is>
      </c>
      <c r="C775" s="34" t="inlineStr">
        <is>
          <t>Закрытые условия на абонементы</t>
        </is>
      </c>
      <c r="D775" s="34" t="inlineStr">
        <is>
          <t>Скидка 20% на абонемент 12 занятий</t>
        </is>
      </c>
      <c r="E775" s="34" t="inlineStr">
        <is>
          <t>При покупке абонемента на 12 занятий</t>
        </is>
      </c>
      <c r="F775" s="147" t="inlineStr">
        <is>
          <t>FW-L2-JNQVL-4H8EK</t>
        </is>
      </c>
      <c r="G775" s="39" t="inlineStr">
        <is>
          <t>Не использован</t>
        </is>
      </c>
      <c r="H775" s="148" t="n"/>
      <c r="I775" s="34" t="str"/>
      <c r="J775" s="34" t="str"/>
      <c r="K775" s="130" t="n">
        <v>171</v>
      </c>
      <c r="L775" s="43">
        <f>IF(COUNTIF($F$5:$F$2407,F775)=1,"OK","Дубликат")</f>
        <v/>
      </c>
    </row>
    <row r="776" ht="38" customHeight="1">
      <c r="A776" s="146" t="inlineStr">
        <is>
          <t>SUB-L2-12-20</t>
        </is>
      </c>
      <c r="B776" s="39" t="inlineStr">
        <is>
          <t>2 уровень</t>
        </is>
      </c>
      <c r="C776" s="34" t="inlineStr">
        <is>
          <t>Закрытые условия на абонементы</t>
        </is>
      </c>
      <c r="D776" s="34" t="inlineStr">
        <is>
          <t>Скидка 20% на абонемент 12 занятий</t>
        </is>
      </c>
      <c r="E776" s="34" t="inlineStr">
        <is>
          <t>При покупке абонемента на 12 занятий</t>
        </is>
      </c>
      <c r="F776" s="147" t="inlineStr">
        <is>
          <t>FW-L2-TBSQX-9FCJH</t>
        </is>
      </c>
      <c r="G776" s="39" t="inlineStr">
        <is>
          <t>Не использован</t>
        </is>
      </c>
      <c r="H776" s="148" t="n"/>
      <c r="I776" s="34" t="str"/>
      <c r="J776" s="34" t="str"/>
      <c r="K776" s="130" t="n">
        <v>172</v>
      </c>
      <c r="L776" s="43">
        <f>IF(COUNTIF($F$5:$F$2407,F776)=1,"OK","Дубликат")</f>
        <v/>
      </c>
    </row>
    <row r="777" ht="38" customHeight="1">
      <c r="A777" s="146" t="inlineStr">
        <is>
          <t>SUB-L2-12-20</t>
        </is>
      </c>
      <c r="B777" s="39" t="inlineStr">
        <is>
          <t>2 уровень</t>
        </is>
      </c>
      <c r="C777" s="34" t="inlineStr">
        <is>
          <t>Закрытые условия на абонементы</t>
        </is>
      </c>
      <c r="D777" s="34" t="inlineStr">
        <is>
          <t>Скидка 20% на абонемент 12 занятий</t>
        </is>
      </c>
      <c r="E777" s="34" t="inlineStr">
        <is>
          <t>При покупке абонемента на 12 занятий</t>
        </is>
      </c>
      <c r="F777" s="147" t="inlineStr">
        <is>
          <t>FW-L2-RXEKX-UZCVX</t>
        </is>
      </c>
      <c r="G777" s="39" t="inlineStr">
        <is>
          <t>Не использован</t>
        </is>
      </c>
      <c r="H777" s="148" t="n"/>
      <c r="I777" s="34" t="str"/>
      <c r="J777" s="34" t="str"/>
      <c r="K777" s="130" t="n">
        <v>173</v>
      </c>
      <c r="L777" s="43">
        <f>IF(COUNTIF($F$5:$F$2407,F777)=1,"OK","Дубликат")</f>
        <v/>
      </c>
    </row>
    <row r="778" ht="38" customHeight="1">
      <c r="A778" s="146" t="inlineStr">
        <is>
          <t>SUB-L2-12-20</t>
        </is>
      </c>
      <c r="B778" s="39" t="inlineStr">
        <is>
          <t>2 уровень</t>
        </is>
      </c>
      <c r="C778" s="34" t="inlineStr">
        <is>
          <t>Закрытые условия на абонементы</t>
        </is>
      </c>
      <c r="D778" s="34" t="inlineStr">
        <is>
          <t>Скидка 20% на абонемент 12 занятий</t>
        </is>
      </c>
      <c r="E778" s="34" t="inlineStr">
        <is>
          <t>При покупке абонемента на 12 занятий</t>
        </is>
      </c>
      <c r="F778" s="147" t="inlineStr">
        <is>
          <t>FW-L2-4GNQE-QPPMH</t>
        </is>
      </c>
      <c r="G778" s="39" t="inlineStr">
        <is>
          <t>Не использован</t>
        </is>
      </c>
      <c r="H778" s="148" t="n"/>
      <c r="I778" s="34" t="str"/>
      <c r="J778" s="34" t="str"/>
      <c r="K778" s="130" t="n">
        <v>174</v>
      </c>
      <c r="L778" s="43">
        <f>IF(COUNTIF($F$5:$F$2407,F778)=1,"OK","Дубликат")</f>
        <v/>
      </c>
    </row>
    <row r="779" ht="38" customHeight="1">
      <c r="A779" s="146" t="inlineStr">
        <is>
          <t>SUB-L2-12-20</t>
        </is>
      </c>
      <c r="B779" s="39" t="inlineStr">
        <is>
          <t>2 уровень</t>
        </is>
      </c>
      <c r="C779" s="34" t="inlineStr">
        <is>
          <t>Закрытые условия на абонементы</t>
        </is>
      </c>
      <c r="D779" s="34" t="inlineStr">
        <is>
          <t>Скидка 20% на абонемент 12 занятий</t>
        </is>
      </c>
      <c r="E779" s="34" t="inlineStr">
        <is>
          <t>При покупке абонемента на 12 занятий</t>
        </is>
      </c>
      <c r="F779" s="147" t="inlineStr">
        <is>
          <t>FW-L2-AFSEE-YMG7J</t>
        </is>
      </c>
      <c r="G779" s="39" t="inlineStr">
        <is>
          <t>Не использован</t>
        </is>
      </c>
      <c r="H779" s="148" t="n"/>
      <c r="I779" s="34" t="str"/>
      <c r="J779" s="34" t="str"/>
      <c r="K779" s="130" t="n">
        <v>175</v>
      </c>
      <c r="L779" s="43">
        <f>IF(COUNTIF($F$5:$F$2407,F779)=1,"OK","Дубликат")</f>
        <v/>
      </c>
    </row>
    <row r="780" ht="38" customHeight="1">
      <c r="A780" s="146" t="inlineStr">
        <is>
          <t>SUB-L2-12-20</t>
        </is>
      </c>
      <c r="B780" s="39" t="inlineStr">
        <is>
          <t>2 уровень</t>
        </is>
      </c>
      <c r="C780" s="34" t="inlineStr">
        <is>
          <t>Закрытые условия на абонементы</t>
        </is>
      </c>
      <c r="D780" s="34" t="inlineStr">
        <is>
          <t>Скидка 20% на абонемент 12 занятий</t>
        </is>
      </c>
      <c r="E780" s="34" t="inlineStr">
        <is>
          <t>При покупке абонемента на 12 занятий</t>
        </is>
      </c>
      <c r="F780" s="147" t="inlineStr">
        <is>
          <t>FW-L2-SZTBS-LWV6X</t>
        </is>
      </c>
      <c r="G780" s="39" t="inlineStr">
        <is>
          <t>Не использован</t>
        </is>
      </c>
      <c r="H780" s="148" t="n"/>
      <c r="I780" s="34" t="str"/>
      <c r="J780" s="34" t="str"/>
      <c r="K780" s="130" t="n">
        <v>176</v>
      </c>
      <c r="L780" s="43">
        <f>IF(COUNTIF($F$5:$F$2407,F780)=1,"OK","Дубликат")</f>
        <v/>
      </c>
    </row>
    <row r="781" ht="38" customHeight="1">
      <c r="A781" s="146" t="inlineStr">
        <is>
          <t>SUB-L2-12-20</t>
        </is>
      </c>
      <c r="B781" s="39" t="inlineStr">
        <is>
          <t>2 уровень</t>
        </is>
      </c>
      <c r="C781" s="34" t="inlineStr">
        <is>
          <t>Закрытые условия на абонементы</t>
        </is>
      </c>
      <c r="D781" s="34" t="inlineStr">
        <is>
          <t>Скидка 20% на абонемент 12 занятий</t>
        </is>
      </c>
      <c r="E781" s="34" t="inlineStr">
        <is>
          <t>При покупке абонемента на 12 занятий</t>
        </is>
      </c>
      <c r="F781" s="147" t="inlineStr">
        <is>
          <t>FW-L2-GFPBF-F9REB</t>
        </is>
      </c>
      <c r="G781" s="39" t="inlineStr">
        <is>
          <t>Не использован</t>
        </is>
      </c>
      <c r="H781" s="148" t="n"/>
      <c r="I781" s="34" t="str"/>
      <c r="J781" s="34" t="str"/>
      <c r="K781" s="130" t="n">
        <v>177</v>
      </c>
      <c r="L781" s="43">
        <f>IF(COUNTIF($F$5:$F$2407,F781)=1,"OK","Дубликат")</f>
        <v/>
      </c>
    </row>
    <row r="782" ht="38" customHeight="1">
      <c r="A782" s="146" t="inlineStr">
        <is>
          <t>SUB-L2-12-20</t>
        </is>
      </c>
      <c r="B782" s="39" t="inlineStr">
        <is>
          <t>2 уровень</t>
        </is>
      </c>
      <c r="C782" s="34" t="inlineStr">
        <is>
          <t>Закрытые условия на абонементы</t>
        </is>
      </c>
      <c r="D782" s="34" t="inlineStr">
        <is>
          <t>Скидка 20% на абонемент 12 занятий</t>
        </is>
      </c>
      <c r="E782" s="34" t="inlineStr">
        <is>
          <t>При покупке абонемента на 12 занятий</t>
        </is>
      </c>
      <c r="F782" s="147" t="inlineStr">
        <is>
          <t>FW-L2-WYAZ8-NDXXV</t>
        </is>
      </c>
      <c r="G782" s="39" t="inlineStr">
        <is>
          <t>Не использован</t>
        </is>
      </c>
      <c r="H782" s="148" t="n"/>
      <c r="I782" s="34" t="str"/>
      <c r="J782" s="34" t="str"/>
      <c r="K782" s="130" t="n">
        <v>178</v>
      </c>
      <c r="L782" s="43">
        <f>IF(COUNTIF($F$5:$F$2407,F782)=1,"OK","Дубликат")</f>
        <v/>
      </c>
    </row>
    <row r="783" ht="38" customHeight="1">
      <c r="A783" s="146" t="inlineStr">
        <is>
          <t>SUB-L2-12-20</t>
        </is>
      </c>
      <c r="B783" s="39" t="inlineStr">
        <is>
          <t>2 уровень</t>
        </is>
      </c>
      <c r="C783" s="34" t="inlineStr">
        <is>
          <t>Закрытые условия на абонементы</t>
        </is>
      </c>
      <c r="D783" s="34" t="inlineStr">
        <is>
          <t>Скидка 20% на абонемент 12 занятий</t>
        </is>
      </c>
      <c r="E783" s="34" t="inlineStr">
        <is>
          <t>При покупке абонемента на 12 занятий</t>
        </is>
      </c>
      <c r="F783" s="147" t="inlineStr">
        <is>
          <t>FW-L2-JLA3F-AJZTH</t>
        </is>
      </c>
      <c r="G783" s="39" t="inlineStr">
        <is>
          <t>Не использован</t>
        </is>
      </c>
      <c r="H783" s="148" t="n"/>
      <c r="I783" s="34" t="str"/>
      <c r="J783" s="34" t="str"/>
      <c r="K783" s="130" t="n">
        <v>179</v>
      </c>
      <c r="L783" s="43">
        <f>IF(COUNTIF($F$5:$F$2407,F783)=1,"OK","Дубликат")</f>
        <v/>
      </c>
    </row>
    <row r="784" ht="38" customHeight="1">
      <c r="A784" s="146" t="inlineStr">
        <is>
          <t>SUB-L2-12-20</t>
        </is>
      </c>
      <c r="B784" s="39" t="inlineStr">
        <is>
          <t>2 уровень</t>
        </is>
      </c>
      <c r="C784" s="34" t="inlineStr">
        <is>
          <t>Закрытые условия на абонементы</t>
        </is>
      </c>
      <c r="D784" s="34" t="inlineStr">
        <is>
          <t>Скидка 20% на абонемент 12 занятий</t>
        </is>
      </c>
      <c r="E784" s="34" t="inlineStr">
        <is>
          <t>При покупке абонемента на 12 занятий</t>
        </is>
      </c>
      <c r="F784" s="147" t="inlineStr">
        <is>
          <t>FW-L2-GAM6X-H99ND</t>
        </is>
      </c>
      <c r="G784" s="39" t="inlineStr">
        <is>
          <t>Не использован</t>
        </is>
      </c>
      <c r="H784" s="148" t="n"/>
      <c r="I784" s="34" t="str"/>
      <c r="J784" s="34" t="str"/>
      <c r="K784" s="130" t="n">
        <v>180</v>
      </c>
      <c r="L784" s="43">
        <f>IF(COUNTIF($F$5:$F$2407,F784)=1,"OK","Дубликат")</f>
        <v/>
      </c>
    </row>
    <row r="785" ht="38" customHeight="1">
      <c r="A785" s="146" t="inlineStr">
        <is>
          <t>SUB-L2-12-20</t>
        </is>
      </c>
      <c r="B785" s="39" t="inlineStr">
        <is>
          <t>2 уровень</t>
        </is>
      </c>
      <c r="C785" s="34" t="inlineStr">
        <is>
          <t>Закрытые условия на абонементы</t>
        </is>
      </c>
      <c r="D785" s="34" t="inlineStr">
        <is>
          <t>Скидка 20% на абонемент 12 занятий</t>
        </is>
      </c>
      <c r="E785" s="34" t="inlineStr">
        <is>
          <t>При покупке абонемента на 12 занятий</t>
        </is>
      </c>
      <c r="F785" s="147" t="inlineStr">
        <is>
          <t>FW-L2-U2CQ4-MPW9Q</t>
        </is>
      </c>
      <c r="G785" s="39" t="inlineStr">
        <is>
          <t>Не использован</t>
        </is>
      </c>
      <c r="H785" s="148" t="n"/>
      <c r="I785" s="34" t="str"/>
      <c r="J785" s="34" t="str"/>
      <c r="K785" s="130" t="n">
        <v>181</v>
      </c>
      <c r="L785" s="43">
        <f>IF(COUNTIF($F$5:$F$2407,F785)=1,"OK","Дубликат")</f>
        <v/>
      </c>
    </row>
    <row r="786" ht="38" customHeight="1">
      <c r="A786" s="146" t="inlineStr">
        <is>
          <t>SUB-L2-12-20</t>
        </is>
      </c>
      <c r="B786" s="39" t="inlineStr">
        <is>
          <t>2 уровень</t>
        </is>
      </c>
      <c r="C786" s="34" t="inlineStr">
        <is>
          <t>Закрытые условия на абонементы</t>
        </is>
      </c>
      <c r="D786" s="34" t="inlineStr">
        <is>
          <t>Скидка 20% на абонемент 12 занятий</t>
        </is>
      </c>
      <c r="E786" s="34" t="inlineStr">
        <is>
          <t>При покупке абонемента на 12 занятий</t>
        </is>
      </c>
      <c r="F786" s="147" t="inlineStr">
        <is>
          <t>FW-L2-SXGK9-86NCF</t>
        </is>
      </c>
      <c r="G786" s="39" t="inlineStr">
        <is>
          <t>Не использован</t>
        </is>
      </c>
      <c r="H786" s="148" t="n"/>
      <c r="I786" s="34" t="str"/>
      <c r="J786" s="34" t="str"/>
      <c r="K786" s="130" t="n">
        <v>182</v>
      </c>
      <c r="L786" s="43">
        <f>IF(COUNTIF($F$5:$F$2407,F786)=1,"OK","Дубликат")</f>
        <v/>
      </c>
    </row>
    <row r="787" ht="38" customHeight="1">
      <c r="A787" s="146" t="inlineStr">
        <is>
          <t>SUB-L2-12-20</t>
        </is>
      </c>
      <c r="B787" s="39" t="inlineStr">
        <is>
          <t>2 уровень</t>
        </is>
      </c>
      <c r="C787" s="34" t="inlineStr">
        <is>
          <t>Закрытые условия на абонементы</t>
        </is>
      </c>
      <c r="D787" s="34" t="inlineStr">
        <is>
          <t>Скидка 20% на абонемент 12 занятий</t>
        </is>
      </c>
      <c r="E787" s="34" t="inlineStr">
        <is>
          <t>При покупке абонемента на 12 занятий</t>
        </is>
      </c>
      <c r="F787" s="147" t="inlineStr">
        <is>
          <t>FW-L2-63QX8-NKMHC</t>
        </is>
      </c>
      <c r="G787" s="39" t="inlineStr">
        <is>
          <t>Не использован</t>
        </is>
      </c>
      <c r="H787" s="148" t="n"/>
      <c r="I787" s="34" t="str"/>
      <c r="J787" s="34" t="str"/>
      <c r="K787" s="130" t="n">
        <v>183</v>
      </c>
      <c r="L787" s="43">
        <f>IF(COUNTIF($F$5:$F$2407,F787)=1,"OK","Дубликат")</f>
        <v/>
      </c>
    </row>
    <row r="788" ht="38" customHeight="1">
      <c r="A788" s="146" t="inlineStr">
        <is>
          <t>SUB-L2-12-20</t>
        </is>
      </c>
      <c r="B788" s="39" t="inlineStr">
        <is>
          <t>2 уровень</t>
        </is>
      </c>
      <c r="C788" s="34" t="inlineStr">
        <is>
          <t>Закрытые условия на абонементы</t>
        </is>
      </c>
      <c r="D788" s="34" t="inlineStr">
        <is>
          <t>Скидка 20% на абонемент 12 занятий</t>
        </is>
      </c>
      <c r="E788" s="34" t="inlineStr">
        <is>
          <t>При покупке абонемента на 12 занятий</t>
        </is>
      </c>
      <c r="F788" s="147" t="inlineStr">
        <is>
          <t>FW-L2-M9HVN-JKVJ9</t>
        </is>
      </c>
      <c r="G788" s="39" t="inlineStr">
        <is>
          <t>Не использован</t>
        </is>
      </c>
      <c r="H788" s="148" t="n"/>
      <c r="I788" s="34" t="str"/>
      <c r="J788" s="34" t="str"/>
      <c r="K788" s="130" t="n">
        <v>184</v>
      </c>
      <c r="L788" s="43">
        <f>IF(COUNTIF($F$5:$F$2407,F788)=1,"OK","Дубликат")</f>
        <v/>
      </c>
    </row>
    <row r="789" ht="38" customHeight="1">
      <c r="A789" s="146" t="inlineStr">
        <is>
          <t>SUB-L2-12-20</t>
        </is>
      </c>
      <c r="B789" s="39" t="inlineStr">
        <is>
          <t>2 уровень</t>
        </is>
      </c>
      <c r="C789" s="34" t="inlineStr">
        <is>
          <t>Закрытые условия на абонементы</t>
        </is>
      </c>
      <c r="D789" s="34" t="inlineStr">
        <is>
          <t>Скидка 20% на абонемент 12 занятий</t>
        </is>
      </c>
      <c r="E789" s="34" t="inlineStr">
        <is>
          <t>При покупке абонемента на 12 занятий</t>
        </is>
      </c>
      <c r="F789" s="147" t="inlineStr">
        <is>
          <t>FW-L2-A93SH-YTTGM</t>
        </is>
      </c>
      <c r="G789" s="39" t="inlineStr">
        <is>
          <t>Не использован</t>
        </is>
      </c>
      <c r="H789" s="148" t="n"/>
      <c r="I789" s="34" t="str"/>
      <c r="J789" s="34" t="str"/>
      <c r="K789" s="130" t="n">
        <v>185</v>
      </c>
      <c r="L789" s="43">
        <f>IF(COUNTIF($F$5:$F$2407,F789)=1,"OK","Дубликат")</f>
        <v/>
      </c>
    </row>
    <row r="790" ht="38" customHeight="1">
      <c r="A790" s="146" t="inlineStr">
        <is>
          <t>SUB-L2-12-20</t>
        </is>
      </c>
      <c r="B790" s="39" t="inlineStr">
        <is>
          <t>2 уровень</t>
        </is>
      </c>
      <c r="C790" s="34" t="inlineStr">
        <is>
          <t>Закрытые условия на абонементы</t>
        </is>
      </c>
      <c r="D790" s="34" t="inlineStr">
        <is>
          <t>Скидка 20% на абонемент 12 занятий</t>
        </is>
      </c>
      <c r="E790" s="34" t="inlineStr">
        <is>
          <t>При покупке абонемента на 12 занятий</t>
        </is>
      </c>
      <c r="F790" s="147" t="inlineStr">
        <is>
          <t>FW-L2-PQA4U-JASTL</t>
        </is>
      </c>
      <c r="G790" s="39" t="inlineStr">
        <is>
          <t>Не использован</t>
        </is>
      </c>
      <c r="H790" s="148" t="n"/>
      <c r="I790" s="34" t="str"/>
      <c r="J790" s="34" t="str"/>
      <c r="K790" s="130" t="n">
        <v>186</v>
      </c>
      <c r="L790" s="43">
        <f>IF(COUNTIF($F$5:$F$2407,F790)=1,"OK","Дубликат")</f>
        <v/>
      </c>
    </row>
    <row r="791" ht="38" customHeight="1">
      <c r="A791" s="146" t="inlineStr">
        <is>
          <t>SUB-L2-12-20</t>
        </is>
      </c>
      <c r="B791" s="39" t="inlineStr">
        <is>
          <t>2 уровень</t>
        </is>
      </c>
      <c r="C791" s="34" t="inlineStr">
        <is>
          <t>Закрытые условия на абонементы</t>
        </is>
      </c>
      <c r="D791" s="34" t="inlineStr">
        <is>
          <t>Скидка 20% на абонемент 12 занятий</t>
        </is>
      </c>
      <c r="E791" s="34" t="inlineStr">
        <is>
          <t>При покупке абонемента на 12 занятий</t>
        </is>
      </c>
      <c r="F791" s="147" t="inlineStr">
        <is>
          <t>FW-L2-9CHA2-NWU6L</t>
        </is>
      </c>
      <c r="G791" s="39" t="inlineStr">
        <is>
          <t>Не использован</t>
        </is>
      </c>
      <c r="H791" s="148" t="n"/>
      <c r="I791" s="34" t="str"/>
      <c r="J791" s="34" t="str"/>
      <c r="K791" s="130" t="n">
        <v>187</v>
      </c>
      <c r="L791" s="43">
        <f>IF(COUNTIF($F$5:$F$2407,F791)=1,"OK","Дубликат")</f>
        <v/>
      </c>
    </row>
    <row r="792" ht="38" customHeight="1">
      <c r="A792" s="146" t="inlineStr">
        <is>
          <t>SUB-L2-12-20</t>
        </is>
      </c>
      <c r="B792" s="39" t="inlineStr">
        <is>
          <t>2 уровень</t>
        </is>
      </c>
      <c r="C792" s="34" t="inlineStr">
        <is>
          <t>Закрытые условия на абонементы</t>
        </is>
      </c>
      <c r="D792" s="34" t="inlineStr">
        <is>
          <t>Скидка 20% на абонемент 12 занятий</t>
        </is>
      </c>
      <c r="E792" s="34" t="inlineStr">
        <is>
          <t>При покупке абонемента на 12 занятий</t>
        </is>
      </c>
      <c r="F792" s="147" t="inlineStr">
        <is>
          <t>FW-L2-97EDL-LZBEZ</t>
        </is>
      </c>
      <c r="G792" s="39" t="inlineStr">
        <is>
          <t>Не использован</t>
        </is>
      </c>
      <c r="H792" s="148" t="n"/>
      <c r="I792" s="34" t="str"/>
      <c r="J792" s="34" t="str"/>
      <c r="K792" s="130" t="n">
        <v>188</v>
      </c>
      <c r="L792" s="43">
        <f>IF(COUNTIF($F$5:$F$2407,F792)=1,"OK","Дубликат")</f>
        <v/>
      </c>
    </row>
    <row r="793" ht="38" customHeight="1">
      <c r="A793" s="146" t="inlineStr">
        <is>
          <t>SUB-L2-12-20</t>
        </is>
      </c>
      <c r="B793" s="39" t="inlineStr">
        <is>
          <t>2 уровень</t>
        </is>
      </c>
      <c r="C793" s="34" t="inlineStr">
        <is>
          <t>Закрытые условия на абонементы</t>
        </is>
      </c>
      <c r="D793" s="34" t="inlineStr">
        <is>
          <t>Скидка 20% на абонемент 12 занятий</t>
        </is>
      </c>
      <c r="E793" s="34" t="inlineStr">
        <is>
          <t>При покупке абонемента на 12 занятий</t>
        </is>
      </c>
      <c r="F793" s="147" t="inlineStr">
        <is>
          <t>FW-L2-5LYHU-FS39A</t>
        </is>
      </c>
      <c r="G793" s="39" t="inlineStr">
        <is>
          <t>Не использован</t>
        </is>
      </c>
      <c r="H793" s="148" t="n"/>
      <c r="I793" s="34" t="str"/>
      <c r="J793" s="34" t="str"/>
      <c r="K793" s="130" t="n">
        <v>189</v>
      </c>
      <c r="L793" s="43">
        <f>IF(COUNTIF($F$5:$F$2407,F793)=1,"OK","Дубликат")</f>
        <v/>
      </c>
    </row>
    <row r="794" ht="38" customHeight="1">
      <c r="A794" s="146" t="inlineStr">
        <is>
          <t>SUB-L2-12-20</t>
        </is>
      </c>
      <c r="B794" s="39" t="inlineStr">
        <is>
          <t>2 уровень</t>
        </is>
      </c>
      <c r="C794" s="34" t="inlineStr">
        <is>
          <t>Закрытые условия на абонементы</t>
        </is>
      </c>
      <c r="D794" s="34" t="inlineStr">
        <is>
          <t>Скидка 20% на абонемент 12 занятий</t>
        </is>
      </c>
      <c r="E794" s="34" t="inlineStr">
        <is>
          <t>При покупке абонемента на 12 занятий</t>
        </is>
      </c>
      <c r="F794" s="147" t="inlineStr">
        <is>
          <t>FW-L2-B7YSN-SRDFG</t>
        </is>
      </c>
      <c r="G794" s="39" t="inlineStr">
        <is>
          <t>Не использован</t>
        </is>
      </c>
      <c r="H794" s="148" t="n"/>
      <c r="I794" s="34" t="str"/>
      <c r="J794" s="34" t="str"/>
      <c r="K794" s="130" t="n">
        <v>190</v>
      </c>
      <c r="L794" s="43">
        <f>IF(COUNTIF($F$5:$F$2407,F794)=1,"OK","Дубликат")</f>
        <v/>
      </c>
    </row>
    <row r="795" ht="38" customHeight="1">
      <c r="A795" s="146" t="inlineStr">
        <is>
          <t>SUB-L2-12-20</t>
        </is>
      </c>
      <c r="B795" s="39" t="inlineStr">
        <is>
          <t>2 уровень</t>
        </is>
      </c>
      <c r="C795" s="34" t="inlineStr">
        <is>
          <t>Закрытые условия на абонементы</t>
        </is>
      </c>
      <c r="D795" s="34" t="inlineStr">
        <is>
          <t>Скидка 20% на абонемент 12 занятий</t>
        </is>
      </c>
      <c r="E795" s="34" t="inlineStr">
        <is>
          <t>При покупке абонемента на 12 занятий</t>
        </is>
      </c>
      <c r="F795" s="147" t="inlineStr">
        <is>
          <t>FW-L2-5V6AG-L78KD</t>
        </is>
      </c>
      <c r="G795" s="39" t="inlineStr">
        <is>
          <t>Не использован</t>
        </is>
      </c>
      <c r="H795" s="148" t="n"/>
      <c r="I795" s="34" t="str"/>
      <c r="J795" s="34" t="str"/>
      <c r="K795" s="130" t="n">
        <v>191</v>
      </c>
      <c r="L795" s="43">
        <f>IF(COUNTIF($F$5:$F$2407,F795)=1,"OK","Дубликат")</f>
        <v/>
      </c>
    </row>
    <row r="796" ht="38" customHeight="1">
      <c r="A796" s="146" t="inlineStr">
        <is>
          <t>SUB-L2-12-20</t>
        </is>
      </c>
      <c r="B796" s="39" t="inlineStr">
        <is>
          <t>2 уровень</t>
        </is>
      </c>
      <c r="C796" s="34" t="inlineStr">
        <is>
          <t>Закрытые условия на абонементы</t>
        </is>
      </c>
      <c r="D796" s="34" t="inlineStr">
        <is>
          <t>Скидка 20% на абонемент 12 занятий</t>
        </is>
      </c>
      <c r="E796" s="34" t="inlineStr">
        <is>
          <t>При покупке абонемента на 12 занятий</t>
        </is>
      </c>
      <c r="F796" s="147" t="inlineStr">
        <is>
          <t>FW-L2-3QVSZ-ZTC7L</t>
        </is>
      </c>
      <c r="G796" s="39" t="inlineStr">
        <is>
          <t>Не использован</t>
        </is>
      </c>
      <c r="H796" s="148" t="n"/>
      <c r="I796" s="34" t="str"/>
      <c r="J796" s="34" t="str"/>
      <c r="K796" s="130" t="n">
        <v>192</v>
      </c>
      <c r="L796" s="43">
        <f>IF(COUNTIF($F$5:$F$2407,F796)=1,"OK","Дубликат")</f>
        <v/>
      </c>
    </row>
    <row r="797" ht="38" customHeight="1">
      <c r="A797" s="146" t="inlineStr">
        <is>
          <t>SUB-L2-12-20</t>
        </is>
      </c>
      <c r="B797" s="39" t="inlineStr">
        <is>
          <t>2 уровень</t>
        </is>
      </c>
      <c r="C797" s="34" t="inlineStr">
        <is>
          <t>Закрытые условия на абонементы</t>
        </is>
      </c>
      <c r="D797" s="34" t="inlineStr">
        <is>
          <t>Скидка 20% на абонемент 12 занятий</t>
        </is>
      </c>
      <c r="E797" s="34" t="inlineStr">
        <is>
          <t>При покупке абонемента на 12 занятий</t>
        </is>
      </c>
      <c r="F797" s="147" t="inlineStr">
        <is>
          <t>FW-L2-Y5DGL-UEL8B</t>
        </is>
      </c>
      <c r="G797" s="39" t="inlineStr">
        <is>
          <t>Не использован</t>
        </is>
      </c>
      <c r="H797" s="148" t="n"/>
      <c r="I797" s="34" t="str"/>
      <c r="J797" s="34" t="str"/>
      <c r="K797" s="130" t="n">
        <v>193</v>
      </c>
      <c r="L797" s="43">
        <f>IF(COUNTIF($F$5:$F$2407,F797)=1,"OK","Дубликат")</f>
        <v/>
      </c>
    </row>
    <row r="798" ht="38" customHeight="1">
      <c r="A798" s="146" t="inlineStr">
        <is>
          <t>SUB-L2-12-20</t>
        </is>
      </c>
      <c r="B798" s="39" t="inlineStr">
        <is>
          <t>2 уровень</t>
        </is>
      </c>
      <c r="C798" s="34" t="inlineStr">
        <is>
          <t>Закрытые условия на абонементы</t>
        </is>
      </c>
      <c r="D798" s="34" t="inlineStr">
        <is>
          <t>Скидка 20% на абонемент 12 занятий</t>
        </is>
      </c>
      <c r="E798" s="34" t="inlineStr">
        <is>
          <t>При покупке абонемента на 12 занятий</t>
        </is>
      </c>
      <c r="F798" s="147" t="inlineStr">
        <is>
          <t>FW-L2-F6534-FH8TW</t>
        </is>
      </c>
      <c r="G798" s="39" t="inlineStr">
        <is>
          <t>Не использован</t>
        </is>
      </c>
      <c r="H798" s="148" t="n"/>
      <c r="I798" s="34" t="str"/>
      <c r="J798" s="34" t="str"/>
      <c r="K798" s="130" t="n">
        <v>194</v>
      </c>
      <c r="L798" s="43">
        <f>IF(COUNTIF($F$5:$F$2407,F798)=1,"OK","Дубликат")</f>
        <v/>
      </c>
    </row>
    <row r="799" ht="38" customHeight="1">
      <c r="A799" s="146" t="inlineStr">
        <is>
          <t>SUB-L2-12-20</t>
        </is>
      </c>
      <c r="B799" s="39" t="inlineStr">
        <is>
          <t>2 уровень</t>
        </is>
      </c>
      <c r="C799" s="34" t="inlineStr">
        <is>
          <t>Закрытые условия на абонементы</t>
        </is>
      </c>
      <c r="D799" s="34" t="inlineStr">
        <is>
          <t>Скидка 20% на абонемент 12 занятий</t>
        </is>
      </c>
      <c r="E799" s="34" t="inlineStr">
        <is>
          <t>При покупке абонемента на 12 занятий</t>
        </is>
      </c>
      <c r="F799" s="147" t="inlineStr">
        <is>
          <t>FW-L2-TJKYK-TLSC6</t>
        </is>
      </c>
      <c r="G799" s="39" t="inlineStr">
        <is>
          <t>Не использован</t>
        </is>
      </c>
      <c r="H799" s="148" t="n"/>
      <c r="I799" s="34" t="str"/>
      <c r="J799" s="34" t="str"/>
      <c r="K799" s="130" t="n">
        <v>195</v>
      </c>
      <c r="L799" s="43">
        <f>IF(COUNTIF($F$5:$F$2407,F799)=1,"OK","Дубликат")</f>
        <v/>
      </c>
    </row>
    <row r="800" ht="38" customHeight="1">
      <c r="A800" s="146" t="inlineStr">
        <is>
          <t>SUB-L2-12-20</t>
        </is>
      </c>
      <c r="B800" s="39" t="inlineStr">
        <is>
          <t>2 уровень</t>
        </is>
      </c>
      <c r="C800" s="34" t="inlineStr">
        <is>
          <t>Закрытые условия на абонементы</t>
        </is>
      </c>
      <c r="D800" s="34" t="inlineStr">
        <is>
          <t>Скидка 20% на абонемент 12 занятий</t>
        </is>
      </c>
      <c r="E800" s="34" t="inlineStr">
        <is>
          <t>При покупке абонемента на 12 занятий</t>
        </is>
      </c>
      <c r="F800" s="147" t="inlineStr">
        <is>
          <t>FW-L2-Y9DPF-SZFX8</t>
        </is>
      </c>
      <c r="G800" s="39" t="inlineStr">
        <is>
          <t>Не использован</t>
        </is>
      </c>
      <c r="H800" s="148" t="n"/>
      <c r="I800" s="34" t="str"/>
      <c r="J800" s="34" t="str"/>
      <c r="K800" s="130" t="n">
        <v>196</v>
      </c>
      <c r="L800" s="43">
        <f>IF(COUNTIF($F$5:$F$2407,F800)=1,"OK","Дубликат")</f>
        <v/>
      </c>
    </row>
    <row r="801" ht="38" customHeight="1">
      <c r="A801" s="146" t="inlineStr">
        <is>
          <t>SUB-L2-12-20</t>
        </is>
      </c>
      <c r="B801" s="39" t="inlineStr">
        <is>
          <t>2 уровень</t>
        </is>
      </c>
      <c r="C801" s="34" t="inlineStr">
        <is>
          <t>Закрытые условия на абонементы</t>
        </is>
      </c>
      <c r="D801" s="34" t="inlineStr">
        <is>
          <t>Скидка 20% на абонемент 12 занятий</t>
        </is>
      </c>
      <c r="E801" s="34" t="inlineStr">
        <is>
          <t>При покупке абонемента на 12 занятий</t>
        </is>
      </c>
      <c r="F801" s="147" t="inlineStr">
        <is>
          <t>FW-L2-54RRE-6G4BD</t>
        </is>
      </c>
      <c r="G801" s="39" t="inlineStr">
        <is>
          <t>Не использован</t>
        </is>
      </c>
      <c r="H801" s="148" t="n"/>
      <c r="I801" s="34" t="str"/>
      <c r="J801" s="34" t="str"/>
      <c r="K801" s="130" t="n">
        <v>197</v>
      </c>
      <c r="L801" s="43">
        <f>IF(COUNTIF($F$5:$F$2407,F801)=1,"OK","Дубликат")</f>
        <v/>
      </c>
    </row>
    <row r="802" ht="38" customHeight="1">
      <c r="A802" s="146" t="inlineStr">
        <is>
          <t>SUB-L2-12-20</t>
        </is>
      </c>
      <c r="B802" s="39" t="inlineStr">
        <is>
          <t>2 уровень</t>
        </is>
      </c>
      <c r="C802" s="34" t="inlineStr">
        <is>
          <t>Закрытые условия на абонементы</t>
        </is>
      </c>
      <c r="D802" s="34" t="inlineStr">
        <is>
          <t>Скидка 20% на абонемент 12 занятий</t>
        </is>
      </c>
      <c r="E802" s="34" t="inlineStr">
        <is>
          <t>При покупке абонемента на 12 занятий</t>
        </is>
      </c>
      <c r="F802" s="147" t="inlineStr">
        <is>
          <t>FW-L2-TG5GL-6C9DS</t>
        </is>
      </c>
      <c r="G802" s="39" t="inlineStr">
        <is>
          <t>Не использован</t>
        </is>
      </c>
      <c r="H802" s="148" t="n"/>
      <c r="I802" s="34" t="str"/>
      <c r="J802" s="34" t="str"/>
      <c r="K802" s="130" t="n">
        <v>198</v>
      </c>
      <c r="L802" s="43">
        <f>IF(COUNTIF($F$5:$F$2407,F802)=1,"OK","Дубликат")</f>
        <v/>
      </c>
    </row>
    <row r="803" ht="38" customHeight="1">
      <c r="A803" s="146" t="inlineStr">
        <is>
          <t>SUB-L2-12-20</t>
        </is>
      </c>
      <c r="B803" s="39" t="inlineStr">
        <is>
          <t>2 уровень</t>
        </is>
      </c>
      <c r="C803" s="34" t="inlineStr">
        <is>
          <t>Закрытые условия на абонементы</t>
        </is>
      </c>
      <c r="D803" s="34" t="inlineStr">
        <is>
          <t>Скидка 20% на абонемент 12 занятий</t>
        </is>
      </c>
      <c r="E803" s="34" t="inlineStr">
        <is>
          <t>При покупке абонемента на 12 занятий</t>
        </is>
      </c>
      <c r="F803" s="147" t="inlineStr">
        <is>
          <t>FW-L2-KU8T7-H2CPX</t>
        </is>
      </c>
      <c r="G803" s="39" t="inlineStr">
        <is>
          <t>Не использован</t>
        </is>
      </c>
      <c r="H803" s="148" t="n"/>
      <c r="I803" s="34" t="str"/>
      <c r="J803" s="34" t="str"/>
      <c r="K803" s="130" t="n">
        <v>199</v>
      </c>
      <c r="L803" s="43">
        <f>IF(COUNTIF($F$5:$F$2407,F803)=1,"OK","Дубликат")</f>
        <v/>
      </c>
    </row>
    <row r="804" ht="38" customHeight="1">
      <c r="A804" s="146" t="inlineStr">
        <is>
          <t>SUB-L2-12-20</t>
        </is>
      </c>
      <c r="B804" s="39" t="inlineStr">
        <is>
          <t>2 уровень</t>
        </is>
      </c>
      <c r="C804" s="34" t="inlineStr">
        <is>
          <t>Закрытые условия на абонементы</t>
        </is>
      </c>
      <c r="D804" s="34" t="inlineStr">
        <is>
          <t>Скидка 20% на абонемент 12 занятий</t>
        </is>
      </c>
      <c r="E804" s="34" t="inlineStr">
        <is>
          <t>При покупке абонемента на 12 занятий</t>
        </is>
      </c>
      <c r="F804" s="147" t="inlineStr">
        <is>
          <t>FW-L2-2FQSL-7QQ4X</t>
        </is>
      </c>
      <c r="G804" s="39" t="inlineStr">
        <is>
          <t>Не использован</t>
        </is>
      </c>
      <c r="H804" s="148" t="n"/>
      <c r="I804" s="34" t="str"/>
      <c r="J804" s="34" t="str"/>
      <c r="K804" s="130" t="n">
        <v>200</v>
      </c>
      <c r="L804" s="43">
        <f>IF(COUNTIF($F$5:$F$2407,F804)=1,"OK","Дубликат")</f>
        <v/>
      </c>
    </row>
    <row r="805" ht="38" customHeight="1">
      <c r="A805" s="146" t="inlineStr">
        <is>
          <t>SUB-L3-12-25</t>
        </is>
      </c>
      <c r="B805" s="39" t="inlineStr">
        <is>
          <t>3 уровень</t>
        </is>
      </c>
      <c r="C805" s="34" t="inlineStr">
        <is>
          <t>Закрытые условия на абонементы</t>
        </is>
      </c>
      <c r="D805" s="34" t="inlineStr">
        <is>
          <t>Скидка 25% на абонемент 12 занятий</t>
        </is>
      </c>
      <c r="E805" s="34" t="inlineStr">
        <is>
          <t>При покупке абонемента на 12 занятий</t>
        </is>
      </c>
      <c r="F805" s="147" t="inlineStr">
        <is>
          <t>FW-L3-EXFNL-XCHP7</t>
        </is>
      </c>
      <c r="G805" s="39" t="inlineStr">
        <is>
          <t>Не использован</t>
        </is>
      </c>
      <c r="H805" s="148" t="n"/>
      <c r="I805" s="34" t="str"/>
      <c r="J805" s="34" t="str"/>
      <c r="K805" s="130" t="n">
        <v>1</v>
      </c>
      <c r="L805" s="43">
        <f>IF(COUNTIF($F$5:$F$2407,F805)=1,"OK","Дубликат")</f>
        <v/>
      </c>
    </row>
    <row r="806" ht="38" customHeight="1">
      <c r="A806" s="146" t="inlineStr">
        <is>
          <t>SUB-L3-12-25</t>
        </is>
      </c>
      <c r="B806" s="39" t="inlineStr">
        <is>
          <t>3 уровень</t>
        </is>
      </c>
      <c r="C806" s="34" t="inlineStr">
        <is>
          <t>Закрытые условия на абонементы</t>
        </is>
      </c>
      <c r="D806" s="34" t="inlineStr">
        <is>
          <t>Скидка 25% на абонемент 12 занятий</t>
        </is>
      </c>
      <c r="E806" s="34" t="inlineStr">
        <is>
          <t>При покупке абонемента на 12 занятий</t>
        </is>
      </c>
      <c r="F806" s="147" t="inlineStr">
        <is>
          <t>FW-L3-V2RXS-4UT96</t>
        </is>
      </c>
      <c r="G806" s="39" t="inlineStr">
        <is>
          <t>Не использован</t>
        </is>
      </c>
      <c r="H806" s="148" t="n"/>
      <c r="I806" s="34" t="str"/>
      <c r="J806" s="34" t="str"/>
      <c r="K806" s="130" t="n">
        <v>2</v>
      </c>
      <c r="L806" s="43">
        <f>IF(COUNTIF($F$5:$F$2407,F806)=1,"OK","Дубликат")</f>
        <v/>
      </c>
    </row>
    <row r="807" ht="38" customHeight="1">
      <c r="A807" s="146" t="inlineStr">
        <is>
          <t>SUB-L3-12-25</t>
        </is>
      </c>
      <c r="B807" s="39" t="inlineStr">
        <is>
          <t>3 уровень</t>
        </is>
      </c>
      <c r="C807" s="34" t="inlineStr">
        <is>
          <t>Закрытые условия на абонементы</t>
        </is>
      </c>
      <c r="D807" s="34" t="inlineStr">
        <is>
          <t>Скидка 25% на абонемент 12 занятий</t>
        </is>
      </c>
      <c r="E807" s="34" t="inlineStr">
        <is>
          <t>При покупке абонемента на 12 занятий</t>
        </is>
      </c>
      <c r="F807" s="147" t="inlineStr">
        <is>
          <t>FW-L3-D9GAW-ULBPX</t>
        </is>
      </c>
      <c r="G807" s="39" t="inlineStr">
        <is>
          <t>Не использован</t>
        </is>
      </c>
      <c r="H807" s="148" t="n"/>
      <c r="I807" s="34" t="str"/>
      <c r="J807" s="34" t="str"/>
      <c r="K807" s="130" t="n">
        <v>3</v>
      </c>
      <c r="L807" s="43">
        <f>IF(COUNTIF($F$5:$F$2407,F807)=1,"OK","Дубликат")</f>
        <v/>
      </c>
    </row>
    <row r="808" ht="38" customHeight="1">
      <c r="A808" s="146" t="inlineStr">
        <is>
          <t>SUB-L3-12-25</t>
        </is>
      </c>
      <c r="B808" s="39" t="inlineStr">
        <is>
          <t>3 уровень</t>
        </is>
      </c>
      <c r="C808" s="34" t="inlineStr">
        <is>
          <t>Закрытые условия на абонементы</t>
        </is>
      </c>
      <c r="D808" s="34" t="inlineStr">
        <is>
          <t>Скидка 25% на абонемент 12 занятий</t>
        </is>
      </c>
      <c r="E808" s="34" t="inlineStr">
        <is>
          <t>При покупке абонемента на 12 занятий</t>
        </is>
      </c>
      <c r="F808" s="147" t="inlineStr">
        <is>
          <t>FW-L3-SYJE2-GMHN7</t>
        </is>
      </c>
      <c r="G808" s="39" t="inlineStr">
        <is>
          <t>Не использован</t>
        </is>
      </c>
      <c r="H808" s="148" t="n"/>
      <c r="I808" s="34" t="str"/>
      <c r="J808" s="34" t="str"/>
      <c r="K808" s="130" t="n">
        <v>4</v>
      </c>
      <c r="L808" s="43">
        <f>IF(COUNTIF($F$5:$F$2407,F808)=1,"OK","Дубликат")</f>
        <v/>
      </c>
    </row>
    <row r="809" ht="38" customHeight="1">
      <c r="A809" s="146" t="inlineStr">
        <is>
          <t>SUB-L3-12-25</t>
        </is>
      </c>
      <c r="B809" s="39" t="inlineStr">
        <is>
          <t>3 уровень</t>
        </is>
      </c>
      <c r="C809" s="34" t="inlineStr">
        <is>
          <t>Закрытые условия на абонементы</t>
        </is>
      </c>
      <c r="D809" s="34" t="inlineStr">
        <is>
          <t>Скидка 25% на абонемент 12 занятий</t>
        </is>
      </c>
      <c r="E809" s="34" t="inlineStr">
        <is>
          <t>При покупке абонемента на 12 занятий</t>
        </is>
      </c>
      <c r="F809" s="147" t="inlineStr">
        <is>
          <t>FW-L3-NEQM2-7JZ2Q</t>
        </is>
      </c>
      <c r="G809" s="39" t="inlineStr">
        <is>
          <t>Не использован</t>
        </is>
      </c>
      <c r="H809" s="148" t="n"/>
      <c r="I809" s="34" t="str"/>
      <c r="J809" s="34" t="str"/>
      <c r="K809" s="130" t="n">
        <v>5</v>
      </c>
      <c r="L809" s="43">
        <f>IF(COUNTIF($F$5:$F$2407,F809)=1,"OK","Дубликат")</f>
        <v/>
      </c>
    </row>
    <row r="810" ht="38" customHeight="1">
      <c r="A810" s="146" t="inlineStr">
        <is>
          <t>SUB-L3-12-25</t>
        </is>
      </c>
      <c r="B810" s="39" t="inlineStr">
        <is>
          <t>3 уровень</t>
        </is>
      </c>
      <c r="C810" s="34" t="inlineStr">
        <is>
          <t>Закрытые условия на абонементы</t>
        </is>
      </c>
      <c r="D810" s="34" t="inlineStr">
        <is>
          <t>Скидка 25% на абонемент 12 занятий</t>
        </is>
      </c>
      <c r="E810" s="34" t="inlineStr">
        <is>
          <t>При покупке абонемента на 12 занятий</t>
        </is>
      </c>
      <c r="F810" s="147" t="inlineStr">
        <is>
          <t>FW-L3-47YC9-C8B87</t>
        </is>
      </c>
      <c r="G810" s="39" t="inlineStr">
        <is>
          <t>Не использован</t>
        </is>
      </c>
      <c r="H810" s="148" t="n"/>
      <c r="I810" s="34" t="str"/>
      <c r="J810" s="34" t="str"/>
      <c r="K810" s="130" t="n">
        <v>6</v>
      </c>
      <c r="L810" s="43">
        <f>IF(COUNTIF($F$5:$F$2407,F810)=1,"OK","Дубликат")</f>
        <v/>
      </c>
    </row>
    <row r="811" ht="38" customHeight="1">
      <c r="A811" s="146" t="inlineStr">
        <is>
          <t>SUB-L3-12-25</t>
        </is>
      </c>
      <c r="B811" s="39" t="inlineStr">
        <is>
          <t>3 уровень</t>
        </is>
      </c>
      <c r="C811" s="34" t="inlineStr">
        <is>
          <t>Закрытые условия на абонементы</t>
        </is>
      </c>
      <c r="D811" s="34" t="inlineStr">
        <is>
          <t>Скидка 25% на абонемент 12 занятий</t>
        </is>
      </c>
      <c r="E811" s="34" t="inlineStr">
        <is>
          <t>При покупке абонемента на 12 занятий</t>
        </is>
      </c>
      <c r="F811" s="147" t="inlineStr">
        <is>
          <t>FW-L3-5X5NG-B86VC</t>
        </is>
      </c>
      <c r="G811" s="39" t="inlineStr">
        <is>
          <t>Не использован</t>
        </is>
      </c>
      <c r="H811" s="148" t="n"/>
      <c r="I811" s="34" t="str"/>
      <c r="J811" s="34" t="str"/>
      <c r="K811" s="130" t="n">
        <v>7</v>
      </c>
      <c r="L811" s="43">
        <f>IF(COUNTIF($F$5:$F$2407,F811)=1,"OK","Дубликат")</f>
        <v/>
      </c>
    </row>
    <row r="812" ht="38" customHeight="1">
      <c r="A812" s="146" t="inlineStr">
        <is>
          <t>SUB-L3-12-25</t>
        </is>
      </c>
      <c r="B812" s="39" t="inlineStr">
        <is>
          <t>3 уровень</t>
        </is>
      </c>
      <c r="C812" s="34" t="inlineStr">
        <is>
          <t>Закрытые условия на абонементы</t>
        </is>
      </c>
      <c r="D812" s="34" t="inlineStr">
        <is>
          <t>Скидка 25% на абонемент 12 занятий</t>
        </is>
      </c>
      <c r="E812" s="34" t="inlineStr">
        <is>
          <t>При покупке абонемента на 12 занятий</t>
        </is>
      </c>
      <c r="F812" s="147" t="inlineStr">
        <is>
          <t>FW-L3-96ATE-ZXBCU</t>
        </is>
      </c>
      <c r="G812" s="39" t="inlineStr">
        <is>
          <t>Не использован</t>
        </is>
      </c>
      <c r="H812" s="148" t="n"/>
      <c r="I812" s="34" t="str"/>
      <c r="J812" s="34" t="str"/>
      <c r="K812" s="130" t="n">
        <v>8</v>
      </c>
      <c r="L812" s="43">
        <f>IF(COUNTIF($F$5:$F$2407,F812)=1,"OK","Дубликат")</f>
        <v/>
      </c>
    </row>
    <row r="813" ht="38" customHeight="1">
      <c r="A813" s="146" t="inlineStr">
        <is>
          <t>SUB-L3-12-25</t>
        </is>
      </c>
      <c r="B813" s="39" t="inlineStr">
        <is>
          <t>3 уровень</t>
        </is>
      </c>
      <c r="C813" s="34" t="inlineStr">
        <is>
          <t>Закрытые условия на абонементы</t>
        </is>
      </c>
      <c r="D813" s="34" t="inlineStr">
        <is>
          <t>Скидка 25% на абонемент 12 занятий</t>
        </is>
      </c>
      <c r="E813" s="34" t="inlineStr">
        <is>
          <t>При покупке абонемента на 12 занятий</t>
        </is>
      </c>
      <c r="F813" s="147" t="inlineStr">
        <is>
          <t>FW-L3-S7Z77-DKWKZ</t>
        </is>
      </c>
      <c r="G813" s="39" t="inlineStr">
        <is>
          <t>Не использован</t>
        </is>
      </c>
      <c r="H813" s="148" t="n"/>
      <c r="I813" s="34" t="str"/>
      <c r="J813" s="34" t="str"/>
      <c r="K813" s="130" t="n">
        <v>9</v>
      </c>
      <c r="L813" s="43">
        <f>IF(COUNTIF($F$5:$F$2407,F813)=1,"OK","Дубликат")</f>
        <v/>
      </c>
    </row>
    <row r="814" ht="38" customHeight="1">
      <c r="A814" s="146" t="inlineStr">
        <is>
          <t>SUB-L3-12-25</t>
        </is>
      </c>
      <c r="B814" s="39" t="inlineStr">
        <is>
          <t>3 уровень</t>
        </is>
      </c>
      <c r="C814" s="34" t="inlineStr">
        <is>
          <t>Закрытые условия на абонементы</t>
        </is>
      </c>
      <c r="D814" s="34" t="inlineStr">
        <is>
          <t>Скидка 25% на абонемент 12 занятий</t>
        </is>
      </c>
      <c r="E814" s="34" t="inlineStr">
        <is>
          <t>При покупке абонемента на 12 занятий</t>
        </is>
      </c>
      <c r="F814" s="147" t="inlineStr">
        <is>
          <t>FW-L3-PDD54-CW2TB</t>
        </is>
      </c>
      <c r="G814" s="39" t="inlineStr">
        <is>
          <t>Не использован</t>
        </is>
      </c>
      <c r="H814" s="148" t="n"/>
      <c r="I814" s="34" t="str"/>
      <c r="J814" s="34" t="str"/>
      <c r="K814" s="130" t="n">
        <v>10</v>
      </c>
      <c r="L814" s="43">
        <f>IF(COUNTIF($F$5:$F$2407,F814)=1,"OK","Дубликат")</f>
        <v/>
      </c>
    </row>
    <row r="815" ht="38" customHeight="1">
      <c r="A815" s="146" t="inlineStr">
        <is>
          <t>SUB-L3-12-25</t>
        </is>
      </c>
      <c r="B815" s="39" t="inlineStr">
        <is>
          <t>3 уровень</t>
        </is>
      </c>
      <c r="C815" s="34" t="inlineStr">
        <is>
          <t>Закрытые условия на абонементы</t>
        </is>
      </c>
      <c r="D815" s="34" t="inlineStr">
        <is>
          <t>Скидка 25% на абонемент 12 занятий</t>
        </is>
      </c>
      <c r="E815" s="34" t="inlineStr">
        <is>
          <t>При покупке абонемента на 12 занятий</t>
        </is>
      </c>
      <c r="F815" s="147" t="inlineStr">
        <is>
          <t>FW-L3-FNEYT-HQEJ6</t>
        </is>
      </c>
      <c r="G815" s="39" t="inlineStr">
        <is>
          <t>Не использован</t>
        </is>
      </c>
      <c r="H815" s="148" t="n"/>
      <c r="I815" s="34" t="str"/>
      <c r="J815" s="34" t="str"/>
      <c r="K815" s="130" t="n">
        <v>11</v>
      </c>
      <c r="L815" s="43">
        <f>IF(COUNTIF($F$5:$F$2407,F815)=1,"OK","Дубликат")</f>
        <v/>
      </c>
    </row>
    <row r="816" ht="38" customHeight="1">
      <c r="A816" s="146" t="inlineStr">
        <is>
          <t>SUB-L3-12-25</t>
        </is>
      </c>
      <c r="B816" s="39" t="inlineStr">
        <is>
          <t>3 уровень</t>
        </is>
      </c>
      <c r="C816" s="34" t="inlineStr">
        <is>
          <t>Закрытые условия на абонементы</t>
        </is>
      </c>
      <c r="D816" s="34" t="inlineStr">
        <is>
          <t>Скидка 25% на абонемент 12 занятий</t>
        </is>
      </c>
      <c r="E816" s="34" t="inlineStr">
        <is>
          <t>При покупке абонемента на 12 занятий</t>
        </is>
      </c>
      <c r="F816" s="147" t="inlineStr">
        <is>
          <t>FW-L3-PK36Z-AJK9X</t>
        </is>
      </c>
      <c r="G816" s="39" t="inlineStr">
        <is>
          <t>Не использован</t>
        </is>
      </c>
      <c r="H816" s="148" t="n"/>
      <c r="I816" s="34" t="str"/>
      <c r="J816" s="34" t="str"/>
      <c r="K816" s="130" t="n">
        <v>12</v>
      </c>
      <c r="L816" s="43">
        <f>IF(COUNTIF($F$5:$F$2407,F816)=1,"OK","Дубликат")</f>
        <v/>
      </c>
    </row>
    <row r="817" ht="38" customHeight="1">
      <c r="A817" s="146" t="inlineStr">
        <is>
          <t>SUB-L3-12-25</t>
        </is>
      </c>
      <c r="B817" s="39" t="inlineStr">
        <is>
          <t>3 уровень</t>
        </is>
      </c>
      <c r="C817" s="34" t="inlineStr">
        <is>
          <t>Закрытые условия на абонементы</t>
        </is>
      </c>
      <c r="D817" s="34" t="inlineStr">
        <is>
          <t>Скидка 25% на абонемент 12 занятий</t>
        </is>
      </c>
      <c r="E817" s="34" t="inlineStr">
        <is>
          <t>При покупке абонемента на 12 занятий</t>
        </is>
      </c>
      <c r="F817" s="147" t="inlineStr">
        <is>
          <t>FW-L3-65QLK-WVC76</t>
        </is>
      </c>
      <c r="G817" s="39" t="inlineStr">
        <is>
          <t>Не использован</t>
        </is>
      </c>
      <c r="H817" s="148" t="n"/>
      <c r="I817" s="34" t="str"/>
      <c r="J817" s="34" t="str"/>
      <c r="K817" s="130" t="n">
        <v>13</v>
      </c>
      <c r="L817" s="43">
        <f>IF(COUNTIF($F$5:$F$2407,F817)=1,"OK","Дубликат")</f>
        <v/>
      </c>
    </row>
    <row r="818" ht="38" customHeight="1">
      <c r="A818" s="146" t="inlineStr">
        <is>
          <t>SUB-L3-12-25</t>
        </is>
      </c>
      <c r="B818" s="39" t="inlineStr">
        <is>
          <t>3 уровень</t>
        </is>
      </c>
      <c r="C818" s="34" t="inlineStr">
        <is>
          <t>Закрытые условия на абонементы</t>
        </is>
      </c>
      <c r="D818" s="34" t="inlineStr">
        <is>
          <t>Скидка 25% на абонемент 12 занятий</t>
        </is>
      </c>
      <c r="E818" s="34" t="inlineStr">
        <is>
          <t>При покупке абонемента на 12 занятий</t>
        </is>
      </c>
      <c r="F818" s="147" t="inlineStr">
        <is>
          <t>FW-L3-GYU75-ZWZX5</t>
        </is>
      </c>
      <c r="G818" s="39" t="inlineStr">
        <is>
          <t>Не использован</t>
        </is>
      </c>
      <c r="H818" s="148" t="n"/>
      <c r="I818" s="34" t="str"/>
      <c r="J818" s="34" t="str"/>
      <c r="K818" s="130" t="n">
        <v>14</v>
      </c>
      <c r="L818" s="43">
        <f>IF(COUNTIF($F$5:$F$2407,F818)=1,"OK","Дубликат")</f>
        <v/>
      </c>
    </row>
    <row r="819" ht="38" customHeight="1">
      <c r="A819" s="146" t="inlineStr">
        <is>
          <t>SUB-L3-12-25</t>
        </is>
      </c>
      <c r="B819" s="39" t="inlineStr">
        <is>
          <t>3 уровень</t>
        </is>
      </c>
      <c r="C819" s="34" t="inlineStr">
        <is>
          <t>Закрытые условия на абонементы</t>
        </is>
      </c>
      <c r="D819" s="34" t="inlineStr">
        <is>
          <t>Скидка 25% на абонемент 12 занятий</t>
        </is>
      </c>
      <c r="E819" s="34" t="inlineStr">
        <is>
          <t>При покупке абонемента на 12 занятий</t>
        </is>
      </c>
      <c r="F819" s="147" t="inlineStr">
        <is>
          <t>FW-L3-U92ZZ-JJ58N</t>
        </is>
      </c>
      <c r="G819" s="39" t="inlineStr">
        <is>
          <t>Не использован</t>
        </is>
      </c>
      <c r="H819" s="148" t="n"/>
      <c r="I819" s="34" t="str"/>
      <c r="J819" s="34" t="str"/>
      <c r="K819" s="130" t="n">
        <v>15</v>
      </c>
      <c r="L819" s="43">
        <f>IF(COUNTIF($F$5:$F$2407,F819)=1,"OK","Дубликат")</f>
        <v/>
      </c>
    </row>
    <row r="820" ht="38" customHeight="1">
      <c r="A820" s="146" t="inlineStr">
        <is>
          <t>SUB-L3-12-25</t>
        </is>
      </c>
      <c r="B820" s="39" t="inlineStr">
        <is>
          <t>3 уровень</t>
        </is>
      </c>
      <c r="C820" s="34" t="inlineStr">
        <is>
          <t>Закрытые условия на абонементы</t>
        </is>
      </c>
      <c r="D820" s="34" t="inlineStr">
        <is>
          <t>Скидка 25% на абонемент 12 занятий</t>
        </is>
      </c>
      <c r="E820" s="34" t="inlineStr">
        <is>
          <t>При покупке абонемента на 12 занятий</t>
        </is>
      </c>
      <c r="F820" s="147" t="inlineStr">
        <is>
          <t>FW-L3-TF73G-GNZG2</t>
        </is>
      </c>
      <c r="G820" s="39" t="inlineStr">
        <is>
          <t>Не использован</t>
        </is>
      </c>
      <c r="H820" s="148" t="n"/>
      <c r="I820" s="34" t="str"/>
      <c r="J820" s="34" t="str"/>
      <c r="K820" s="130" t="n">
        <v>16</v>
      </c>
      <c r="L820" s="43">
        <f>IF(COUNTIF($F$5:$F$2407,F820)=1,"OK","Дубликат")</f>
        <v/>
      </c>
    </row>
    <row r="821" ht="38" customHeight="1">
      <c r="A821" s="146" t="inlineStr">
        <is>
          <t>SUB-L3-12-25</t>
        </is>
      </c>
      <c r="B821" s="39" t="inlineStr">
        <is>
          <t>3 уровень</t>
        </is>
      </c>
      <c r="C821" s="34" t="inlineStr">
        <is>
          <t>Закрытые условия на абонементы</t>
        </is>
      </c>
      <c r="D821" s="34" t="inlineStr">
        <is>
          <t>Скидка 25% на абонемент 12 занятий</t>
        </is>
      </c>
      <c r="E821" s="34" t="inlineStr">
        <is>
          <t>При покупке абонемента на 12 занятий</t>
        </is>
      </c>
      <c r="F821" s="147" t="inlineStr">
        <is>
          <t>FW-L3-HVA5D-D4A44</t>
        </is>
      </c>
      <c r="G821" s="39" t="inlineStr">
        <is>
          <t>Не использован</t>
        </is>
      </c>
      <c r="H821" s="148" t="n"/>
      <c r="I821" s="34" t="str"/>
      <c r="J821" s="34" t="str"/>
      <c r="K821" s="130" t="n">
        <v>17</v>
      </c>
      <c r="L821" s="43">
        <f>IF(COUNTIF($F$5:$F$2407,F821)=1,"OK","Дубликат")</f>
        <v/>
      </c>
    </row>
    <row r="822" ht="38" customHeight="1">
      <c r="A822" s="146" t="inlineStr">
        <is>
          <t>SUB-L3-12-25</t>
        </is>
      </c>
      <c r="B822" s="39" t="inlineStr">
        <is>
          <t>3 уровень</t>
        </is>
      </c>
      <c r="C822" s="34" t="inlineStr">
        <is>
          <t>Закрытые условия на абонементы</t>
        </is>
      </c>
      <c r="D822" s="34" t="inlineStr">
        <is>
          <t>Скидка 25% на абонемент 12 занятий</t>
        </is>
      </c>
      <c r="E822" s="34" t="inlineStr">
        <is>
          <t>При покупке абонемента на 12 занятий</t>
        </is>
      </c>
      <c r="F822" s="147" t="inlineStr">
        <is>
          <t>FW-L3-LJGMV-VRJDE</t>
        </is>
      </c>
      <c r="G822" s="39" t="inlineStr">
        <is>
          <t>Не использован</t>
        </is>
      </c>
      <c r="H822" s="148" t="n"/>
      <c r="I822" s="34" t="str"/>
      <c r="J822" s="34" t="str"/>
      <c r="K822" s="130" t="n">
        <v>18</v>
      </c>
      <c r="L822" s="43">
        <f>IF(COUNTIF($F$5:$F$2407,F822)=1,"OK","Дубликат")</f>
        <v/>
      </c>
    </row>
    <row r="823" ht="38" customHeight="1">
      <c r="A823" s="146" t="inlineStr">
        <is>
          <t>SUB-L3-12-25</t>
        </is>
      </c>
      <c r="B823" s="39" t="inlineStr">
        <is>
          <t>3 уровень</t>
        </is>
      </c>
      <c r="C823" s="34" t="inlineStr">
        <is>
          <t>Закрытые условия на абонементы</t>
        </is>
      </c>
      <c r="D823" s="34" t="inlineStr">
        <is>
          <t>Скидка 25% на абонемент 12 занятий</t>
        </is>
      </c>
      <c r="E823" s="34" t="inlineStr">
        <is>
          <t>При покупке абонемента на 12 занятий</t>
        </is>
      </c>
      <c r="F823" s="147" t="inlineStr">
        <is>
          <t>FW-L3-TYVG3-LCQ7N</t>
        </is>
      </c>
      <c r="G823" s="39" t="inlineStr">
        <is>
          <t>Не использован</t>
        </is>
      </c>
      <c r="H823" s="148" t="n"/>
      <c r="I823" s="34" t="str"/>
      <c r="J823" s="34" t="str"/>
      <c r="K823" s="130" t="n">
        <v>19</v>
      </c>
      <c r="L823" s="43">
        <f>IF(COUNTIF($F$5:$F$2407,F823)=1,"OK","Дубликат")</f>
        <v/>
      </c>
    </row>
    <row r="824" ht="38" customHeight="1">
      <c r="A824" s="146" t="inlineStr">
        <is>
          <t>SUB-L3-12-25</t>
        </is>
      </c>
      <c r="B824" s="39" t="inlineStr">
        <is>
          <t>3 уровень</t>
        </is>
      </c>
      <c r="C824" s="34" t="inlineStr">
        <is>
          <t>Закрытые условия на абонементы</t>
        </is>
      </c>
      <c r="D824" s="34" t="inlineStr">
        <is>
          <t>Скидка 25% на абонемент 12 занятий</t>
        </is>
      </c>
      <c r="E824" s="34" t="inlineStr">
        <is>
          <t>При покупке абонемента на 12 занятий</t>
        </is>
      </c>
      <c r="F824" s="147" t="inlineStr">
        <is>
          <t>FW-L3-BCK5K-H7NM5</t>
        </is>
      </c>
      <c r="G824" s="39" t="inlineStr">
        <is>
          <t>Не использован</t>
        </is>
      </c>
      <c r="H824" s="148" t="n"/>
      <c r="I824" s="34" t="str"/>
      <c r="J824" s="34" t="str"/>
      <c r="K824" s="130" t="n">
        <v>20</v>
      </c>
      <c r="L824" s="43">
        <f>IF(COUNTIF($F$5:$F$2407,F824)=1,"OK","Дубликат")</f>
        <v/>
      </c>
    </row>
    <row r="825" ht="38" customHeight="1">
      <c r="A825" s="146" t="inlineStr">
        <is>
          <t>SUB-L3-12-25</t>
        </is>
      </c>
      <c r="B825" s="39" t="inlineStr">
        <is>
          <t>3 уровень</t>
        </is>
      </c>
      <c r="C825" s="34" t="inlineStr">
        <is>
          <t>Закрытые условия на абонементы</t>
        </is>
      </c>
      <c r="D825" s="34" t="inlineStr">
        <is>
          <t>Скидка 25% на абонемент 12 занятий</t>
        </is>
      </c>
      <c r="E825" s="34" t="inlineStr">
        <is>
          <t>При покупке абонемента на 12 занятий</t>
        </is>
      </c>
      <c r="F825" s="147" t="inlineStr">
        <is>
          <t>FW-L3-7TJNT-KN58W</t>
        </is>
      </c>
      <c r="G825" s="39" t="inlineStr">
        <is>
          <t>Не использован</t>
        </is>
      </c>
      <c r="H825" s="148" t="n"/>
      <c r="I825" s="34" t="str"/>
      <c r="J825" s="34" t="str"/>
      <c r="K825" s="130" t="n">
        <v>21</v>
      </c>
      <c r="L825" s="43">
        <f>IF(COUNTIF($F$5:$F$2407,F825)=1,"OK","Дубликат")</f>
        <v/>
      </c>
    </row>
    <row r="826" ht="38" customHeight="1">
      <c r="A826" s="146" t="inlineStr">
        <is>
          <t>SUB-L3-12-25</t>
        </is>
      </c>
      <c r="B826" s="39" t="inlineStr">
        <is>
          <t>3 уровень</t>
        </is>
      </c>
      <c r="C826" s="34" t="inlineStr">
        <is>
          <t>Закрытые условия на абонементы</t>
        </is>
      </c>
      <c r="D826" s="34" t="inlineStr">
        <is>
          <t>Скидка 25% на абонемент 12 занятий</t>
        </is>
      </c>
      <c r="E826" s="34" t="inlineStr">
        <is>
          <t>При покупке абонемента на 12 занятий</t>
        </is>
      </c>
      <c r="F826" s="147" t="inlineStr">
        <is>
          <t>FW-L3-UELFV-6W6NB</t>
        </is>
      </c>
      <c r="G826" s="39" t="inlineStr">
        <is>
          <t>Не использован</t>
        </is>
      </c>
      <c r="H826" s="148" t="n"/>
      <c r="I826" s="34" t="str"/>
      <c r="J826" s="34" t="str"/>
      <c r="K826" s="130" t="n">
        <v>22</v>
      </c>
      <c r="L826" s="43">
        <f>IF(COUNTIF($F$5:$F$2407,F826)=1,"OK","Дубликат")</f>
        <v/>
      </c>
    </row>
    <row r="827" ht="38" customHeight="1">
      <c r="A827" s="146" t="inlineStr">
        <is>
          <t>SUB-L3-12-25</t>
        </is>
      </c>
      <c r="B827" s="39" t="inlineStr">
        <is>
          <t>3 уровень</t>
        </is>
      </c>
      <c r="C827" s="34" t="inlineStr">
        <is>
          <t>Закрытые условия на абонементы</t>
        </is>
      </c>
      <c r="D827" s="34" t="inlineStr">
        <is>
          <t>Скидка 25% на абонемент 12 занятий</t>
        </is>
      </c>
      <c r="E827" s="34" t="inlineStr">
        <is>
          <t>При покупке абонемента на 12 занятий</t>
        </is>
      </c>
      <c r="F827" s="147" t="inlineStr">
        <is>
          <t>FW-L3-XSRXE-QP2KD</t>
        </is>
      </c>
      <c r="G827" s="39" t="inlineStr">
        <is>
          <t>Не использован</t>
        </is>
      </c>
      <c r="H827" s="148" t="n"/>
      <c r="I827" s="34" t="str"/>
      <c r="J827" s="34" t="str"/>
      <c r="K827" s="130" t="n">
        <v>23</v>
      </c>
      <c r="L827" s="43">
        <f>IF(COUNTIF($F$5:$F$2407,F827)=1,"OK","Дубликат")</f>
        <v/>
      </c>
    </row>
    <row r="828" ht="38" customHeight="1">
      <c r="A828" s="146" t="inlineStr">
        <is>
          <t>SUB-L3-12-25</t>
        </is>
      </c>
      <c r="B828" s="39" t="inlineStr">
        <is>
          <t>3 уровень</t>
        </is>
      </c>
      <c r="C828" s="34" t="inlineStr">
        <is>
          <t>Закрытые условия на абонементы</t>
        </is>
      </c>
      <c r="D828" s="34" t="inlineStr">
        <is>
          <t>Скидка 25% на абонемент 12 занятий</t>
        </is>
      </c>
      <c r="E828" s="34" t="inlineStr">
        <is>
          <t>При покупке абонемента на 12 занятий</t>
        </is>
      </c>
      <c r="F828" s="147" t="inlineStr">
        <is>
          <t>FW-L3-U593M-SSPZH</t>
        </is>
      </c>
      <c r="G828" s="39" t="inlineStr">
        <is>
          <t>Не использован</t>
        </is>
      </c>
      <c r="H828" s="148" t="n"/>
      <c r="I828" s="34" t="str"/>
      <c r="J828" s="34" t="str"/>
      <c r="K828" s="130" t="n">
        <v>24</v>
      </c>
      <c r="L828" s="43">
        <f>IF(COUNTIF($F$5:$F$2407,F828)=1,"OK","Дубликат")</f>
        <v/>
      </c>
    </row>
    <row r="829" ht="38" customHeight="1">
      <c r="A829" s="146" t="inlineStr">
        <is>
          <t>SUB-L3-12-25</t>
        </is>
      </c>
      <c r="B829" s="39" t="inlineStr">
        <is>
          <t>3 уровень</t>
        </is>
      </c>
      <c r="C829" s="34" t="inlineStr">
        <is>
          <t>Закрытые условия на абонементы</t>
        </is>
      </c>
      <c r="D829" s="34" t="inlineStr">
        <is>
          <t>Скидка 25% на абонемент 12 занятий</t>
        </is>
      </c>
      <c r="E829" s="34" t="inlineStr">
        <is>
          <t>При покупке абонемента на 12 занятий</t>
        </is>
      </c>
      <c r="F829" s="147" t="inlineStr">
        <is>
          <t>FW-L3-WP8PE-CV2YY</t>
        </is>
      </c>
      <c r="G829" s="39" t="inlineStr">
        <is>
          <t>Не использован</t>
        </is>
      </c>
      <c r="H829" s="148" t="n"/>
      <c r="I829" s="34" t="str"/>
      <c r="J829" s="34" t="str"/>
      <c r="K829" s="130" t="n">
        <v>25</v>
      </c>
      <c r="L829" s="43">
        <f>IF(COUNTIF($F$5:$F$2407,F829)=1,"OK","Дубликат")</f>
        <v/>
      </c>
    </row>
    <row r="830" ht="38" customHeight="1">
      <c r="A830" s="146" t="inlineStr">
        <is>
          <t>SUB-L3-12-25</t>
        </is>
      </c>
      <c r="B830" s="39" t="inlineStr">
        <is>
          <t>3 уровень</t>
        </is>
      </c>
      <c r="C830" s="34" t="inlineStr">
        <is>
          <t>Закрытые условия на абонементы</t>
        </is>
      </c>
      <c r="D830" s="34" t="inlineStr">
        <is>
          <t>Скидка 25% на абонемент 12 занятий</t>
        </is>
      </c>
      <c r="E830" s="34" t="inlineStr">
        <is>
          <t>При покупке абонемента на 12 занятий</t>
        </is>
      </c>
      <c r="F830" s="147" t="inlineStr">
        <is>
          <t>FW-L3-2N9R6-F74BZ</t>
        </is>
      </c>
      <c r="G830" s="39" t="inlineStr">
        <is>
          <t>Не использован</t>
        </is>
      </c>
      <c r="H830" s="148" t="n"/>
      <c r="I830" s="34" t="str"/>
      <c r="J830" s="34" t="str"/>
      <c r="K830" s="130" t="n">
        <v>26</v>
      </c>
      <c r="L830" s="43">
        <f>IF(COUNTIF($F$5:$F$2407,F830)=1,"OK","Дубликат")</f>
        <v/>
      </c>
    </row>
    <row r="831" ht="38" customHeight="1">
      <c r="A831" s="146" t="inlineStr">
        <is>
          <t>SUB-L3-12-25</t>
        </is>
      </c>
      <c r="B831" s="39" t="inlineStr">
        <is>
          <t>3 уровень</t>
        </is>
      </c>
      <c r="C831" s="34" t="inlineStr">
        <is>
          <t>Закрытые условия на абонементы</t>
        </is>
      </c>
      <c r="D831" s="34" t="inlineStr">
        <is>
          <t>Скидка 25% на абонемент 12 занятий</t>
        </is>
      </c>
      <c r="E831" s="34" t="inlineStr">
        <is>
          <t>При покупке абонемента на 12 занятий</t>
        </is>
      </c>
      <c r="F831" s="147" t="inlineStr">
        <is>
          <t>FW-L3-7NJ2N-Q5NHR</t>
        </is>
      </c>
      <c r="G831" s="39" t="inlineStr">
        <is>
          <t>Не использован</t>
        </is>
      </c>
      <c r="H831" s="148" t="n"/>
      <c r="I831" s="34" t="str"/>
      <c r="J831" s="34" t="str"/>
      <c r="K831" s="130" t="n">
        <v>27</v>
      </c>
      <c r="L831" s="43">
        <f>IF(COUNTIF($F$5:$F$2407,F831)=1,"OK","Дубликат")</f>
        <v/>
      </c>
    </row>
    <row r="832" ht="38" customHeight="1">
      <c r="A832" s="146" t="inlineStr">
        <is>
          <t>SUB-L3-12-25</t>
        </is>
      </c>
      <c r="B832" s="39" t="inlineStr">
        <is>
          <t>3 уровень</t>
        </is>
      </c>
      <c r="C832" s="34" t="inlineStr">
        <is>
          <t>Закрытые условия на абонементы</t>
        </is>
      </c>
      <c r="D832" s="34" t="inlineStr">
        <is>
          <t>Скидка 25% на абонемент 12 занятий</t>
        </is>
      </c>
      <c r="E832" s="34" t="inlineStr">
        <is>
          <t>При покупке абонемента на 12 занятий</t>
        </is>
      </c>
      <c r="F832" s="147" t="inlineStr">
        <is>
          <t>FW-L3-J767N-XCF9K</t>
        </is>
      </c>
      <c r="G832" s="39" t="inlineStr">
        <is>
          <t>Не использован</t>
        </is>
      </c>
      <c r="H832" s="148" t="n"/>
      <c r="I832" s="34" t="str"/>
      <c r="J832" s="34" t="str"/>
      <c r="K832" s="130" t="n">
        <v>28</v>
      </c>
      <c r="L832" s="43">
        <f>IF(COUNTIF($F$5:$F$2407,F832)=1,"OK","Дубликат")</f>
        <v/>
      </c>
    </row>
    <row r="833" ht="38" customHeight="1">
      <c r="A833" s="146" t="inlineStr">
        <is>
          <t>SUB-L3-12-25</t>
        </is>
      </c>
      <c r="B833" s="39" t="inlineStr">
        <is>
          <t>3 уровень</t>
        </is>
      </c>
      <c r="C833" s="34" t="inlineStr">
        <is>
          <t>Закрытые условия на абонементы</t>
        </is>
      </c>
      <c r="D833" s="34" t="inlineStr">
        <is>
          <t>Скидка 25% на абонемент 12 занятий</t>
        </is>
      </c>
      <c r="E833" s="34" t="inlineStr">
        <is>
          <t>При покупке абонемента на 12 занятий</t>
        </is>
      </c>
      <c r="F833" s="147" t="inlineStr">
        <is>
          <t>FW-L3-KKMZH-HMENU</t>
        </is>
      </c>
      <c r="G833" s="39" t="inlineStr">
        <is>
          <t>Не использован</t>
        </is>
      </c>
      <c r="H833" s="148" t="n"/>
      <c r="I833" s="34" t="str"/>
      <c r="J833" s="34" t="str"/>
      <c r="K833" s="130" t="n">
        <v>29</v>
      </c>
      <c r="L833" s="43">
        <f>IF(COUNTIF($F$5:$F$2407,F833)=1,"OK","Дубликат")</f>
        <v/>
      </c>
    </row>
    <row r="834" ht="38" customHeight="1">
      <c r="A834" s="146" t="inlineStr">
        <is>
          <t>SUB-L3-12-25</t>
        </is>
      </c>
      <c r="B834" s="39" t="inlineStr">
        <is>
          <t>3 уровень</t>
        </is>
      </c>
      <c r="C834" s="34" t="inlineStr">
        <is>
          <t>Закрытые условия на абонементы</t>
        </is>
      </c>
      <c r="D834" s="34" t="inlineStr">
        <is>
          <t>Скидка 25% на абонемент 12 занятий</t>
        </is>
      </c>
      <c r="E834" s="34" t="inlineStr">
        <is>
          <t>При покупке абонемента на 12 занятий</t>
        </is>
      </c>
      <c r="F834" s="147" t="inlineStr">
        <is>
          <t>FW-L3-PFU6U-78NZW</t>
        </is>
      </c>
      <c r="G834" s="39" t="inlineStr">
        <is>
          <t>Не использован</t>
        </is>
      </c>
      <c r="H834" s="148" t="n"/>
      <c r="I834" s="34" t="str"/>
      <c r="J834" s="34" t="str"/>
      <c r="K834" s="130" t="n">
        <v>30</v>
      </c>
      <c r="L834" s="43">
        <f>IF(COUNTIF($F$5:$F$2407,F834)=1,"OK","Дубликат")</f>
        <v/>
      </c>
    </row>
    <row r="835" ht="38" customHeight="1">
      <c r="A835" s="146" t="inlineStr">
        <is>
          <t>SUB-L3-12-25</t>
        </is>
      </c>
      <c r="B835" s="39" t="inlineStr">
        <is>
          <t>3 уровень</t>
        </is>
      </c>
      <c r="C835" s="34" t="inlineStr">
        <is>
          <t>Закрытые условия на абонементы</t>
        </is>
      </c>
      <c r="D835" s="34" t="inlineStr">
        <is>
          <t>Скидка 25% на абонемент 12 занятий</t>
        </is>
      </c>
      <c r="E835" s="34" t="inlineStr">
        <is>
          <t>При покупке абонемента на 12 занятий</t>
        </is>
      </c>
      <c r="F835" s="147" t="inlineStr">
        <is>
          <t>FW-L3-CKFB8-5S2FS</t>
        </is>
      </c>
      <c r="G835" s="39" t="inlineStr">
        <is>
          <t>Не использован</t>
        </is>
      </c>
      <c r="H835" s="148" t="n"/>
      <c r="I835" s="34" t="str"/>
      <c r="J835" s="34" t="str"/>
      <c r="K835" s="130" t="n">
        <v>31</v>
      </c>
      <c r="L835" s="43">
        <f>IF(COUNTIF($F$5:$F$2407,F835)=1,"OK","Дубликат")</f>
        <v/>
      </c>
    </row>
    <row r="836" ht="38" customHeight="1">
      <c r="A836" s="146" t="inlineStr">
        <is>
          <t>SUB-L3-12-25</t>
        </is>
      </c>
      <c r="B836" s="39" t="inlineStr">
        <is>
          <t>3 уровень</t>
        </is>
      </c>
      <c r="C836" s="34" t="inlineStr">
        <is>
          <t>Закрытые условия на абонементы</t>
        </is>
      </c>
      <c r="D836" s="34" t="inlineStr">
        <is>
          <t>Скидка 25% на абонемент 12 занятий</t>
        </is>
      </c>
      <c r="E836" s="34" t="inlineStr">
        <is>
          <t>При покупке абонемента на 12 занятий</t>
        </is>
      </c>
      <c r="F836" s="147" t="inlineStr">
        <is>
          <t>FW-L3-ZM2MX-5T2Y7</t>
        </is>
      </c>
      <c r="G836" s="39" t="inlineStr">
        <is>
          <t>Не использован</t>
        </is>
      </c>
      <c r="H836" s="148" t="n"/>
      <c r="I836" s="34" t="str"/>
      <c r="J836" s="34" t="str"/>
      <c r="K836" s="130" t="n">
        <v>32</v>
      </c>
      <c r="L836" s="43">
        <f>IF(COUNTIF($F$5:$F$2407,F836)=1,"OK","Дубликат")</f>
        <v/>
      </c>
    </row>
    <row r="837" ht="38" customHeight="1">
      <c r="A837" s="146" t="inlineStr">
        <is>
          <t>SUB-L3-12-25</t>
        </is>
      </c>
      <c r="B837" s="39" t="inlineStr">
        <is>
          <t>3 уровень</t>
        </is>
      </c>
      <c r="C837" s="34" t="inlineStr">
        <is>
          <t>Закрытые условия на абонементы</t>
        </is>
      </c>
      <c r="D837" s="34" t="inlineStr">
        <is>
          <t>Скидка 25% на абонемент 12 занятий</t>
        </is>
      </c>
      <c r="E837" s="34" t="inlineStr">
        <is>
          <t>При покупке абонемента на 12 занятий</t>
        </is>
      </c>
      <c r="F837" s="147" t="inlineStr">
        <is>
          <t>FW-L3-2FP45-9DS8X</t>
        </is>
      </c>
      <c r="G837" s="39" t="inlineStr">
        <is>
          <t>Не использован</t>
        </is>
      </c>
      <c r="H837" s="148" t="n"/>
      <c r="I837" s="34" t="str"/>
      <c r="J837" s="34" t="str"/>
      <c r="K837" s="130" t="n">
        <v>33</v>
      </c>
      <c r="L837" s="43">
        <f>IF(COUNTIF($F$5:$F$2407,F837)=1,"OK","Дубликат")</f>
        <v/>
      </c>
    </row>
    <row r="838" ht="38" customHeight="1">
      <c r="A838" s="146" t="inlineStr">
        <is>
          <t>SUB-L3-12-25</t>
        </is>
      </c>
      <c r="B838" s="39" t="inlineStr">
        <is>
          <t>3 уровень</t>
        </is>
      </c>
      <c r="C838" s="34" t="inlineStr">
        <is>
          <t>Закрытые условия на абонементы</t>
        </is>
      </c>
      <c r="D838" s="34" t="inlineStr">
        <is>
          <t>Скидка 25% на абонемент 12 занятий</t>
        </is>
      </c>
      <c r="E838" s="34" t="inlineStr">
        <is>
          <t>При покупке абонемента на 12 занятий</t>
        </is>
      </c>
      <c r="F838" s="147" t="inlineStr">
        <is>
          <t>FW-L3-Y2S83-HF435</t>
        </is>
      </c>
      <c r="G838" s="39" t="inlineStr">
        <is>
          <t>Не использован</t>
        </is>
      </c>
      <c r="H838" s="148" t="n"/>
      <c r="I838" s="34" t="str"/>
      <c r="J838" s="34" t="str"/>
      <c r="K838" s="130" t="n">
        <v>34</v>
      </c>
      <c r="L838" s="43">
        <f>IF(COUNTIF($F$5:$F$2407,F838)=1,"OK","Дубликат")</f>
        <v/>
      </c>
    </row>
    <row r="839" ht="38" customHeight="1">
      <c r="A839" s="146" t="inlineStr">
        <is>
          <t>SUB-L3-12-25</t>
        </is>
      </c>
      <c r="B839" s="39" t="inlineStr">
        <is>
          <t>3 уровень</t>
        </is>
      </c>
      <c r="C839" s="34" t="inlineStr">
        <is>
          <t>Закрытые условия на абонементы</t>
        </is>
      </c>
      <c r="D839" s="34" t="inlineStr">
        <is>
          <t>Скидка 25% на абонемент 12 занятий</t>
        </is>
      </c>
      <c r="E839" s="34" t="inlineStr">
        <is>
          <t>При покупке абонемента на 12 занятий</t>
        </is>
      </c>
      <c r="F839" s="147" t="inlineStr">
        <is>
          <t>FW-L3-TVTQK-JNF4V</t>
        </is>
      </c>
      <c r="G839" s="39" t="inlineStr">
        <is>
          <t>Не использован</t>
        </is>
      </c>
      <c r="H839" s="148" t="n"/>
      <c r="I839" s="34" t="str"/>
      <c r="J839" s="34" t="str"/>
      <c r="K839" s="130" t="n">
        <v>35</v>
      </c>
      <c r="L839" s="43">
        <f>IF(COUNTIF($F$5:$F$2407,F839)=1,"OK","Дубликат")</f>
        <v/>
      </c>
    </row>
    <row r="840" ht="38" customHeight="1">
      <c r="A840" s="146" t="inlineStr">
        <is>
          <t>SUB-L3-12-25</t>
        </is>
      </c>
      <c r="B840" s="39" t="inlineStr">
        <is>
          <t>3 уровень</t>
        </is>
      </c>
      <c r="C840" s="34" t="inlineStr">
        <is>
          <t>Закрытые условия на абонементы</t>
        </is>
      </c>
      <c r="D840" s="34" t="inlineStr">
        <is>
          <t>Скидка 25% на абонемент 12 занятий</t>
        </is>
      </c>
      <c r="E840" s="34" t="inlineStr">
        <is>
          <t>При покупке абонемента на 12 занятий</t>
        </is>
      </c>
      <c r="F840" s="147" t="inlineStr">
        <is>
          <t>FW-L3-ZTF9C-4WLPN</t>
        </is>
      </c>
      <c r="G840" s="39" t="inlineStr">
        <is>
          <t>Не использован</t>
        </is>
      </c>
      <c r="H840" s="148" t="n"/>
      <c r="I840" s="34" t="str"/>
      <c r="J840" s="34" t="str"/>
      <c r="K840" s="130" t="n">
        <v>36</v>
      </c>
      <c r="L840" s="43">
        <f>IF(COUNTIF($F$5:$F$2407,F840)=1,"OK","Дубликат")</f>
        <v/>
      </c>
    </row>
    <row r="841" ht="38" customHeight="1">
      <c r="A841" s="146" t="inlineStr">
        <is>
          <t>SUB-L3-12-25</t>
        </is>
      </c>
      <c r="B841" s="39" t="inlineStr">
        <is>
          <t>3 уровень</t>
        </is>
      </c>
      <c r="C841" s="34" t="inlineStr">
        <is>
          <t>Закрытые условия на абонементы</t>
        </is>
      </c>
      <c r="D841" s="34" t="inlineStr">
        <is>
          <t>Скидка 25% на абонемент 12 занятий</t>
        </is>
      </c>
      <c r="E841" s="34" t="inlineStr">
        <is>
          <t>При покупке абонемента на 12 занятий</t>
        </is>
      </c>
      <c r="F841" s="147" t="inlineStr">
        <is>
          <t>FW-L3-EP3JJ-RH6ER</t>
        </is>
      </c>
      <c r="G841" s="39" t="inlineStr">
        <is>
          <t>Не использован</t>
        </is>
      </c>
      <c r="H841" s="148" t="n"/>
      <c r="I841" s="34" t="str"/>
      <c r="J841" s="34" t="str"/>
      <c r="K841" s="130" t="n">
        <v>37</v>
      </c>
      <c r="L841" s="43">
        <f>IF(COUNTIF($F$5:$F$2407,F841)=1,"OK","Дубликат")</f>
        <v/>
      </c>
    </row>
    <row r="842" ht="38" customHeight="1">
      <c r="A842" s="146" t="inlineStr">
        <is>
          <t>SUB-L3-12-25</t>
        </is>
      </c>
      <c r="B842" s="39" t="inlineStr">
        <is>
          <t>3 уровень</t>
        </is>
      </c>
      <c r="C842" s="34" t="inlineStr">
        <is>
          <t>Закрытые условия на абонементы</t>
        </is>
      </c>
      <c r="D842" s="34" t="inlineStr">
        <is>
          <t>Скидка 25% на абонемент 12 занятий</t>
        </is>
      </c>
      <c r="E842" s="34" t="inlineStr">
        <is>
          <t>При покупке абонемента на 12 занятий</t>
        </is>
      </c>
      <c r="F842" s="147" t="inlineStr">
        <is>
          <t>FW-L3-RMGZT-KXTKB</t>
        </is>
      </c>
      <c r="G842" s="39" t="inlineStr">
        <is>
          <t>Не использован</t>
        </is>
      </c>
      <c r="H842" s="148" t="n"/>
      <c r="I842" s="34" t="str"/>
      <c r="J842" s="34" t="str"/>
      <c r="K842" s="130" t="n">
        <v>38</v>
      </c>
      <c r="L842" s="43">
        <f>IF(COUNTIF($F$5:$F$2407,F842)=1,"OK","Дубликат")</f>
        <v/>
      </c>
    </row>
    <row r="843" ht="38" customHeight="1">
      <c r="A843" s="146" t="inlineStr">
        <is>
          <t>SUB-L3-12-25</t>
        </is>
      </c>
      <c r="B843" s="39" t="inlineStr">
        <is>
          <t>3 уровень</t>
        </is>
      </c>
      <c r="C843" s="34" t="inlineStr">
        <is>
          <t>Закрытые условия на абонементы</t>
        </is>
      </c>
      <c r="D843" s="34" t="inlineStr">
        <is>
          <t>Скидка 25% на абонемент 12 занятий</t>
        </is>
      </c>
      <c r="E843" s="34" t="inlineStr">
        <is>
          <t>При покупке абонемента на 12 занятий</t>
        </is>
      </c>
      <c r="F843" s="147" t="inlineStr">
        <is>
          <t>FW-L3-AC43H-N9SSR</t>
        </is>
      </c>
      <c r="G843" s="39" t="inlineStr">
        <is>
          <t>Не использован</t>
        </is>
      </c>
      <c r="H843" s="148" t="n"/>
      <c r="I843" s="34" t="str"/>
      <c r="J843" s="34" t="str"/>
      <c r="K843" s="130" t="n">
        <v>39</v>
      </c>
      <c r="L843" s="43">
        <f>IF(COUNTIF($F$5:$F$2407,F843)=1,"OK","Дубликат")</f>
        <v/>
      </c>
    </row>
    <row r="844" ht="38" customHeight="1">
      <c r="A844" s="146" t="inlineStr">
        <is>
          <t>SUB-L3-12-25</t>
        </is>
      </c>
      <c r="B844" s="39" t="inlineStr">
        <is>
          <t>3 уровень</t>
        </is>
      </c>
      <c r="C844" s="34" t="inlineStr">
        <is>
          <t>Закрытые условия на абонементы</t>
        </is>
      </c>
      <c r="D844" s="34" t="inlineStr">
        <is>
          <t>Скидка 25% на абонемент 12 занятий</t>
        </is>
      </c>
      <c r="E844" s="34" t="inlineStr">
        <is>
          <t>При покупке абонемента на 12 занятий</t>
        </is>
      </c>
      <c r="F844" s="147" t="inlineStr">
        <is>
          <t>FW-L3-6M9HX-9YDJH</t>
        </is>
      </c>
      <c r="G844" s="39" t="inlineStr">
        <is>
          <t>Не использован</t>
        </is>
      </c>
      <c r="H844" s="148" t="n"/>
      <c r="I844" s="34" t="str"/>
      <c r="J844" s="34" t="str"/>
      <c r="K844" s="130" t="n">
        <v>40</v>
      </c>
      <c r="L844" s="43">
        <f>IF(COUNTIF($F$5:$F$2407,F844)=1,"OK","Дубликат")</f>
        <v/>
      </c>
    </row>
    <row r="845" ht="38" customHeight="1">
      <c r="A845" s="146" t="inlineStr">
        <is>
          <t>SUB-L3-12-25</t>
        </is>
      </c>
      <c r="B845" s="39" t="inlineStr">
        <is>
          <t>3 уровень</t>
        </is>
      </c>
      <c r="C845" s="34" t="inlineStr">
        <is>
          <t>Закрытые условия на абонементы</t>
        </is>
      </c>
      <c r="D845" s="34" t="inlineStr">
        <is>
          <t>Скидка 25% на абонемент 12 занятий</t>
        </is>
      </c>
      <c r="E845" s="34" t="inlineStr">
        <is>
          <t>При покупке абонемента на 12 занятий</t>
        </is>
      </c>
      <c r="F845" s="147" t="inlineStr">
        <is>
          <t>FW-L3-GNKZN-C3XJ7</t>
        </is>
      </c>
      <c r="G845" s="39" t="inlineStr">
        <is>
          <t>Не использован</t>
        </is>
      </c>
      <c r="H845" s="148" t="n"/>
      <c r="I845" s="34" t="str"/>
      <c r="J845" s="34" t="str"/>
      <c r="K845" s="130" t="n">
        <v>41</v>
      </c>
      <c r="L845" s="43">
        <f>IF(COUNTIF($F$5:$F$2407,F845)=1,"OK","Дубликат")</f>
        <v/>
      </c>
    </row>
    <row r="846" ht="38" customHeight="1">
      <c r="A846" s="146" t="inlineStr">
        <is>
          <t>SUB-L3-12-25</t>
        </is>
      </c>
      <c r="B846" s="39" t="inlineStr">
        <is>
          <t>3 уровень</t>
        </is>
      </c>
      <c r="C846" s="34" t="inlineStr">
        <is>
          <t>Закрытые условия на абонементы</t>
        </is>
      </c>
      <c r="D846" s="34" t="inlineStr">
        <is>
          <t>Скидка 25% на абонемент 12 занятий</t>
        </is>
      </c>
      <c r="E846" s="34" t="inlineStr">
        <is>
          <t>При покупке абонемента на 12 занятий</t>
        </is>
      </c>
      <c r="F846" s="147" t="inlineStr">
        <is>
          <t>FW-L3-J3EAP-NSKWY</t>
        </is>
      </c>
      <c r="G846" s="39" t="inlineStr">
        <is>
          <t>Не использован</t>
        </is>
      </c>
      <c r="H846" s="148" t="n"/>
      <c r="I846" s="34" t="str"/>
      <c r="J846" s="34" t="str"/>
      <c r="K846" s="130" t="n">
        <v>42</v>
      </c>
      <c r="L846" s="43">
        <f>IF(COUNTIF($F$5:$F$2407,F846)=1,"OK","Дубликат")</f>
        <v/>
      </c>
    </row>
    <row r="847" ht="38" customHeight="1">
      <c r="A847" s="146" t="inlineStr">
        <is>
          <t>SUB-L3-12-25</t>
        </is>
      </c>
      <c r="B847" s="39" t="inlineStr">
        <is>
          <t>3 уровень</t>
        </is>
      </c>
      <c r="C847" s="34" t="inlineStr">
        <is>
          <t>Закрытые условия на абонементы</t>
        </is>
      </c>
      <c r="D847" s="34" t="inlineStr">
        <is>
          <t>Скидка 25% на абонемент 12 занятий</t>
        </is>
      </c>
      <c r="E847" s="34" t="inlineStr">
        <is>
          <t>При покупке абонемента на 12 занятий</t>
        </is>
      </c>
      <c r="F847" s="147" t="inlineStr">
        <is>
          <t>FW-L3-4KPLB-DXN3K</t>
        </is>
      </c>
      <c r="G847" s="39" t="inlineStr">
        <is>
          <t>Не использован</t>
        </is>
      </c>
      <c r="H847" s="148" t="n"/>
      <c r="I847" s="34" t="str"/>
      <c r="J847" s="34" t="str"/>
      <c r="K847" s="130" t="n">
        <v>43</v>
      </c>
      <c r="L847" s="43">
        <f>IF(COUNTIF($F$5:$F$2407,F847)=1,"OK","Дубликат")</f>
        <v/>
      </c>
    </row>
    <row r="848" ht="38" customHeight="1">
      <c r="A848" s="146" t="inlineStr">
        <is>
          <t>SUB-L3-12-25</t>
        </is>
      </c>
      <c r="B848" s="39" t="inlineStr">
        <is>
          <t>3 уровень</t>
        </is>
      </c>
      <c r="C848" s="34" t="inlineStr">
        <is>
          <t>Закрытые условия на абонементы</t>
        </is>
      </c>
      <c r="D848" s="34" t="inlineStr">
        <is>
          <t>Скидка 25% на абонемент 12 занятий</t>
        </is>
      </c>
      <c r="E848" s="34" t="inlineStr">
        <is>
          <t>При покупке абонемента на 12 занятий</t>
        </is>
      </c>
      <c r="F848" s="147" t="inlineStr">
        <is>
          <t>FW-L3-65X95-8FJT2</t>
        </is>
      </c>
      <c r="G848" s="39" t="inlineStr">
        <is>
          <t>Не использован</t>
        </is>
      </c>
      <c r="H848" s="148" t="n"/>
      <c r="I848" s="34" t="str"/>
      <c r="J848" s="34" t="str"/>
      <c r="K848" s="130" t="n">
        <v>44</v>
      </c>
      <c r="L848" s="43">
        <f>IF(COUNTIF($F$5:$F$2407,F848)=1,"OK","Дубликат")</f>
        <v/>
      </c>
    </row>
    <row r="849" ht="38" customHeight="1">
      <c r="A849" s="146" t="inlineStr">
        <is>
          <t>SUB-L3-12-25</t>
        </is>
      </c>
      <c r="B849" s="39" t="inlineStr">
        <is>
          <t>3 уровень</t>
        </is>
      </c>
      <c r="C849" s="34" t="inlineStr">
        <is>
          <t>Закрытые условия на абонементы</t>
        </is>
      </c>
      <c r="D849" s="34" t="inlineStr">
        <is>
          <t>Скидка 25% на абонемент 12 занятий</t>
        </is>
      </c>
      <c r="E849" s="34" t="inlineStr">
        <is>
          <t>При покупке абонемента на 12 занятий</t>
        </is>
      </c>
      <c r="F849" s="147" t="inlineStr">
        <is>
          <t>FW-L3-LQYSM-KHJMP</t>
        </is>
      </c>
      <c r="G849" s="39" t="inlineStr">
        <is>
          <t>Не использован</t>
        </is>
      </c>
      <c r="H849" s="148" t="n"/>
      <c r="I849" s="34" t="str"/>
      <c r="J849" s="34" t="str"/>
      <c r="K849" s="130" t="n">
        <v>45</v>
      </c>
      <c r="L849" s="43">
        <f>IF(COUNTIF($F$5:$F$2407,F849)=1,"OK","Дубликат")</f>
        <v/>
      </c>
    </row>
    <row r="850" ht="38" customHeight="1">
      <c r="A850" s="146" t="inlineStr">
        <is>
          <t>SUB-L3-12-25</t>
        </is>
      </c>
      <c r="B850" s="39" t="inlineStr">
        <is>
          <t>3 уровень</t>
        </is>
      </c>
      <c r="C850" s="34" t="inlineStr">
        <is>
          <t>Закрытые условия на абонементы</t>
        </is>
      </c>
      <c r="D850" s="34" t="inlineStr">
        <is>
          <t>Скидка 25% на абонемент 12 занятий</t>
        </is>
      </c>
      <c r="E850" s="34" t="inlineStr">
        <is>
          <t>При покупке абонемента на 12 занятий</t>
        </is>
      </c>
      <c r="F850" s="147" t="inlineStr">
        <is>
          <t>FW-L3-TUK69-EQG5F</t>
        </is>
      </c>
      <c r="G850" s="39" t="inlineStr">
        <is>
          <t>Не использован</t>
        </is>
      </c>
      <c r="H850" s="148" t="n"/>
      <c r="I850" s="34" t="str"/>
      <c r="J850" s="34" t="str"/>
      <c r="K850" s="130" t="n">
        <v>46</v>
      </c>
      <c r="L850" s="43">
        <f>IF(COUNTIF($F$5:$F$2407,F850)=1,"OK","Дубликат")</f>
        <v/>
      </c>
    </row>
    <row r="851" ht="38" customHeight="1">
      <c r="A851" s="146" t="inlineStr">
        <is>
          <t>SUB-L3-12-25</t>
        </is>
      </c>
      <c r="B851" s="39" t="inlineStr">
        <is>
          <t>3 уровень</t>
        </is>
      </c>
      <c r="C851" s="34" t="inlineStr">
        <is>
          <t>Закрытые условия на абонементы</t>
        </is>
      </c>
      <c r="D851" s="34" t="inlineStr">
        <is>
          <t>Скидка 25% на абонемент 12 занятий</t>
        </is>
      </c>
      <c r="E851" s="34" t="inlineStr">
        <is>
          <t>При покупке абонемента на 12 занятий</t>
        </is>
      </c>
      <c r="F851" s="147" t="inlineStr">
        <is>
          <t>FW-L3-QERZY-JEAJR</t>
        </is>
      </c>
      <c r="G851" s="39" t="inlineStr">
        <is>
          <t>Не использован</t>
        </is>
      </c>
      <c r="H851" s="148" t="n"/>
      <c r="I851" s="34" t="str"/>
      <c r="J851" s="34" t="str"/>
      <c r="K851" s="130" t="n">
        <v>47</v>
      </c>
      <c r="L851" s="43">
        <f>IF(COUNTIF($F$5:$F$2407,F851)=1,"OK","Дубликат")</f>
        <v/>
      </c>
    </row>
    <row r="852" ht="38" customHeight="1">
      <c r="A852" s="146" t="inlineStr">
        <is>
          <t>SUB-L3-12-25</t>
        </is>
      </c>
      <c r="B852" s="39" t="inlineStr">
        <is>
          <t>3 уровень</t>
        </is>
      </c>
      <c r="C852" s="34" t="inlineStr">
        <is>
          <t>Закрытые условия на абонементы</t>
        </is>
      </c>
      <c r="D852" s="34" t="inlineStr">
        <is>
          <t>Скидка 25% на абонемент 12 занятий</t>
        </is>
      </c>
      <c r="E852" s="34" t="inlineStr">
        <is>
          <t>При покупке абонемента на 12 занятий</t>
        </is>
      </c>
      <c r="F852" s="147" t="inlineStr">
        <is>
          <t>FW-L3-EH995-BUXDS</t>
        </is>
      </c>
      <c r="G852" s="39" t="inlineStr">
        <is>
          <t>Не использован</t>
        </is>
      </c>
      <c r="H852" s="148" t="n"/>
      <c r="I852" s="34" t="str"/>
      <c r="J852" s="34" t="str"/>
      <c r="K852" s="130" t="n">
        <v>48</v>
      </c>
      <c r="L852" s="43">
        <f>IF(COUNTIF($F$5:$F$2407,F852)=1,"OK","Дубликат")</f>
        <v/>
      </c>
    </row>
    <row r="853" ht="38" customHeight="1">
      <c r="A853" s="146" t="inlineStr">
        <is>
          <t>SUB-L3-12-25</t>
        </is>
      </c>
      <c r="B853" s="39" t="inlineStr">
        <is>
          <t>3 уровень</t>
        </is>
      </c>
      <c r="C853" s="34" t="inlineStr">
        <is>
          <t>Закрытые условия на абонементы</t>
        </is>
      </c>
      <c r="D853" s="34" t="inlineStr">
        <is>
          <t>Скидка 25% на абонемент 12 занятий</t>
        </is>
      </c>
      <c r="E853" s="34" t="inlineStr">
        <is>
          <t>При покупке абонемента на 12 занятий</t>
        </is>
      </c>
      <c r="F853" s="147" t="inlineStr">
        <is>
          <t>FW-L3-ZMUTN-4HD5S</t>
        </is>
      </c>
      <c r="G853" s="39" t="inlineStr">
        <is>
          <t>Не использован</t>
        </is>
      </c>
      <c r="H853" s="148" t="n"/>
      <c r="I853" s="34" t="str"/>
      <c r="J853" s="34" t="str"/>
      <c r="K853" s="130" t="n">
        <v>49</v>
      </c>
      <c r="L853" s="43">
        <f>IF(COUNTIF($F$5:$F$2407,F853)=1,"OK","Дубликат")</f>
        <v/>
      </c>
    </row>
    <row r="854" ht="38" customHeight="1">
      <c r="A854" s="146" t="inlineStr">
        <is>
          <t>SUB-L3-12-25</t>
        </is>
      </c>
      <c r="B854" s="39" t="inlineStr">
        <is>
          <t>3 уровень</t>
        </is>
      </c>
      <c r="C854" s="34" t="inlineStr">
        <is>
          <t>Закрытые условия на абонементы</t>
        </is>
      </c>
      <c r="D854" s="34" t="inlineStr">
        <is>
          <t>Скидка 25% на абонемент 12 занятий</t>
        </is>
      </c>
      <c r="E854" s="34" t="inlineStr">
        <is>
          <t>При покупке абонемента на 12 занятий</t>
        </is>
      </c>
      <c r="F854" s="147" t="inlineStr">
        <is>
          <t>FW-L3-5P92D-CB2MF</t>
        </is>
      </c>
      <c r="G854" s="39" t="inlineStr">
        <is>
          <t>Не использован</t>
        </is>
      </c>
      <c r="H854" s="148" t="n"/>
      <c r="I854" s="34" t="str"/>
      <c r="J854" s="34" t="str"/>
      <c r="K854" s="130" t="n">
        <v>50</v>
      </c>
      <c r="L854" s="43">
        <f>IF(COUNTIF($F$5:$F$2407,F854)=1,"OK","Дубликат")</f>
        <v/>
      </c>
    </row>
    <row r="855" ht="38" customHeight="1">
      <c r="A855" s="146" t="inlineStr">
        <is>
          <t>SUB-L3-12-25</t>
        </is>
      </c>
      <c r="B855" s="39" t="inlineStr">
        <is>
          <t>3 уровень</t>
        </is>
      </c>
      <c r="C855" s="34" t="inlineStr">
        <is>
          <t>Закрытые условия на абонементы</t>
        </is>
      </c>
      <c r="D855" s="34" t="inlineStr">
        <is>
          <t>Скидка 25% на абонемент 12 занятий</t>
        </is>
      </c>
      <c r="E855" s="34" t="inlineStr">
        <is>
          <t>При покупке абонемента на 12 занятий</t>
        </is>
      </c>
      <c r="F855" s="147" t="inlineStr">
        <is>
          <t>FW-L3-3ULRR-UAQP9</t>
        </is>
      </c>
      <c r="G855" s="39" t="inlineStr">
        <is>
          <t>Не использован</t>
        </is>
      </c>
      <c r="H855" s="148" t="n"/>
      <c r="I855" s="34" t="str"/>
      <c r="J855" s="34" t="str"/>
      <c r="K855" s="130" t="n">
        <v>51</v>
      </c>
      <c r="L855" s="43">
        <f>IF(COUNTIF($F$5:$F$2407,F855)=1,"OK","Дубликат")</f>
        <v/>
      </c>
    </row>
    <row r="856" ht="38" customHeight="1">
      <c r="A856" s="146" t="inlineStr">
        <is>
          <t>SUB-L3-12-25</t>
        </is>
      </c>
      <c r="B856" s="39" t="inlineStr">
        <is>
          <t>3 уровень</t>
        </is>
      </c>
      <c r="C856" s="34" t="inlineStr">
        <is>
          <t>Закрытые условия на абонементы</t>
        </is>
      </c>
      <c r="D856" s="34" t="inlineStr">
        <is>
          <t>Скидка 25% на абонемент 12 занятий</t>
        </is>
      </c>
      <c r="E856" s="34" t="inlineStr">
        <is>
          <t>При покупке абонемента на 12 занятий</t>
        </is>
      </c>
      <c r="F856" s="147" t="inlineStr">
        <is>
          <t>FW-L3-UQMYK-CNY8B</t>
        </is>
      </c>
      <c r="G856" s="39" t="inlineStr">
        <is>
          <t>Не использован</t>
        </is>
      </c>
      <c r="H856" s="148" t="n"/>
      <c r="I856" s="34" t="str"/>
      <c r="J856" s="34" t="str"/>
      <c r="K856" s="130" t="n">
        <v>52</v>
      </c>
      <c r="L856" s="43">
        <f>IF(COUNTIF($F$5:$F$2407,F856)=1,"OK","Дубликат")</f>
        <v/>
      </c>
    </row>
    <row r="857" ht="38" customHeight="1">
      <c r="A857" s="146" t="inlineStr">
        <is>
          <t>SUB-L3-12-25</t>
        </is>
      </c>
      <c r="B857" s="39" t="inlineStr">
        <is>
          <t>3 уровень</t>
        </is>
      </c>
      <c r="C857" s="34" t="inlineStr">
        <is>
          <t>Закрытые условия на абонементы</t>
        </is>
      </c>
      <c r="D857" s="34" t="inlineStr">
        <is>
          <t>Скидка 25% на абонемент 12 занятий</t>
        </is>
      </c>
      <c r="E857" s="34" t="inlineStr">
        <is>
          <t>При покупке абонемента на 12 занятий</t>
        </is>
      </c>
      <c r="F857" s="147" t="inlineStr">
        <is>
          <t>FW-L3-Y4VZW-6R6MU</t>
        </is>
      </c>
      <c r="G857" s="39" t="inlineStr">
        <is>
          <t>Не использован</t>
        </is>
      </c>
      <c r="H857" s="148" t="n"/>
      <c r="I857" s="34" t="str"/>
      <c r="J857" s="34" t="str"/>
      <c r="K857" s="130" t="n">
        <v>53</v>
      </c>
      <c r="L857" s="43">
        <f>IF(COUNTIF($F$5:$F$2407,F857)=1,"OK","Дубликат")</f>
        <v/>
      </c>
    </row>
    <row r="858" ht="38" customHeight="1">
      <c r="A858" s="146" t="inlineStr">
        <is>
          <t>SUB-L3-12-25</t>
        </is>
      </c>
      <c r="B858" s="39" t="inlineStr">
        <is>
          <t>3 уровень</t>
        </is>
      </c>
      <c r="C858" s="34" t="inlineStr">
        <is>
          <t>Закрытые условия на абонементы</t>
        </is>
      </c>
      <c r="D858" s="34" t="inlineStr">
        <is>
          <t>Скидка 25% на абонемент 12 занятий</t>
        </is>
      </c>
      <c r="E858" s="34" t="inlineStr">
        <is>
          <t>При покупке абонемента на 12 занятий</t>
        </is>
      </c>
      <c r="F858" s="147" t="inlineStr">
        <is>
          <t>FW-L3-MTUY7-K85UF</t>
        </is>
      </c>
      <c r="G858" s="39" t="inlineStr">
        <is>
          <t>Не использован</t>
        </is>
      </c>
      <c r="H858" s="148" t="n"/>
      <c r="I858" s="34" t="str"/>
      <c r="J858" s="34" t="str"/>
      <c r="K858" s="130" t="n">
        <v>54</v>
      </c>
      <c r="L858" s="43">
        <f>IF(COUNTIF($F$5:$F$2407,F858)=1,"OK","Дубликат")</f>
        <v/>
      </c>
    </row>
    <row r="859" ht="38" customHeight="1">
      <c r="A859" s="146" t="inlineStr">
        <is>
          <t>SUB-L3-12-25</t>
        </is>
      </c>
      <c r="B859" s="39" t="inlineStr">
        <is>
          <t>3 уровень</t>
        </is>
      </c>
      <c r="C859" s="34" t="inlineStr">
        <is>
          <t>Закрытые условия на абонементы</t>
        </is>
      </c>
      <c r="D859" s="34" t="inlineStr">
        <is>
          <t>Скидка 25% на абонемент 12 занятий</t>
        </is>
      </c>
      <c r="E859" s="34" t="inlineStr">
        <is>
          <t>При покупке абонемента на 12 занятий</t>
        </is>
      </c>
      <c r="F859" s="147" t="inlineStr">
        <is>
          <t>FW-L3-4MHHS-MDTM4</t>
        </is>
      </c>
      <c r="G859" s="39" t="inlineStr">
        <is>
          <t>Не использован</t>
        </is>
      </c>
      <c r="H859" s="148" t="n"/>
      <c r="I859" s="34" t="str"/>
      <c r="J859" s="34" t="str"/>
      <c r="K859" s="130" t="n">
        <v>55</v>
      </c>
      <c r="L859" s="43">
        <f>IF(COUNTIF($F$5:$F$2407,F859)=1,"OK","Дубликат")</f>
        <v/>
      </c>
    </row>
    <row r="860" ht="38" customHeight="1">
      <c r="A860" s="146" t="inlineStr">
        <is>
          <t>SUB-L3-12-25</t>
        </is>
      </c>
      <c r="B860" s="39" t="inlineStr">
        <is>
          <t>3 уровень</t>
        </is>
      </c>
      <c r="C860" s="34" t="inlineStr">
        <is>
          <t>Закрытые условия на абонементы</t>
        </is>
      </c>
      <c r="D860" s="34" t="inlineStr">
        <is>
          <t>Скидка 25% на абонемент 12 занятий</t>
        </is>
      </c>
      <c r="E860" s="34" t="inlineStr">
        <is>
          <t>При покупке абонемента на 12 занятий</t>
        </is>
      </c>
      <c r="F860" s="147" t="inlineStr">
        <is>
          <t>FW-L3-GZJZL-ZHFTU</t>
        </is>
      </c>
      <c r="G860" s="39" t="inlineStr">
        <is>
          <t>Не использован</t>
        </is>
      </c>
      <c r="H860" s="148" t="n"/>
      <c r="I860" s="34" t="str"/>
      <c r="J860" s="34" t="str"/>
      <c r="K860" s="130" t="n">
        <v>56</v>
      </c>
      <c r="L860" s="43">
        <f>IF(COUNTIF($F$5:$F$2407,F860)=1,"OK","Дубликат")</f>
        <v/>
      </c>
    </row>
    <row r="861" ht="38" customHeight="1">
      <c r="A861" s="146" t="inlineStr">
        <is>
          <t>SUB-L3-12-25</t>
        </is>
      </c>
      <c r="B861" s="39" t="inlineStr">
        <is>
          <t>3 уровень</t>
        </is>
      </c>
      <c r="C861" s="34" t="inlineStr">
        <is>
          <t>Закрытые условия на абонементы</t>
        </is>
      </c>
      <c r="D861" s="34" t="inlineStr">
        <is>
          <t>Скидка 25% на абонемент 12 занятий</t>
        </is>
      </c>
      <c r="E861" s="34" t="inlineStr">
        <is>
          <t>При покупке абонемента на 12 занятий</t>
        </is>
      </c>
      <c r="F861" s="147" t="inlineStr">
        <is>
          <t>FW-L3-BSMQH-Z9NZ4</t>
        </is>
      </c>
      <c r="G861" s="39" t="inlineStr">
        <is>
          <t>Не использован</t>
        </is>
      </c>
      <c r="H861" s="148" t="n"/>
      <c r="I861" s="34" t="str"/>
      <c r="J861" s="34" t="str"/>
      <c r="K861" s="130" t="n">
        <v>57</v>
      </c>
      <c r="L861" s="43">
        <f>IF(COUNTIF($F$5:$F$2407,F861)=1,"OK","Дубликат")</f>
        <v/>
      </c>
    </row>
    <row r="862" ht="38" customHeight="1">
      <c r="A862" s="146" t="inlineStr">
        <is>
          <t>SUB-L3-12-25</t>
        </is>
      </c>
      <c r="B862" s="39" t="inlineStr">
        <is>
          <t>3 уровень</t>
        </is>
      </c>
      <c r="C862" s="34" t="inlineStr">
        <is>
          <t>Закрытые условия на абонементы</t>
        </is>
      </c>
      <c r="D862" s="34" t="inlineStr">
        <is>
          <t>Скидка 25% на абонемент 12 занятий</t>
        </is>
      </c>
      <c r="E862" s="34" t="inlineStr">
        <is>
          <t>При покупке абонемента на 12 занятий</t>
        </is>
      </c>
      <c r="F862" s="147" t="inlineStr">
        <is>
          <t>FW-L3-KK4JR-7PC5P</t>
        </is>
      </c>
      <c r="G862" s="39" t="inlineStr">
        <is>
          <t>Не использован</t>
        </is>
      </c>
      <c r="H862" s="148" t="n"/>
      <c r="I862" s="34" t="str"/>
      <c r="J862" s="34" t="str"/>
      <c r="K862" s="130" t="n">
        <v>58</v>
      </c>
      <c r="L862" s="43">
        <f>IF(COUNTIF($F$5:$F$2407,F862)=1,"OK","Дубликат")</f>
        <v/>
      </c>
    </row>
    <row r="863" ht="38" customHeight="1">
      <c r="A863" s="146" t="inlineStr">
        <is>
          <t>SUB-L3-12-25</t>
        </is>
      </c>
      <c r="B863" s="39" t="inlineStr">
        <is>
          <t>3 уровень</t>
        </is>
      </c>
      <c r="C863" s="34" t="inlineStr">
        <is>
          <t>Закрытые условия на абонементы</t>
        </is>
      </c>
      <c r="D863" s="34" t="inlineStr">
        <is>
          <t>Скидка 25% на абонемент 12 занятий</t>
        </is>
      </c>
      <c r="E863" s="34" t="inlineStr">
        <is>
          <t>При покупке абонемента на 12 занятий</t>
        </is>
      </c>
      <c r="F863" s="147" t="inlineStr">
        <is>
          <t>FW-L3-79EGS-HKENV</t>
        </is>
      </c>
      <c r="G863" s="39" t="inlineStr">
        <is>
          <t>Не использован</t>
        </is>
      </c>
      <c r="H863" s="148" t="n"/>
      <c r="I863" s="34" t="str"/>
      <c r="J863" s="34" t="str"/>
      <c r="K863" s="130" t="n">
        <v>59</v>
      </c>
      <c r="L863" s="43">
        <f>IF(COUNTIF($F$5:$F$2407,F863)=1,"OK","Дубликат")</f>
        <v/>
      </c>
    </row>
    <row r="864" ht="38" customHeight="1">
      <c r="A864" s="146" t="inlineStr">
        <is>
          <t>SUB-L3-12-25</t>
        </is>
      </c>
      <c r="B864" s="39" t="inlineStr">
        <is>
          <t>3 уровень</t>
        </is>
      </c>
      <c r="C864" s="34" t="inlineStr">
        <is>
          <t>Закрытые условия на абонементы</t>
        </is>
      </c>
      <c r="D864" s="34" t="inlineStr">
        <is>
          <t>Скидка 25% на абонемент 12 занятий</t>
        </is>
      </c>
      <c r="E864" s="34" t="inlineStr">
        <is>
          <t>При покупке абонемента на 12 занятий</t>
        </is>
      </c>
      <c r="F864" s="147" t="inlineStr">
        <is>
          <t>FW-L3-GH9Z9-Q7U88</t>
        </is>
      </c>
      <c r="G864" s="39" t="inlineStr">
        <is>
          <t>Не использован</t>
        </is>
      </c>
      <c r="H864" s="148" t="n"/>
      <c r="I864" s="34" t="str"/>
      <c r="J864" s="34" t="str"/>
      <c r="K864" s="130" t="n">
        <v>60</v>
      </c>
      <c r="L864" s="43">
        <f>IF(COUNTIF($F$5:$F$2407,F864)=1,"OK","Дубликат")</f>
        <v/>
      </c>
    </row>
    <row r="865" ht="38" customHeight="1">
      <c r="A865" s="146" t="inlineStr">
        <is>
          <t>SUB-L3-12-25</t>
        </is>
      </c>
      <c r="B865" s="39" t="inlineStr">
        <is>
          <t>3 уровень</t>
        </is>
      </c>
      <c r="C865" s="34" t="inlineStr">
        <is>
          <t>Закрытые условия на абонементы</t>
        </is>
      </c>
      <c r="D865" s="34" t="inlineStr">
        <is>
          <t>Скидка 25% на абонемент 12 занятий</t>
        </is>
      </c>
      <c r="E865" s="34" t="inlineStr">
        <is>
          <t>При покупке абонемента на 12 занятий</t>
        </is>
      </c>
      <c r="F865" s="147" t="inlineStr">
        <is>
          <t>FW-L3-VZ4U9-KBQHQ</t>
        </is>
      </c>
      <c r="G865" s="39" t="inlineStr">
        <is>
          <t>Не использован</t>
        </is>
      </c>
      <c r="H865" s="148" t="n"/>
      <c r="I865" s="34" t="str"/>
      <c r="J865" s="34" t="str"/>
      <c r="K865" s="130" t="n">
        <v>61</v>
      </c>
      <c r="L865" s="43">
        <f>IF(COUNTIF($F$5:$F$2407,F865)=1,"OK","Дубликат")</f>
        <v/>
      </c>
    </row>
    <row r="866" ht="38" customHeight="1">
      <c r="A866" s="146" t="inlineStr">
        <is>
          <t>SUB-L3-12-25</t>
        </is>
      </c>
      <c r="B866" s="39" t="inlineStr">
        <is>
          <t>3 уровень</t>
        </is>
      </c>
      <c r="C866" s="34" t="inlineStr">
        <is>
          <t>Закрытые условия на абонементы</t>
        </is>
      </c>
      <c r="D866" s="34" t="inlineStr">
        <is>
          <t>Скидка 25% на абонемент 12 занятий</t>
        </is>
      </c>
      <c r="E866" s="34" t="inlineStr">
        <is>
          <t>При покупке абонемента на 12 занятий</t>
        </is>
      </c>
      <c r="F866" s="147" t="inlineStr">
        <is>
          <t>FW-L3-HW7VK-5ZLHK</t>
        </is>
      </c>
      <c r="G866" s="39" t="inlineStr">
        <is>
          <t>Не использован</t>
        </is>
      </c>
      <c r="H866" s="148" t="n"/>
      <c r="I866" s="34" t="str"/>
      <c r="J866" s="34" t="str"/>
      <c r="K866" s="130" t="n">
        <v>62</v>
      </c>
      <c r="L866" s="43">
        <f>IF(COUNTIF($F$5:$F$2407,F866)=1,"OK","Дубликат")</f>
        <v/>
      </c>
    </row>
    <row r="867" ht="38" customHeight="1">
      <c r="A867" s="146" t="inlineStr">
        <is>
          <t>SUB-L3-12-25</t>
        </is>
      </c>
      <c r="B867" s="39" t="inlineStr">
        <is>
          <t>3 уровень</t>
        </is>
      </c>
      <c r="C867" s="34" t="inlineStr">
        <is>
          <t>Закрытые условия на абонементы</t>
        </is>
      </c>
      <c r="D867" s="34" t="inlineStr">
        <is>
          <t>Скидка 25% на абонемент 12 занятий</t>
        </is>
      </c>
      <c r="E867" s="34" t="inlineStr">
        <is>
          <t>При покупке абонемента на 12 занятий</t>
        </is>
      </c>
      <c r="F867" s="147" t="inlineStr">
        <is>
          <t>FW-L3-QKPFP-4LQ7P</t>
        </is>
      </c>
      <c r="G867" s="39" t="inlineStr">
        <is>
          <t>Не использован</t>
        </is>
      </c>
      <c r="H867" s="148" t="n"/>
      <c r="I867" s="34" t="str"/>
      <c r="J867" s="34" t="str"/>
      <c r="K867" s="130" t="n">
        <v>63</v>
      </c>
      <c r="L867" s="43">
        <f>IF(COUNTIF($F$5:$F$2407,F867)=1,"OK","Дубликат")</f>
        <v/>
      </c>
    </row>
    <row r="868" ht="38" customHeight="1">
      <c r="A868" s="146" t="inlineStr">
        <is>
          <t>SUB-L3-12-25</t>
        </is>
      </c>
      <c r="B868" s="39" t="inlineStr">
        <is>
          <t>3 уровень</t>
        </is>
      </c>
      <c r="C868" s="34" t="inlineStr">
        <is>
          <t>Закрытые условия на абонементы</t>
        </is>
      </c>
      <c r="D868" s="34" t="inlineStr">
        <is>
          <t>Скидка 25% на абонемент 12 занятий</t>
        </is>
      </c>
      <c r="E868" s="34" t="inlineStr">
        <is>
          <t>При покупке абонемента на 12 занятий</t>
        </is>
      </c>
      <c r="F868" s="147" t="inlineStr">
        <is>
          <t>FW-L3-GP528-N9AB7</t>
        </is>
      </c>
      <c r="G868" s="39" t="inlineStr">
        <is>
          <t>Не использован</t>
        </is>
      </c>
      <c r="H868" s="148" t="n"/>
      <c r="I868" s="34" t="str"/>
      <c r="J868" s="34" t="str"/>
      <c r="K868" s="130" t="n">
        <v>64</v>
      </c>
      <c r="L868" s="43">
        <f>IF(COUNTIF($F$5:$F$2407,F868)=1,"OK","Дубликат")</f>
        <v/>
      </c>
    </row>
    <row r="869" ht="38" customHeight="1">
      <c r="A869" s="146" t="inlineStr">
        <is>
          <t>SUB-L3-12-25</t>
        </is>
      </c>
      <c r="B869" s="39" t="inlineStr">
        <is>
          <t>3 уровень</t>
        </is>
      </c>
      <c r="C869" s="34" t="inlineStr">
        <is>
          <t>Закрытые условия на абонементы</t>
        </is>
      </c>
      <c r="D869" s="34" t="inlineStr">
        <is>
          <t>Скидка 25% на абонемент 12 занятий</t>
        </is>
      </c>
      <c r="E869" s="34" t="inlineStr">
        <is>
          <t>При покупке абонемента на 12 занятий</t>
        </is>
      </c>
      <c r="F869" s="147" t="inlineStr">
        <is>
          <t>FW-L3-RKLSS-A97GN</t>
        </is>
      </c>
      <c r="G869" s="39" t="inlineStr">
        <is>
          <t>Не использован</t>
        </is>
      </c>
      <c r="H869" s="148" t="n"/>
      <c r="I869" s="34" t="str"/>
      <c r="J869" s="34" t="str"/>
      <c r="K869" s="130" t="n">
        <v>65</v>
      </c>
      <c r="L869" s="43">
        <f>IF(COUNTIF($F$5:$F$2407,F869)=1,"OK","Дубликат")</f>
        <v/>
      </c>
    </row>
    <row r="870" ht="38" customHeight="1">
      <c r="A870" s="146" t="inlineStr">
        <is>
          <t>SUB-L3-12-25</t>
        </is>
      </c>
      <c r="B870" s="39" t="inlineStr">
        <is>
          <t>3 уровень</t>
        </is>
      </c>
      <c r="C870" s="34" t="inlineStr">
        <is>
          <t>Закрытые условия на абонементы</t>
        </is>
      </c>
      <c r="D870" s="34" t="inlineStr">
        <is>
          <t>Скидка 25% на абонемент 12 занятий</t>
        </is>
      </c>
      <c r="E870" s="34" t="inlineStr">
        <is>
          <t>При покупке абонемента на 12 занятий</t>
        </is>
      </c>
      <c r="F870" s="147" t="inlineStr">
        <is>
          <t>FW-L3-8PT8E-Y9NRG</t>
        </is>
      </c>
      <c r="G870" s="39" t="inlineStr">
        <is>
          <t>Не использован</t>
        </is>
      </c>
      <c r="H870" s="148" t="n"/>
      <c r="I870" s="34" t="str"/>
      <c r="J870" s="34" t="str"/>
      <c r="K870" s="130" t="n">
        <v>66</v>
      </c>
      <c r="L870" s="43">
        <f>IF(COUNTIF($F$5:$F$2407,F870)=1,"OK","Дубликат")</f>
        <v/>
      </c>
    </row>
    <row r="871" ht="38" customHeight="1">
      <c r="A871" s="146" t="inlineStr">
        <is>
          <t>SUB-L3-12-25</t>
        </is>
      </c>
      <c r="B871" s="39" t="inlineStr">
        <is>
          <t>3 уровень</t>
        </is>
      </c>
      <c r="C871" s="34" t="inlineStr">
        <is>
          <t>Закрытые условия на абонементы</t>
        </is>
      </c>
      <c r="D871" s="34" t="inlineStr">
        <is>
          <t>Скидка 25% на абонемент 12 занятий</t>
        </is>
      </c>
      <c r="E871" s="34" t="inlineStr">
        <is>
          <t>При покупке абонемента на 12 занятий</t>
        </is>
      </c>
      <c r="F871" s="147" t="inlineStr">
        <is>
          <t>FW-L3-T34XS-UE3YA</t>
        </is>
      </c>
      <c r="G871" s="39" t="inlineStr">
        <is>
          <t>Не использован</t>
        </is>
      </c>
      <c r="H871" s="148" t="n"/>
      <c r="I871" s="34" t="str"/>
      <c r="J871" s="34" t="str"/>
      <c r="K871" s="130" t="n">
        <v>67</v>
      </c>
      <c r="L871" s="43">
        <f>IF(COUNTIF($F$5:$F$2407,F871)=1,"OK","Дубликат")</f>
        <v/>
      </c>
    </row>
    <row r="872" ht="38" customHeight="1">
      <c r="A872" s="146" t="inlineStr">
        <is>
          <t>SUB-L3-12-25</t>
        </is>
      </c>
      <c r="B872" s="39" t="inlineStr">
        <is>
          <t>3 уровень</t>
        </is>
      </c>
      <c r="C872" s="34" t="inlineStr">
        <is>
          <t>Закрытые условия на абонементы</t>
        </is>
      </c>
      <c r="D872" s="34" t="inlineStr">
        <is>
          <t>Скидка 25% на абонемент 12 занятий</t>
        </is>
      </c>
      <c r="E872" s="34" t="inlineStr">
        <is>
          <t>При покупке абонемента на 12 занятий</t>
        </is>
      </c>
      <c r="F872" s="147" t="inlineStr">
        <is>
          <t>FW-L3-7BVSM-S3TS2</t>
        </is>
      </c>
      <c r="G872" s="39" t="inlineStr">
        <is>
          <t>Не использован</t>
        </is>
      </c>
      <c r="H872" s="148" t="n"/>
      <c r="I872" s="34" t="str"/>
      <c r="J872" s="34" t="str"/>
      <c r="K872" s="130" t="n">
        <v>68</v>
      </c>
      <c r="L872" s="43">
        <f>IF(COUNTIF($F$5:$F$2407,F872)=1,"OK","Дубликат")</f>
        <v/>
      </c>
    </row>
    <row r="873" ht="38" customHeight="1">
      <c r="A873" s="146" t="inlineStr">
        <is>
          <t>SUB-L3-12-25</t>
        </is>
      </c>
      <c r="B873" s="39" t="inlineStr">
        <is>
          <t>3 уровень</t>
        </is>
      </c>
      <c r="C873" s="34" t="inlineStr">
        <is>
          <t>Закрытые условия на абонементы</t>
        </is>
      </c>
      <c r="D873" s="34" t="inlineStr">
        <is>
          <t>Скидка 25% на абонемент 12 занятий</t>
        </is>
      </c>
      <c r="E873" s="34" t="inlineStr">
        <is>
          <t>При покупке абонемента на 12 занятий</t>
        </is>
      </c>
      <c r="F873" s="147" t="inlineStr">
        <is>
          <t>FW-L3-GTQXE-7ZWEN</t>
        </is>
      </c>
      <c r="G873" s="39" t="inlineStr">
        <is>
          <t>Не использован</t>
        </is>
      </c>
      <c r="H873" s="148" t="n"/>
      <c r="I873" s="34" t="str"/>
      <c r="J873" s="34" t="str"/>
      <c r="K873" s="130" t="n">
        <v>69</v>
      </c>
      <c r="L873" s="43">
        <f>IF(COUNTIF($F$5:$F$2407,F873)=1,"OK","Дубликат")</f>
        <v/>
      </c>
    </row>
    <row r="874" ht="38" customHeight="1">
      <c r="A874" s="146" t="inlineStr">
        <is>
          <t>SUB-L3-12-25</t>
        </is>
      </c>
      <c r="B874" s="39" t="inlineStr">
        <is>
          <t>3 уровень</t>
        </is>
      </c>
      <c r="C874" s="34" t="inlineStr">
        <is>
          <t>Закрытые условия на абонементы</t>
        </is>
      </c>
      <c r="D874" s="34" t="inlineStr">
        <is>
          <t>Скидка 25% на абонемент 12 занятий</t>
        </is>
      </c>
      <c r="E874" s="34" t="inlineStr">
        <is>
          <t>При покупке абонемента на 12 занятий</t>
        </is>
      </c>
      <c r="F874" s="147" t="inlineStr">
        <is>
          <t>FW-L3-5ML7D-TED64</t>
        </is>
      </c>
      <c r="G874" s="39" t="inlineStr">
        <is>
          <t>Не использован</t>
        </is>
      </c>
      <c r="H874" s="148" t="n"/>
      <c r="I874" s="34" t="str"/>
      <c r="J874" s="34" t="str"/>
      <c r="K874" s="130" t="n">
        <v>70</v>
      </c>
      <c r="L874" s="43">
        <f>IF(COUNTIF($F$5:$F$2407,F874)=1,"OK","Дубликат")</f>
        <v/>
      </c>
    </row>
    <row r="875" ht="38" customHeight="1">
      <c r="A875" s="146" t="inlineStr">
        <is>
          <t>SUB-L3-12-25</t>
        </is>
      </c>
      <c r="B875" s="39" t="inlineStr">
        <is>
          <t>3 уровень</t>
        </is>
      </c>
      <c r="C875" s="34" t="inlineStr">
        <is>
          <t>Закрытые условия на абонементы</t>
        </is>
      </c>
      <c r="D875" s="34" t="inlineStr">
        <is>
          <t>Скидка 25% на абонемент 12 занятий</t>
        </is>
      </c>
      <c r="E875" s="34" t="inlineStr">
        <is>
          <t>При покупке абонемента на 12 занятий</t>
        </is>
      </c>
      <c r="F875" s="147" t="inlineStr">
        <is>
          <t>FW-L3-PQ738-QN86K</t>
        </is>
      </c>
      <c r="G875" s="39" t="inlineStr">
        <is>
          <t>Не использован</t>
        </is>
      </c>
      <c r="H875" s="148" t="n"/>
      <c r="I875" s="34" t="str"/>
      <c r="J875" s="34" t="str"/>
      <c r="K875" s="130" t="n">
        <v>71</v>
      </c>
      <c r="L875" s="43">
        <f>IF(COUNTIF($F$5:$F$2407,F875)=1,"OK","Дубликат")</f>
        <v/>
      </c>
    </row>
    <row r="876" ht="38" customHeight="1">
      <c r="A876" s="146" t="inlineStr">
        <is>
          <t>SUB-L3-12-25</t>
        </is>
      </c>
      <c r="B876" s="39" t="inlineStr">
        <is>
          <t>3 уровень</t>
        </is>
      </c>
      <c r="C876" s="34" t="inlineStr">
        <is>
          <t>Закрытые условия на абонементы</t>
        </is>
      </c>
      <c r="D876" s="34" t="inlineStr">
        <is>
          <t>Скидка 25% на абонемент 12 занятий</t>
        </is>
      </c>
      <c r="E876" s="34" t="inlineStr">
        <is>
          <t>При покупке абонемента на 12 занятий</t>
        </is>
      </c>
      <c r="F876" s="147" t="inlineStr">
        <is>
          <t>FW-L3-PVQDQ-7QSB8</t>
        </is>
      </c>
      <c r="G876" s="39" t="inlineStr">
        <is>
          <t>Не использован</t>
        </is>
      </c>
      <c r="H876" s="148" t="n"/>
      <c r="I876" s="34" t="str"/>
      <c r="J876" s="34" t="str"/>
      <c r="K876" s="130" t="n">
        <v>72</v>
      </c>
      <c r="L876" s="43">
        <f>IF(COUNTIF($F$5:$F$2407,F876)=1,"OK","Дубликат")</f>
        <v/>
      </c>
    </row>
    <row r="877" ht="38" customHeight="1">
      <c r="A877" s="146" t="inlineStr">
        <is>
          <t>SUB-L3-12-25</t>
        </is>
      </c>
      <c r="B877" s="39" t="inlineStr">
        <is>
          <t>3 уровень</t>
        </is>
      </c>
      <c r="C877" s="34" t="inlineStr">
        <is>
          <t>Закрытые условия на абонементы</t>
        </is>
      </c>
      <c r="D877" s="34" t="inlineStr">
        <is>
          <t>Скидка 25% на абонемент 12 занятий</t>
        </is>
      </c>
      <c r="E877" s="34" t="inlineStr">
        <is>
          <t>При покупке абонемента на 12 занятий</t>
        </is>
      </c>
      <c r="F877" s="147" t="inlineStr">
        <is>
          <t>FW-L3-F2HM8-DXZ4Q</t>
        </is>
      </c>
      <c r="G877" s="39" t="inlineStr">
        <is>
          <t>Не использован</t>
        </is>
      </c>
      <c r="H877" s="148" t="n"/>
      <c r="I877" s="34" t="str"/>
      <c r="J877" s="34" t="str"/>
      <c r="K877" s="130" t="n">
        <v>73</v>
      </c>
      <c r="L877" s="43">
        <f>IF(COUNTIF($F$5:$F$2407,F877)=1,"OK","Дубликат")</f>
        <v/>
      </c>
    </row>
    <row r="878" ht="38" customHeight="1">
      <c r="A878" s="146" t="inlineStr">
        <is>
          <t>SUB-L3-12-25</t>
        </is>
      </c>
      <c r="B878" s="39" t="inlineStr">
        <is>
          <t>3 уровень</t>
        </is>
      </c>
      <c r="C878" s="34" t="inlineStr">
        <is>
          <t>Закрытые условия на абонементы</t>
        </is>
      </c>
      <c r="D878" s="34" t="inlineStr">
        <is>
          <t>Скидка 25% на абонемент 12 занятий</t>
        </is>
      </c>
      <c r="E878" s="34" t="inlineStr">
        <is>
          <t>При покупке абонемента на 12 занятий</t>
        </is>
      </c>
      <c r="F878" s="147" t="inlineStr">
        <is>
          <t>FW-L3-DEQQX-MY5PK</t>
        </is>
      </c>
      <c r="G878" s="39" t="inlineStr">
        <is>
          <t>Не использован</t>
        </is>
      </c>
      <c r="H878" s="148" t="n"/>
      <c r="I878" s="34" t="str"/>
      <c r="J878" s="34" t="str"/>
      <c r="K878" s="130" t="n">
        <v>74</v>
      </c>
      <c r="L878" s="43">
        <f>IF(COUNTIF($F$5:$F$2407,F878)=1,"OK","Дубликат")</f>
        <v/>
      </c>
    </row>
    <row r="879" ht="38" customHeight="1">
      <c r="A879" s="146" t="inlineStr">
        <is>
          <t>SUB-L3-12-25</t>
        </is>
      </c>
      <c r="B879" s="39" t="inlineStr">
        <is>
          <t>3 уровень</t>
        </is>
      </c>
      <c r="C879" s="34" t="inlineStr">
        <is>
          <t>Закрытые условия на абонементы</t>
        </is>
      </c>
      <c r="D879" s="34" t="inlineStr">
        <is>
          <t>Скидка 25% на абонемент 12 занятий</t>
        </is>
      </c>
      <c r="E879" s="34" t="inlineStr">
        <is>
          <t>При покупке абонемента на 12 занятий</t>
        </is>
      </c>
      <c r="F879" s="147" t="inlineStr">
        <is>
          <t>FW-L3-FDCU4-A4M9T</t>
        </is>
      </c>
      <c r="G879" s="39" t="inlineStr">
        <is>
          <t>Не использован</t>
        </is>
      </c>
      <c r="H879" s="148" t="n"/>
      <c r="I879" s="34" t="str"/>
      <c r="J879" s="34" t="str"/>
      <c r="K879" s="130" t="n">
        <v>75</v>
      </c>
      <c r="L879" s="43">
        <f>IF(COUNTIF($F$5:$F$2407,F879)=1,"OK","Дубликат")</f>
        <v/>
      </c>
    </row>
    <row r="880" ht="38" customHeight="1">
      <c r="A880" s="146" t="inlineStr">
        <is>
          <t>SUB-L3-12-25</t>
        </is>
      </c>
      <c r="B880" s="39" t="inlineStr">
        <is>
          <t>3 уровень</t>
        </is>
      </c>
      <c r="C880" s="34" t="inlineStr">
        <is>
          <t>Закрытые условия на абонементы</t>
        </is>
      </c>
      <c r="D880" s="34" t="inlineStr">
        <is>
          <t>Скидка 25% на абонемент 12 занятий</t>
        </is>
      </c>
      <c r="E880" s="34" t="inlineStr">
        <is>
          <t>При покупке абонемента на 12 занятий</t>
        </is>
      </c>
      <c r="F880" s="147" t="inlineStr">
        <is>
          <t>FW-L3-HAKDR-8HH5X</t>
        </is>
      </c>
      <c r="G880" s="39" t="inlineStr">
        <is>
          <t>Не использован</t>
        </is>
      </c>
      <c r="H880" s="148" t="n"/>
      <c r="I880" s="34" t="str"/>
      <c r="J880" s="34" t="str"/>
      <c r="K880" s="130" t="n">
        <v>76</v>
      </c>
      <c r="L880" s="43">
        <f>IF(COUNTIF($F$5:$F$2407,F880)=1,"OK","Дубликат")</f>
        <v/>
      </c>
    </row>
    <row r="881" ht="38" customHeight="1">
      <c r="A881" s="146" t="inlineStr">
        <is>
          <t>SUB-L3-12-25</t>
        </is>
      </c>
      <c r="B881" s="39" t="inlineStr">
        <is>
          <t>3 уровень</t>
        </is>
      </c>
      <c r="C881" s="34" t="inlineStr">
        <is>
          <t>Закрытые условия на абонементы</t>
        </is>
      </c>
      <c r="D881" s="34" t="inlineStr">
        <is>
          <t>Скидка 25% на абонемент 12 занятий</t>
        </is>
      </c>
      <c r="E881" s="34" t="inlineStr">
        <is>
          <t>При покупке абонемента на 12 занятий</t>
        </is>
      </c>
      <c r="F881" s="147" t="inlineStr">
        <is>
          <t>FW-L3-CASK9-HZW23</t>
        </is>
      </c>
      <c r="G881" s="39" t="inlineStr">
        <is>
          <t>Не использован</t>
        </is>
      </c>
      <c r="H881" s="148" t="n"/>
      <c r="I881" s="34" t="str"/>
      <c r="J881" s="34" t="str"/>
      <c r="K881" s="130" t="n">
        <v>77</v>
      </c>
      <c r="L881" s="43">
        <f>IF(COUNTIF($F$5:$F$2407,F881)=1,"OK","Дубликат")</f>
        <v/>
      </c>
    </row>
    <row r="882" ht="38" customHeight="1">
      <c r="A882" s="146" t="inlineStr">
        <is>
          <t>SUB-L3-12-25</t>
        </is>
      </c>
      <c r="B882" s="39" t="inlineStr">
        <is>
          <t>3 уровень</t>
        </is>
      </c>
      <c r="C882" s="34" t="inlineStr">
        <is>
          <t>Закрытые условия на абонементы</t>
        </is>
      </c>
      <c r="D882" s="34" t="inlineStr">
        <is>
          <t>Скидка 25% на абонемент 12 занятий</t>
        </is>
      </c>
      <c r="E882" s="34" t="inlineStr">
        <is>
          <t>При покупке абонемента на 12 занятий</t>
        </is>
      </c>
      <c r="F882" s="147" t="inlineStr">
        <is>
          <t>FW-L3-U3HQ6-BJXGT</t>
        </is>
      </c>
      <c r="G882" s="39" t="inlineStr">
        <is>
          <t>Не использован</t>
        </is>
      </c>
      <c r="H882" s="148" t="n"/>
      <c r="I882" s="34" t="str"/>
      <c r="J882" s="34" t="str"/>
      <c r="K882" s="130" t="n">
        <v>78</v>
      </c>
      <c r="L882" s="43">
        <f>IF(COUNTIF($F$5:$F$2407,F882)=1,"OK","Дубликат")</f>
        <v/>
      </c>
    </row>
    <row r="883" ht="38" customHeight="1">
      <c r="A883" s="146" t="inlineStr">
        <is>
          <t>SUB-L3-12-25</t>
        </is>
      </c>
      <c r="B883" s="39" t="inlineStr">
        <is>
          <t>3 уровень</t>
        </is>
      </c>
      <c r="C883" s="34" t="inlineStr">
        <is>
          <t>Закрытые условия на абонементы</t>
        </is>
      </c>
      <c r="D883" s="34" t="inlineStr">
        <is>
          <t>Скидка 25% на абонемент 12 занятий</t>
        </is>
      </c>
      <c r="E883" s="34" t="inlineStr">
        <is>
          <t>При покупке абонемента на 12 занятий</t>
        </is>
      </c>
      <c r="F883" s="147" t="inlineStr">
        <is>
          <t>FW-L3-HHEPY-B6GC8</t>
        </is>
      </c>
      <c r="G883" s="39" t="inlineStr">
        <is>
          <t>Не использован</t>
        </is>
      </c>
      <c r="H883" s="148" t="n"/>
      <c r="I883" s="34" t="str"/>
      <c r="J883" s="34" t="str"/>
      <c r="K883" s="130" t="n">
        <v>79</v>
      </c>
      <c r="L883" s="43">
        <f>IF(COUNTIF($F$5:$F$2407,F883)=1,"OK","Дубликат")</f>
        <v/>
      </c>
    </row>
    <row r="884" ht="38" customHeight="1">
      <c r="A884" s="146" t="inlineStr">
        <is>
          <t>SUB-L3-12-25</t>
        </is>
      </c>
      <c r="B884" s="39" t="inlineStr">
        <is>
          <t>3 уровень</t>
        </is>
      </c>
      <c r="C884" s="34" t="inlineStr">
        <is>
          <t>Закрытые условия на абонементы</t>
        </is>
      </c>
      <c r="D884" s="34" t="inlineStr">
        <is>
          <t>Скидка 25% на абонемент 12 занятий</t>
        </is>
      </c>
      <c r="E884" s="34" t="inlineStr">
        <is>
          <t>При покупке абонемента на 12 занятий</t>
        </is>
      </c>
      <c r="F884" s="147" t="inlineStr">
        <is>
          <t>FW-L3-45DJM-U7BJK</t>
        </is>
      </c>
      <c r="G884" s="39" t="inlineStr">
        <is>
          <t>Не использован</t>
        </is>
      </c>
      <c r="H884" s="148" t="n"/>
      <c r="I884" s="34" t="str"/>
      <c r="J884" s="34" t="str"/>
      <c r="K884" s="130" t="n">
        <v>80</v>
      </c>
      <c r="L884" s="43">
        <f>IF(COUNTIF($F$5:$F$2407,F884)=1,"OK","Дубликат")</f>
        <v/>
      </c>
    </row>
    <row r="885" ht="38" customHeight="1">
      <c r="A885" s="146" t="inlineStr">
        <is>
          <t>SUB-L3-12-25</t>
        </is>
      </c>
      <c r="B885" s="39" t="inlineStr">
        <is>
          <t>3 уровень</t>
        </is>
      </c>
      <c r="C885" s="34" t="inlineStr">
        <is>
          <t>Закрытые условия на абонементы</t>
        </is>
      </c>
      <c r="D885" s="34" t="inlineStr">
        <is>
          <t>Скидка 25% на абонемент 12 занятий</t>
        </is>
      </c>
      <c r="E885" s="34" t="inlineStr">
        <is>
          <t>При покупке абонемента на 12 занятий</t>
        </is>
      </c>
      <c r="F885" s="147" t="inlineStr">
        <is>
          <t>FW-L3-Z9SHW-EF69H</t>
        </is>
      </c>
      <c r="G885" s="39" t="inlineStr">
        <is>
          <t>Не использован</t>
        </is>
      </c>
      <c r="H885" s="148" t="n"/>
      <c r="I885" s="34" t="str"/>
      <c r="J885" s="34" t="str"/>
      <c r="K885" s="130" t="n">
        <v>81</v>
      </c>
      <c r="L885" s="43">
        <f>IF(COUNTIF($F$5:$F$2407,F885)=1,"OK","Дубликат")</f>
        <v/>
      </c>
    </row>
    <row r="886" ht="38" customHeight="1">
      <c r="A886" s="146" t="inlineStr">
        <is>
          <t>SUB-L3-12-25</t>
        </is>
      </c>
      <c r="B886" s="39" t="inlineStr">
        <is>
          <t>3 уровень</t>
        </is>
      </c>
      <c r="C886" s="34" t="inlineStr">
        <is>
          <t>Закрытые условия на абонементы</t>
        </is>
      </c>
      <c r="D886" s="34" t="inlineStr">
        <is>
          <t>Скидка 25% на абонемент 12 занятий</t>
        </is>
      </c>
      <c r="E886" s="34" t="inlineStr">
        <is>
          <t>При покупке абонемента на 12 занятий</t>
        </is>
      </c>
      <c r="F886" s="147" t="inlineStr">
        <is>
          <t>FW-L3-6PYJU-X4AKA</t>
        </is>
      </c>
      <c r="G886" s="39" t="inlineStr">
        <is>
          <t>Не использован</t>
        </is>
      </c>
      <c r="H886" s="148" t="n"/>
      <c r="I886" s="34" t="str"/>
      <c r="J886" s="34" t="str"/>
      <c r="K886" s="130" t="n">
        <v>82</v>
      </c>
      <c r="L886" s="43">
        <f>IF(COUNTIF($F$5:$F$2407,F886)=1,"OK","Дубликат")</f>
        <v/>
      </c>
    </row>
    <row r="887" ht="38" customHeight="1">
      <c r="A887" s="146" t="inlineStr">
        <is>
          <t>SUB-L3-12-25</t>
        </is>
      </c>
      <c r="B887" s="39" t="inlineStr">
        <is>
          <t>3 уровень</t>
        </is>
      </c>
      <c r="C887" s="34" t="inlineStr">
        <is>
          <t>Закрытые условия на абонементы</t>
        </is>
      </c>
      <c r="D887" s="34" t="inlineStr">
        <is>
          <t>Скидка 25% на абонемент 12 занятий</t>
        </is>
      </c>
      <c r="E887" s="34" t="inlineStr">
        <is>
          <t>При покупке абонемента на 12 занятий</t>
        </is>
      </c>
      <c r="F887" s="147" t="inlineStr">
        <is>
          <t>FW-L3-MQEJX-TGWPE</t>
        </is>
      </c>
      <c r="G887" s="39" t="inlineStr">
        <is>
          <t>Не использован</t>
        </is>
      </c>
      <c r="H887" s="148" t="n"/>
      <c r="I887" s="34" t="str"/>
      <c r="J887" s="34" t="str"/>
      <c r="K887" s="130" t="n">
        <v>83</v>
      </c>
      <c r="L887" s="43">
        <f>IF(COUNTIF($F$5:$F$2407,F887)=1,"OK","Дубликат")</f>
        <v/>
      </c>
    </row>
    <row r="888" ht="38" customHeight="1">
      <c r="A888" s="146" t="inlineStr">
        <is>
          <t>SUB-L3-12-25</t>
        </is>
      </c>
      <c r="B888" s="39" t="inlineStr">
        <is>
          <t>3 уровень</t>
        </is>
      </c>
      <c r="C888" s="34" t="inlineStr">
        <is>
          <t>Закрытые условия на абонементы</t>
        </is>
      </c>
      <c r="D888" s="34" t="inlineStr">
        <is>
          <t>Скидка 25% на абонемент 12 занятий</t>
        </is>
      </c>
      <c r="E888" s="34" t="inlineStr">
        <is>
          <t>При покупке абонемента на 12 занятий</t>
        </is>
      </c>
      <c r="F888" s="147" t="inlineStr">
        <is>
          <t>FW-L3-J445K-C48HR</t>
        </is>
      </c>
      <c r="G888" s="39" t="inlineStr">
        <is>
          <t>Не использован</t>
        </is>
      </c>
      <c r="H888" s="148" t="n"/>
      <c r="I888" s="34" t="str"/>
      <c r="J888" s="34" t="str"/>
      <c r="K888" s="130" t="n">
        <v>84</v>
      </c>
      <c r="L888" s="43">
        <f>IF(COUNTIF($F$5:$F$2407,F888)=1,"OK","Дубликат")</f>
        <v/>
      </c>
    </row>
    <row r="889" ht="38" customHeight="1">
      <c r="A889" s="146" t="inlineStr">
        <is>
          <t>SUB-L3-12-25</t>
        </is>
      </c>
      <c r="B889" s="39" t="inlineStr">
        <is>
          <t>3 уровень</t>
        </is>
      </c>
      <c r="C889" s="34" t="inlineStr">
        <is>
          <t>Закрытые условия на абонементы</t>
        </is>
      </c>
      <c r="D889" s="34" t="inlineStr">
        <is>
          <t>Скидка 25% на абонемент 12 занятий</t>
        </is>
      </c>
      <c r="E889" s="34" t="inlineStr">
        <is>
          <t>При покупке абонемента на 12 занятий</t>
        </is>
      </c>
      <c r="F889" s="147" t="inlineStr">
        <is>
          <t>FW-L3-ZMX24-44UTP</t>
        </is>
      </c>
      <c r="G889" s="39" t="inlineStr">
        <is>
          <t>Не использован</t>
        </is>
      </c>
      <c r="H889" s="148" t="n"/>
      <c r="I889" s="34" t="str"/>
      <c r="J889" s="34" t="str"/>
      <c r="K889" s="130" t="n">
        <v>85</v>
      </c>
      <c r="L889" s="43">
        <f>IF(COUNTIF($F$5:$F$2407,F889)=1,"OK","Дубликат")</f>
        <v/>
      </c>
    </row>
    <row r="890" ht="38" customHeight="1">
      <c r="A890" s="146" t="inlineStr">
        <is>
          <t>SUB-L3-12-25</t>
        </is>
      </c>
      <c r="B890" s="39" t="inlineStr">
        <is>
          <t>3 уровень</t>
        </is>
      </c>
      <c r="C890" s="34" t="inlineStr">
        <is>
          <t>Закрытые условия на абонементы</t>
        </is>
      </c>
      <c r="D890" s="34" t="inlineStr">
        <is>
          <t>Скидка 25% на абонемент 12 занятий</t>
        </is>
      </c>
      <c r="E890" s="34" t="inlineStr">
        <is>
          <t>При покупке абонемента на 12 занятий</t>
        </is>
      </c>
      <c r="F890" s="147" t="inlineStr">
        <is>
          <t>FW-L3-VVCTY-PEBCA</t>
        </is>
      </c>
      <c r="G890" s="39" t="inlineStr">
        <is>
          <t>Не использован</t>
        </is>
      </c>
      <c r="H890" s="148" t="n"/>
      <c r="I890" s="34" t="str"/>
      <c r="J890" s="34" t="str"/>
      <c r="K890" s="130" t="n">
        <v>86</v>
      </c>
      <c r="L890" s="43">
        <f>IF(COUNTIF($F$5:$F$2407,F890)=1,"OK","Дубликат")</f>
        <v/>
      </c>
    </row>
    <row r="891" ht="38" customHeight="1">
      <c r="A891" s="146" t="inlineStr">
        <is>
          <t>SUB-L3-12-25</t>
        </is>
      </c>
      <c r="B891" s="39" t="inlineStr">
        <is>
          <t>3 уровень</t>
        </is>
      </c>
      <c r="C891" s="34" t="inlineStr">
        <is>
          <t>Закрытые условия на абонементы</t>
        </is>
      </c>
      <c r="D891" s="34" t="inlineStr">
        <is>
          <t>Скидка 25% на абонемент 12 занятий</t>
        </is>
      </c>
      <c r="E891" s="34" t="inlineStr">
        <is>
          <t>При покупке абонемента на 12 занятий</t>
        </is>
      </c>
      <c r="F891" s="147" t="inlineStr">
        <is>
          <t>FW-L3-N9K79-RZG85</t>
        </is>
      </c>
      <c r="G891" s="39" t="inlineStr">
        <is>
          <t>Не использован</t>
        </is>
      </c>
      <c r="H891" s="148" t="n"/>
      <c r="I891" s="34" t="str"/>
      <c r="J891" s="34" t="str"/>
      <c r="K891" s="130" t="n">
        <v>87</v>
      </c>
      <c r="L891" s="43">
        <f>IF(COUNTIF($F$5:$F$2407,F891)=1,"OK","Дубликат")</f>
        <v/>
      </c>
    </row>
    <row r="892" ht="38" customHeight="1">
      <c r="A892" s="146" t="inlineStr">
        <is>
          <t>SUB-L3-12-25</t>
        </is>
      </c>
      <c r="B892" s="39" t="inlineStr">
        <is>
          <t>3 уровень</t>
        </is>
      </c>
      <c r="C892" s="34" t="inlineStr">
        <is>
          <t>Закрытые условия на абонементы</t>
        </is>
      </c>
      <c r="D892" s="34" t="inlineStr">
        <is>
          <t>Скидка 25% на абонемент 12 занятий</t>
        </is>
      </c>
      <c r="E892" s="34" t="inlineStr">
        <is>
          <t>При покупке абонемента на 12 занятий</t>
        </is>
      </c>
      <c r="F892" s="147" t="inlineStr">
        <is>
          <t>FW-L3-6MY2R-BHWW6</t>
        </is>
      </c>
      <c r="G892" s="39" t="inlineStr">
        <is>
          <t>Не использован</t>
        </is>
      </c>
      <c r="H892" s="148" t="n"/>
      <c r="I892" s="34" t="str"/>
      <c r="J892" s="34" t="str"/>
      <c r="K892" s="130" t="n">
        <v>88</v>
      </c>
      <c r="L892" s="43">
        <f>IF(COUNTIF($F$5:$F$2407,F892)=1,"OK","Дубликат")</f>
        <v/>
      </c>
    </row>
    <row r="893" ht="38" customHeight="1">
      <c r="A893" s="146" t="inlineStr">
        <is>
          <t>SUB-L3-12-25</t>
        </is>
      </c>
      <c r="B893" s="39" t="inlineStr">
        <is>
          <t>3 уровень</t>
        </is>
      </c>
      <c r="C893" s="34" t="inlineStr">
        <is>
          <t>Закрытые условия на абонементы</t>
        </is>
      </c>
      <c r="D893" s="34" t="inlineStr">
        <is>
          <t>Скидка 25% на абонемент 12 занятий</t>
        </is>
      </c>
      <c r="E893" s="34" t="inlineStr">
        <is>
          <t>При покупке абонемента на 12 занятий</t>
        </is>
      </c>
      <c r="F893" s="147" t="inlineStr">
        <is>
          <t>FW-L3-RG8AR-YLGZU</t>
        </is>
      </c>
      <c r="G893" s="39" t="inlineStr">
        <is>
          <t>Не использован</t>
        </is>
      </c>
      <c r="H893" s="148" t="n"/>
      <c r="I893" s="34" t="str"/>
      <c r="J893" s="34" t="str"/>
      <c r="K893" s="130" t="n">
        <v>89</v>
      </c>
      <c r="L893" s="43">
        <f>IF(COUNTIF($F$5:$F$2407,F893)=1,"OK","Дубликат")</f>
        <v/>
      </c>
    </row>
    <row r="894" ht="38" customHeight="1">
      <c r="A894" s="146" t="inlineStr">
        <is>
          <t>SUB-L3-12-25</t>
        </is>
      </c>
      <c r="B894" s="39" t="inlineStr">
        <is>
          <t>3 уровень</t>
        </is>
      </c>
      <c r="C894" s="34" t="inlineStr">
        <is>
          <t>Закрытые условия на абонементы</t>
        </is>
      </c>
      <c r="D894" s="34" t="inlineStr">
        <is>
          <t>Скидка 25% на абонемент 12 занятий</t>
        </is>
      </c>
      <c r="E894" s="34" t="inlineStr">
        <is>
          <t>При покупке абонемента на 12 занятий</t>
        </is>
      </c>
      <c r="F894" s="147" t="inlineStr">
        <is>
          <t>FW-L3-8N4FJ-X23DZ</t>
        </is>
      </c>
      <c r="G894" s="39" t="inlineStr">
        <is>
          <t>Не использован</t>
        </is>
      </c>
      <c r="H894" s="148" t="n"/>
      <c r="I894" s="34" t="str"/>
      <c r="J894" s="34" t="str"/>
      <c r="K894" s="130" t="n">
        <v>90</v>
      </c>
      <c r="L894" s="43">
        <f>IF(COUNTIF($F$5:$F$2407,F894)=1,"OK","Дубликат")</f>
        <v/>
      </c>
    </row>
    <row r="895" ht="38" customHeight="1">
      <c r="A895" s="146" t="inlineStr">
        <is>
          <t>SUB-L3-12-25</t>
        </is>
      </c>
      <c r="B895" s="39" t="inlineStr">
        <is>
          <t>3 уровень</t>
        </is>
      </c>
      <c r="C895" s="34" t="inlineStr">
        <is>
          <t>Закрытые условия на абонементы</t>
        </is>
      </c>
      <c r="D895" s="34" t="inlineStr">
        <is>
          <t>Скидка 25% на абонемент 12 занятий</t>
        </is>
      </c>
      <c r="E895" s="34" t="inlineStr">
        <is>
          <t>При покупке абонемента на 12 занятий</t>
        </is>
      </c>
      <c r="F895" s="147" t="inlineStr">
        <is>
          <t>FW-L3-R3KAA-P4FGX</t>
        </is>
      </c>
      <c r="G895" s="39" t="inlineStr">
        <is>
          <t>Не использован</t>
        </is>
      </c>
      <c r="H895" s="148" t="n"/>
      <c r="I895" s="34" t="str"/>
      <c r="J895" s="34" t="str"/>
      <c r="K895" s="130" t="n">
        <v>91</v>
      </c>
      <c r="L895" s="43">
        <f>IF(COUNTIF($F$5:$F$2407,F895)=1,"OK","Дубликат")</f>
        <v/>
      </c>
    </row>
    <row r="896" ht="38" customHeight="1">
      <c r="A896" s="146" t="inlineStr">
        <is>
          <t>SUB-L3-12-25</t>
        </is>
      </c>
      <c r="B896" s="39" t="inlineStr">
        <is>
          <t>3 уровень</t>
        </is>
      </c>
      <c r="C896" s="34" t="inlineStr">
        <is>
          <t>Закрытые условия на абонементы</t>
        </is>
      </c>
      <c r="D896" s="34" t="inlineStr">
        <is>
          <t>Скидка 25% на абонемент 12 занятий</t>
        </is>
      </c>
      <c r="E896" s="34" t="inlineStr">
        <is>
          <t>При покупке абонемента на 12 занятий</t>
        </is>
      </c>
      <c r="F896" s="147" t="inlineStr">
        <is>
          <t>FW-L3-PETFT-TBXQ3</t>
        </is>
      </c>
      <c r="G896" s="39" t="inlineStr">
        <is>
          <t>Не использован</t>
        </is>
      </c>
      <c r="H896" s="148" t="n"/>
      <c r="I896" s="34" t="str"/>
      <c r="J896" s="34" t="str"/>
      <c r="K896" s="130" t="n">
        <v>92</v>
      </c>
      <c r="L896" s="43">
        <f>IF(COUNTIF($F$5:$F$2407,F896)=1,"OK","Дубликат")</f>
        <v/>
      </c>
    </row>
    <row r="897" ht="38" customHeight="1">
      <c r="A897" s="146" t="inlineStr">
        <is>
          <t>SUB-L3-12-25</t>
        </is>
      </c>
      <c r="B897" s="39" t="inlineStr">
        <is>
          <t>3 уровень</t>
        </is>
      </c>
      <c r="C897" s="34" t="inlineStr">
        <is>
          <t>Закрытые условия на абонементы</t>
        </is>
      </c>
      <c r="D897" s="34" t="inlineStr">
        <is>
          <t>Скидка 25% на абонемент 12 занятий</t>
        </is>
      </c>
      <c r="E897" s="34" t="inlineStr">
        <is>
          <t>При покупке абонемента на 12 занятий</t>
        </is>
      </c>
      <c r="F897" s="147" t="inlineStr">
        <is>
          <t>FW-L3-N9TBX-CV8J6</t>
        </is>
      </c>
      <c r="G897" s="39" t="inlineStr">
        <is>
          <t>Не использован</t>
        </is>
      </c>
      <c r="H897" s="148" t="n"/>
      <c r="I897" s="34" t="str"/>
      <c r="J897" s="34" t="str"/>
      <c r="K897" s="130" t="n">
        <v>93</v>
      </c>
      <c r="L897" s="43">
        <f>IF(COUNTIF($F$5:$F$2407,F897)=1,"OK","Дубликат")</f>
        <v/>
      </c>
    </row>
    <row r="898" ht="38" customHeight="1">
      <c r="A898" s="146" t="inlineStr">
        <is>
          <t>SUB-L3-12-25</t>
        </is>
      </c>
      <c r="B898" s="39" t="inlineStr">
        <is>
          <t>3 уровень</t>
        </is>
      </c>
      <c r="C898" s="34" t="inlineStr">
        <is>
          <t>Закрытые условия на абонементы</t>
        </is>
      </c>
      <c r="D898" s="34" t="inlineStr">
        <is>
          <t>Скидка 25% на абонемент 12 занятий</t>
        </is>
      </c>
      <c r="E898" s="34" t="inlineStr">
        <is>
          <t>При покупке абонемента на 12 занятий</t>
        </is>
      </c>
      <c r="F898" s="147" t="inlineStr">
        <is>
          <t>FW-L3-876WA-K82RC</t>
        </is>
      </c>
      <c r="G898" s="39" t="inlineStr">
        <is>
          <t>Не использован</t>
        </is>
      </c>
      <c r="H898" s="148" t="n"/>
      <c r="I898" s="34" t="str"/>
      <c r="J898" s="34" t="str"/>
      <c r="K898" s="130" t="n">
        <v>94</v>
      </c>
      <c r="L898" s="43">
        <f>IF(COUNTIF($F$5:$F$2407,F898)=1,"OK","Дубликат")</f>
        <v/>
      </c>
    </row>
    <row r="899" ht="38" customHeight="1">
      <c r="A899" s="146" t="inlineStr">
        <is>
          <t>SUB-L3-12-25</t>
        </is>
      </c>
      <c r="B899" s="39" t="inlineStr">
        <is>
          <t>3 уровень</t>
        </is>
      </c>
      <c r="C899" s="34" t="inlineStr">
        <is>
          <t>Закрытые условия на абонементы</t>
        </is>
      </c>
      <c r="D899" s="34" t="inlineStr">
        <is>
          <t>Скидка 25% на абонемент 12 занятий</t>
        </is>
      </c>
      <c r="E899" s="34" t="inlineStr">
        <is>
          <t>При покупке абонемента на 12 занятий</t>
        </is>
      </c>
      <c r="F899" s="147" t="inlineStr">
        <is>
          <t>FW-L3-HJGWL-LJAQG</t>
        </is>
      </c>
      <c r="G899" s="39" t="inlineStr">
        <is>
          <t>Не использован</t>
        </is>
      </c>
      <c r="H899" s="148" t="n"/>
      <c r="I899" s="34" t="str"/>
      <c r="J899" s="34" t="str"/>
      <c r="K899" s="130" t="n">
        <v>95</v>
      </c>
      <c r="L899" s="43">
        <f>IF(COUNTIF($F$5:$F$2407,F899)=1,"OK","Дубликат")</f>
        <v/>
      </c>
    </row>
    <row r="900" ht="38" customHeight="1">
      <c r="A900" s="146" t="inlineStr">
        <is>
          <t>SUB-L3-12-25</t>
        </is>
      </c>
      <c r="B900" s="39" t="inlineStr">
        <is>
          <t>3 уровень</t>
        </is>
      </c>
      <c r="C900" s="34" t="inlineStr">
        <is>
          <t>Закрытые условия на абонементы</t>
        </is>
      </c>
      <c r="D900" s="34" t="inlineStr">
        <is>
          <t>Скидка 25% на абонемент 12 занятий</t>
        </is>
      </c>
      <c r="E900" s="34" t="inlineStr">
        <is>
          <t>При покупке абонемента на 12 занятий</t>
        </is>
      </c>
      <c r="F900" s="147" t="inlineStr">
        <is>
          <t>FW-L3-H6DEY-4XB9T</t>
        </is>
      </c>
      <c r="G900" s="39" t="inlineStr">
        <is>
          <t>Не использован</t>
        </is>
      </c>
      <c r="H900" s="148" t="n"/>
      <c r="I900" s="34" t="str"/>
      <c r="J900" s="34" t="str"/>
      <c r="K900" s="130" t="n">
        <v>96</v>
      </c>
      <c r="L900" s="43">
        <f>IF(COUNTIF($F$5:$F$2407,F900)=1,"OK","Дубликат")</f>
        <v/>
      </c>
    </row>
    <row r="901" ht="38" customHeight="1">
      <c r="A901" s="146" t="inlineStr">
        <is>
          <t>SUB-L3-12-25</t>
        </is>
      </c>
      <c r="B901" s="39" t="inlineStr">
        <is>
          <t>3 уровень</t>
        </is>
      </c>
      <c r="C901" s="34" t="inlineStr">
        <is>
          <t>Закрытые условия на абонементы</t>
        </is>
      </c>
      <c r="D901" s="34" t="inlineStr">
        <is>
          <t>Скидка 25% на абонемент 12 занятий</t>
        </is>
      </c>
      <c r="E901" s="34" t="inlineStr">
        <is>
          <t>При покупке абонемента на 12 занятий</t>
        </is>
      </c>
      <c r="F901" s="147" t="inlineStr">
        <is>
          <t>FW-L3-HXYFA-MTB7N</t>
        </is>
      </c>
      <c r="G901" s="39" t="inlineStr">
        <is>
          <t>Не использован</t>
        </is>
      </c>
      <c r="H901" s="148" t="n"/>
      <c r="I901" s="34" t="str"/>
      <c r="J901" s="34" t="str"/>
      <c r="K901" s="130" t="n">
        <v>97</v>
      </c>
      <c r="L901" s="43">
        <f>IF(COUNTIF($F$5:$F$2407,F901)=1,"OK","Дубликат")</f>
        <v/>
      </c>
    </row>
    <row r="902" ht="38" customHeight="1">
      <c r="A902" s="146" t="inlineStr">
        <is>
          <t>SUB-L3-12-25</t>
        </is>
      </c>
      <c r="B902" s="39" t="inlineStr">
        <is>
          <t>3 уровень</t>
        </is>
      </c>
      <c r="C902" s="34" t="inlineStr">
        <is>
          <t>Закрытые условия на абонементы</t>
        </is>
      </c>
      <c r="D902" s="34" t="inlineStr">
        <is>
          <t>Скидка 25% на абонемент 12 занятий</t>
        </is>
      </c>
      <c r="E902" s="34" t="inlineStr">
        <is>
          <t>При покупке абонемента на 12 занятий</t>
        </is>
      </c>
      <c r="F902" s="147" t="inlineStr">
        <is>
          <t>FW-L3-R4LF9-J9MA5</t>
        </is>
      </c>
      <c r="G902" s="39" t="inlineStr">
        <is>
          <t>Не использован</t>
        </is>
      </c>
      <c r="H902" s="148" t="n"/>
      <c r="I902" s="34" t="str"/>
      <c r="J902" s="34" t="str"/>
      <c r="K902" s="130" t="n">
        <v>98</v>
      </c>
      <c r="L902" s="43">
        <f>IF(COUNTIF($F$5:$F$2407,F902)=1,"OK","Дубликат")</f>
        <v/>
      </c>
    </row>
    <row r="903" ht="38" customHeight="1">
      <c r="A903" s="146" t="inlineStr">
        <is>
          <t>SUB-L3-12-25</t>
        </is>
      </c>
      <c r="B903" s="39" t="inlineStr">
        <is>
          <t>3 уровень</t>
        </is>
      </c>
      <c r="C903" s="34" t="inlineStr">
        <is>
          <t>Закрытые условия на абонементы</t>
        </is>
      </c>
      <c r="D903" s="34" t="inlineStr">
        <is>
          <t>Скидка 25% на абонемент 12 занятий</t>
        </is>
      </c>
      <c r="E903" s="34" t="inlineStr">
        <is>
          <t>При покупке абонемента на 12 занятий</t>
        </is>
      </c>
      <c r="F903" s="147" t="inlineStr">
        <is>
          <t>FW-L3-JGQ56-PQ5NX</t>
        </is>
      </c>
      <c r="G903" s="39" t="inlineStr">
        <is>
          <t>Не использован</t>
        </is>
      </c>
      <c r="H903" s="148" t="n"/>
      <c r="I903" s="34" t="str"/>
      <c r="J903" s="34" t="str"/>
      <c r="K903" s="130" t="n">
        <v>99</v>
      </c>
      <c r="L903" s="43">
        <f>IF(COUNTIF($F$5:$F$2407,F903)=1,"OK","Дубликат")</f>
        <v/>
      </c>
    </row>
    <row r="904" ht="38" customHeight="1">
      <c r="A904" s="146" t="inlineStr">
        <is>
          <t>SUB-L3-12-25</t>
        </is>
      </c>
      <c r="B904" s="39" t="inlineStr">
        <is>
          <t>3 уровень</t>
        </is>
      </c>
      <c r="C904" s="34" t="inlineStr">
        <is>
          <t>Закрытые условия на абонементы</t>
        </is>
      </c>
      <c r="D904" s="34" t="inlineStr">
        <is>
          <t>Скидка 25% на абонемент 12 занятий</t>
        </is>
      </c>
      <c r="E904" s="34" t="inlineStr">
        <is>
          <t>При покупке абонемента на 12 занятий</t>
        </is>
      </c>
      <c r="F904" s="147" t="inlineStr">
        <is>
          <t>FW-L3-6DJ2J-65GGG</t>
        </is>
      </c>
      <c r="G904" s="39" t="inlineStr">
        <is>
          <t>Не использован</t>
        </is>
      </c>
      <c r="H904" s="148" t="n"/>
      <c r="I904" s="34" t="str"/>
      <c r="J904" s="34" t="str"/>
      <c r="K904" s="130" t="n">
        <v>100</v>
      </c>
      <c r="L904" s="43">
        <f>IF(COUNTIF($F$5:$F$2407,F904)=1,"OK","Дубликат")</f>
        <v/>
      </c>
    </row>
    <row r="905" ht="38" customHeight="1">
      <c r="A905" s="146" t="inlineStr">
        <is>
          <t>SUB-L3-12-25</t>
        </is>
      </c>
      <c r="B905" s="39" t="inlineStr">
        <is>
          <t>3 уровень</t>
        </is>
      </c>
      <c r="C905" s="34" t="inlineStr">
        <is>
          <t>Закрытые условия на абонементы</t>
        </is>
      </c>
      <c r="D905" s="34" t="inlineStr">
        <is>
          <t>Скидка 25% на абонемент 12 занятий</t>
        </is>
      </c>
      <c r="E905" s="34" t="inlineStr">
        <is>
          <t>При покупке абонемента на 12 занятий</t>
        </is>
      </c>
      <c r="F905" s="147" t="inlineStr">
        <is>
          <t>FW-L3-U3KVR-ZFJD8</t>
        </is>
      </c>
      <c r="G905" s="39" t="inlineStr">
        <is>
          <t>Не использован</t>
        </is>
      </c>
      <c r="H905" s="148" t="n"/>
      <c r="I905" s="34" t="str"/>
      <c r="J905" s="34" t="str"/>
      <c r="K905" s="130" t="n">
        <v>101</v>
      </c>
      <c r="L905" s="43">
        <f>IF(COUNTIF($F$5:$F$2407,F905)=1,"OK","Дубликат")</f>
        <v/>
      </c>
    </row>
    <row r="906" ht="38" customHeight="1">
      <c r="A906" s="146" t="inlineStr">
        <is>
          <t>SUB-L3-12-25</t>
        </is>
      </c>
      <c r="B906" s="39" t="inlineStr">
        <is>
          <t>3 уровень</t>
        </is>
      </c>
      <c r="C906" s="34" t="inlineStr">
        <is>
          <t>Закрытые условия на абонементы</t>
        </is>
      </c>
      <c r="D906" s="34" t="inlineStr">
        <is>
          <t>Скидка 25% на абонемент 12 занятий</t>
        </is>
      </c>
      <c r="E906" s="34" t="inlineStr">
        <is>
          <t>При покупке абонемента на 12 занятий</t>
        </is>
      </c>
      <c r="F906" s="147" t="inlineStr">
        <is>
          <t>FW-L3-ZND83-NLUUG</t>
        </is>
      </c>
      <c r="G906" s="39" t="inlineStr">
        <is>
          <t>Не использован</t>
        </is>
      </c>
      <c r="H906" s="148" t="n"/>
      <c r="I906" s="34" t="str"/>
      <c r="J906" s="34" t="str"/>
      <c r="K906" s="130" t="n">
        <v>102</v>
      </c>
      <c r="L906" s="43">
        <f>IF(COUNTIF($F$5:$F$2407,F906)=1,"OK","Дубликат")</f>
        <v/>
      </c>
    </row>
    <row r="907" ht="38" customHeight="1">
      <c r="A907" s="146" t="inlineStr">
        <is>
          <t>SUB-L3-12-25</t>
        </is>
      </c>
      <c r="B907" s="39" t="inlineStr">
        <is>
          <t>3 уровень</t>
        </is>
      </c>
      <c r="C907" s="34" t="inlineStr">
        <is>
          <t>Закрытые условия на абонементы</t>
        </is>
      </c>
      <c r="D907" s="34" t="inlineStr">
        <is>
          <t>Скидка 25% на абонемент 12 занятий</t>
        </is>
      </c>
      <c r="E907" s="34" t="inlineStr">
        <is>
          <t>При покупке абонемента на 12 занятий</t>
        </is>
      </c>
      <c r="F907" s="147" t="inlineStr">
        <is>
          <t>FW-L3-ARY4C-L9JYX</t>
        </is>
      </c>
      <c r="G907" s="39" t="inlineStr">
        <is>
          <t>Не использован</t>
        </is>
      </c>
      <c r="H907" s="148" t="n"/>
      <c r="I907" s="34" t="str"/>
      <c r="J907" s="34" t="str"/>
      <c r="K907" s="130" t="n">
        <v>103</v>
      </c>
      <c r="L907" s="43">
        <f>IF(COUNTIF($F$5:$F$2407,F907)=1,"OK","Дубликат")</f>
        <v/>
      </c>
    </row>
    <row r="908" ht="38" customHeight="1">
      <c r="A908" s="146" t="inlineStr">
        <is>
          <t>SUB-L3-12-25</t>
        </is>
      </c>
      <c r="B908" s="39" t="inlineStr">
        <is>
          <t>3 уровень</t>
        </is>
      </c>
      <c r="C908" s="34" t="inlineStr">
        <is>
          <t>Закрытые условия на абонементы</t>
        </is>
      </c>
      <c r="D908" s="34" t="inlineStr">
        <is>
          <t>Скидка 25% на абонемент 12 занятий</t>
        </is>
      </c>
      <c r="E908" s="34" t="inlineStr">
        <is>
          <t>При покупке абонемента на 12 занятий</t>
        </is>
      </c>
      <c r="F908" s="147" t="inlineStr">
        <is>
          <t>FW-L3-46Y6U-AY8CM</t>
        </is>
      </c>
      <c r="G908" s="39" t="inlineStr">
        <is>
          <t>Не использован</t>
        </is>
      </c>
      <c r="H908" s="148" t="n"/>
      <c r="I908" s="34" t="str"/>
      <c r="J908" s="34" t="str"/>
      <c r="K908" s="130" t="n">
        <v>104</v>
      </c>
      <c r="L908" s="43">
        <f>IF(COUNTIF($F$5:$F$2407,F908)=1,"OK","Дубликат")</f>
        <v/>
      </c>
    </row>
    <row r="909" ht="38" customHeight="1">
      <c r="A909" s="146" t="inlineStr">
        <is>
          <t>SUB-L3-12-25</t>
        </is>
      </c>
      <c r="B909" s="39" t="inlineStr">
        <is>
          <t>3 уровень</t>
        </is>
      </c>
      <c r="C909" s="34" t="inlineStr">
        <is>
          <t>Закрытые условия на абонементы</t>
        </is>
      </c>
      <c r="D909" s="34" t="inlineStr">
        <is>
          <t>Скидка 25% на абонемент 12 занятий</t>
        </is>
      </c>
      <c r="E909" s="34" t="inlineStr">
        <is>
          <t>При покупке абонемента на 12 занятий</t>
        </is>
      </c>
      <c r="F909" s="147" t="inlineStr">
        <is>
          <t>FW-L3-AVTAT-D3K3B</t>
        </is>
      </c>
      <c r="G909" s="39" t="inlineStr">
        <is>
          <t>Не использован</t>
        </is>
      </c>
      <c r="H909" s="148" t="n"/>
      <c r="I909" s="34" t="str"/>
      <c r="J909" s="34" t="str"/>
      <c r="K909" s="130" t="n">
        <v>105</v>
      </c>
      <c r="L909" s="43">
        <f>IF(COUNTIF($F$5:$F$2407,F909)=1,"OK","Дубликат")</f>
        <v/>
      </c>
    </row>
    <row r="910" ht="38" customHeight="1">
      <c r="A910" s="146" t="inlineStr">
        <is>
          <t>SUB-L3-12-25</t>
        </is>
      </c>
      <c r="B910" s="39" t="inlineStr">
        <is>
          <t>3 уровень</t>
        </is>
      </c>
      <c r="C910" s="34" t="inlineStr">
        <is>
          <t>Закрытые условия на абонементы</t>
        </is>
      </c>
      <c r="D910" s="34" t="inlineStr">
        <is>
          <t>Скидка 25% на абонемент 12 занятий</t>
        </is>
      </c>
      <c r="E910" s="34" t="inlineStr">
        <is>
          <t>При покупке абонемента на 12 занятий</t>
        </is>
      </c>
      <c r="F910" s="147" t="inlineStr">
        <is>
          <t>FW-L3-KME6J-6T778</t>
        </is>
      </c>
      <c r="G910" s="39" t="inlineStr">
        <is>
          <t>Не использован</t>
        </is>
      </c>
      <c r="H910" s="148" t="n"/>
      <c r="I910" s="34" t="str"/>
      <c r="J910" s="34" t="str"/>
      <c r="K910" s="130" t="n">
        <v>106</v>
      </c>
      <c r="L910" s="43">
        <f>IF(COUNTIF($F$5:$F$2407,F910)=1,"OK","Дубликат")</f>
        <v/>
      </c>
    </row>
    <row r="911" ht="38" customHeight="1">
      <c r="A911" s="146" t="inlineStr">
        <is>
          <t>SUB-L3-12-25</t>
        </is>
      </c>
      <c r="B911" s="39" t="inlineStr">
        <is>
          <t>3 уровень</t>
        </is>
      </c>
      <c r="C911" s="34" t="inlineStr">
        <is>
          <t>Закрытые условия на абонементы</t>
        </is>
      </c>
      <c r="D911" s="34" t="inlineStr">
        <is>
          <t>Скидка 25% на абонемент 12 занятий</t>
        </is>
      </c>
      <c r="E911" s="34" t="inlineStr">
        <is>
          <t>При покупке абонемента на 12 занятий</t>
        </is>
      </c>
      <c r="F911" s="147" t="inlineStr">
        <is>
          <t>FW-L3-F5VNP-5XSWV</t>
        </is>
      </c>
      <c r="G911" s="39" t="inlineStr">
        <is>
          <t>Не использован</t>
        </is>
      </c>
      <c r="H911" s="148" t="n"/>
      <c r="I911" s="34" t="str"/>
      <c r="J911" s="34" t="str"/>
      <c r="K911" s="130" t="n">
        <v>107</v>
      </c>
      <c r="L911" s="43">
        <f>IF(COUNTIF($F$5:$F$2407,F911)=1,"OK","Дубликат")</f>
        <v/>
      </c>
    </row>
    <row r="912" ht="38" customHeight="1">
      <c r="A912" s="146" t="inlineStr">
        <is>
          <t>SUB-L3-12-25</t>
        </is>
      </c>
      <c r="B912" s="39" t="inlineStr">
        <is>
          <t>3 уровень</t>
        </is>
      </c>
      <c r="C912" s="34" t="inlineStr">
        <is>
          <t>Закрытые условия на абонементы</t>
        </is>
      </c>
      <c r="D912" s="34" t="inlineStr">
        <is>
          <t>Скидка 25% на абонемент 12 занятий</t>
        </is>
      </c>
      <c r="E912" s="34" t="inlineStr">
        <is>
          <t>При покупке абонемента на 12 занятий</t>
        </is>
      </c>
      <c r="F912" s="147" t="inlineStr">
        <is>
          <t>FW-L3-TWTSU-FL97W</t>
        </is>
      </c>
      <c r="G912" s="39" t="inlineStr">
        <is>
          <t>Не использован</t>
        </is>
      </c>
      <c r="H912" s="148" t="n"/>
      <c r="I912" s="34" t="str"/>
      <c r="J912" s="34" t="str"/>
      <c r="K912" s="130" t="n">
        <v>108</v>
      </c>
      <c r="L912" s="43">
        <f>IF(COUNTIF($F$5:$F$2407,F912)=1,"OK","Дубликат")</f>
        <v/>
      </c>
    </row>
    <row r="913" ht="38" customHeight="1">
      <c r="A913" s="146" t="inlineStr">
        <is>
          <t>SUB-L3-12-25</t>
        </is>
      </c>
      <c r="B913" s="39" t="inlineStr">
        <is>
          <t>3 уровень</t>
        </is>
      </c>
      <c r="C913" s="34" t="inlineStr">
        <is>
          <t>Закрытые условия на абонементы</t>
        </is>
      </c>
      <c r="D913" s="34" t="inlineStr">
        <is>
          <t>Скидка 25% на абонемент 12 занятий</t>
        </is>
      </c>
      <c r="E913" s="34" t="inlineStr">
        <is>
          <t>При покупке абонемента на 12 занятий</t>
        </is>
      </c>
      <c r="F913" s="147" t="inlineStr">
        <is>
          <t>FW-L3-STH6K-GN89Y</t>
        </is>
      </c>
      <c r="G913" s="39" t="inlineStr">
        <is>
          <t>Не использован</t>
        </is>
      </c>
      <c r="H913" s="148" t="n"/>
      <c r="I913" s="34" t="str"/>
      <c r="J913" s="34" t="str"/>
      <c r="K913" s="130" t="n">
        <v>109</v>
      </c>
      <c r="L913" s="43">
        <f>IF(COUNTIF($F$5:$F$2407,F913)=1,"OK","Дубликат")</f>
        <v/>
      </c>
    </row>
    <row r="914" ht="38" customHeight="1">
      <c r="A914" s="146" t="inlineStr">
        <is>
          <t>SUB-L3-12-25</t>
        </is>
      </c>
      <c r="B914" s="39" t="inlineStr">
        <is>
          <t>3 уровень</t>
        </is>
      </c>
      <c r="C914" s="34" t="inlineStr">
        <is>
          <t>Закрытые условия на абонементы</t>
        </is>
      </c>
      <c r="D914" s="34" t="inlineStr">
        <is>
          <t>Скидка 25% на абонемент 12 занятий</t>
        </is>
      </c>
      <c r="E914" s="34" t="inlineStr">
        <is>
          <t>При покупке абонемента на 12 занятий</t>
        </is>
      </c>
      <c r="F914" s="147" t="inlineStr">
        <is>
          <t>FW-L3-CKQ73-X8LWQ</t>
        </is>
      </c>
      <c r="G914" s="39" t="inlineStr">
        <is>
          <t>Не использован</t>
        </is>
      </c>
      <c r="H914" s="148" t="n"/>
      <c r="I914" s="34" t="str"/>
      <c r="J914" s="34" t="str"/>
      <c r="K914" s="130" t="n">
        <v>110</v>
      </c>
      <c r="L914" s="43">
        <f>IF(COUNTIF($F$5:$F$2407,F914)=1,"OK","Дубликат")</f>
        <v/>
      </c>
    </row>
    <row r="915" ht="38" customHeight="1">
      <c r="A915" s="146" t="inlineStr">
        <is>
          <t>SUB-L3-12-25</t>
        </is>
      </c>
      <c r="B915" s="39" t="inlineStr">
        <is>
          <t>3 уровень</t>
        </is>
      </c>
      <c r="C915" s="34" t="inlineStr">
        <is>
          <t>Закрытые условия на абонементы</t>
        </is>
      </c>
      <c r="D915" s="34" t="inlineStr">
        <is>
          <t>Скидка 25% на абонемент 12 занятий</t>
        </is>
      </c>
      <c r="E915" s="34" t="inlineStr">
        <is>
          <t>При покупке абонемента на 12 занятий</t>
        </is>
      </c>
      <c r="F915" s="147" t="inlineStr">
        <is>
          <t>FW-L3-SD6YN-WLWWQ</t>
        </is>
      </c>
      <c r="G915" s="39" t="inlineStr">
        <is>
          <t>Не использован</t>
        </is>
      </c>
      <c r="H915" s="148" t="n"/>
      <c r="I915" s="34" t="str"/>
      <c r="J915" s="34" t="str"/>
      <c r="K915" s="130" t="n">
        <v>111</v>
      </c>
      <c r="L915" s="43">
        <f>IF(COUNTIF($F$5:$F$2407,F915)=1,"OK","Дубликат")</f>
        <v/>
      </c>
    </row>
    <row r="916" ht="38" customHeight="1">
      <c r="A916" s="146" t="inlineStr">
        <is>
          <t>SUB-L3-12-25</t>
        </is>
      </c>
      <c r="B916" s="39" t="inlineStr">
        <is>
          <t>3 уровень</t>
        </is>
      </c>
      <c r="C916" s="34" t="inlineStr">
        <is>
          <t>Закрытые условия на абонементы</t>
        </is>
      </c>
      <c r="D916" s="34" t="inlineStr">
        <is>
          <t>Скидка 25% на абонемент 12 занятий</t>
        </is>
      </c>
      <c r="E916" s="34" t="inlineStr">
        <is>
          <t>При покупке абонемента на 12 занятий</t>
        </is>
      </c>
      <c r="F916" s="147" t="inlineStr">
        <is>
          <t>FW-L3-EZA82-NU273</t>
        </is>
      </c>
      <c r="G916" s="39" t="inlineStr">
        <is>
          <t>Не использован</t>
        </is>
      </c>
      <c r="H916" s="148" t="n"/>
      <c r="I916" s="34" t="str"/>
      <c r="J916" s="34" t="str"/>
      <c r="K916" s="130" t="n">
        <v>112</v>
      </c>
      <c r="L916" s="43">
        <f>IF(COUNTIF($F$5:$F$2407,F916)=1,"OK","Дубликат")</f>
        <v/>
      </c>
    </row>
    <row r="917" ht="38" customHeight="1">
      <c r="A917" s="146" t="inlineStr">
        <is>
          <t>SUB-L3-12-25</t>
        </is>
      </c>
      <c r="B917" s="39" t="inlineStr">
        <is>
          <t>3 уровень</t>
        </is>
      </c>
      <c r="C917" s="34" t="inlineStr">
        <is>
          <t>Закрытые условия на абонементы</t>
        </is>
      </c>
      <c r="D917" s="34" t="inlineStr">
        <is>
          <t>Скидка 25% на абонемент 12 занятий</t>
        </is>
      </c>
      <c r="E917" s="34" t="inlineStr">
        <is>
          <t>При покупке абонемента на 12 занятий</t>
        </is>
      </c>
      <c r="F917" s="147" t="inlineStr">
        <is>
          <t>FW-L3-YLL5R-YVTBT</t>
        </is>
      </c>
      <c r="G917" s="39" t="inlineStr">
        <is>
          <t>Не использован</t>
        </is>
      </c>
      <c r="H917" s="148" t="n"/>
      <c r="I917" s="34" t="str"/>
      <c r="J917" s="34" t="str"/>
      <c r="K917" s="130" t="n">
        <v>113</v>
      </c>
      <c r="L917" s="43">
        <f>IF(COUNTIF($F$5:$F$2407,F917)=1,"OK","Дубликат")</f>
        <v/>
      </c>
    </row>
    <row r="918" ht="38" customHeight="1">
      <c r="A918" s="146" t="inlineStr">
        <is>
          <t>SUB-L3-12-25</t>
        </is>
      </c>
      <c r="B918" s="39" t="inlineStr">
        <is>
          <t>3 уровень</t>
        </is>
      </c>
      <c r="C918" s="34" t="inlineStr">
        <is>
          <t>Закрытые условия на абонементы</t>
        </is>
      </c>
      <c r="D918" s="34" t="inlineStr">
        <is>
          <t>Скидка 25% на абонемент 12 занятий</t>
        </is>
      </c>
      <c r="E918" s="34" t="inlineStr">
        <is>
          <t>При покупке абонемента на 12 занятий</t>
        </is>
      </c>
      <c r="F918" s="147" t="inlineStr">
        <is>
          <t>FW-L3-EVXL8-US68V</t>
        </is>
      </c>
      <c r="G918" s="39" t="inlineStr">
        <is>
          <t>Не использован</t>
        </is>
      </c>
      <c r="H918" s="148" t="n"/>
      <c r="I918" s="34" t="str"/>
      <c r="J918" s="34" t="str"/>
      <c r="K918" s="130" t="n">
        <v>114</v>
      </c>
      <c r="L918" s="43">
        <f>IF(COUNTIF($F$5:$F$2407,F918)=1,"OK","Дубликат")</f>
        <v/>
      </c>
    </row>
    <row r="919" ht="38" customHeight="1">
      <c r="A919" s="146" t="inlineStr">
        <is>
          <t>SUB-L3-12-25</t>
        </is>
      </c>
      <c r="B919" s="39" t="inlineStr">
        <is>
          <t>3 уровень</t>
        </is>
      </c>
      <c r="C919" s="34" t="inlineStr">
        <is>
          <t>Закрытые условия на абонементы</t>
        </is>
      </c>
      <c r="D919" s="34" t="inlineStr">
        <is>
          <t>Скидка 25% на абонемент 12 занятий</t>
        </is>
      </c>
      <c r="E919" s="34" t="inlineStr">
        <is>
          <t>При покупке абонемента на 12 занятий</t>
        </is>
      </c>
      <c r="F919" s="147" t="inlineStr">
        <is>
          <t>FW-L3-BJXJ3-KZCTZ</t>
        </is>
      </c>
      <c r="G919" s="39" t="inlineStr">
        <is>
          <t>Не использован</t>
        </is>
      </c>
      <c r="H919" s="148" t="n"/>
      <c r="I919" s="34" t="str"/>
      <c r="J919" s="34" t="str"/>
      <c r="K919" s="130" t="n">
        <v>115</v>
      </c>
      <c r="L919" s="43">
        <f>IF(COUNTIF($F$5:$F$2407,F919)=1,"OK","Дубликат")</f>
        <v/>
      </c>
    </row>
    <row r="920" ht="38" customHeight="1">
      <c r="A920" s="146" t="inlineStr">
        <is>
          <t>SUB-L3-12-25</t>
        </is>
      </c>
      <c r="B920" s="39" t="inlineStr">
        <is>
          <t>3 уровень</t>
        </is>
      </c>
      <c r="C920" s="34" t="inlineStr">
        <is>
          <t>Закрытые условия на абонементы</t>
        </is>
      </c>
      <c r="D920" s="34" t="inlineStr">
        <is>
          <t>Скидка 25% на абонемент 12 занятий</t>
        </is>
      </c>
      <c r="E920" s="34" t="inlineStr">
        <is>
          <t>При покупке абонемента на 12 занятий</t>
        </is>
      </c>
      <c r="F920" s="147" t="inlineStr">
        <is>
          <t>FW-L3-Y9ET9-3AQYL</t>
        </is>
      </c>
      <c r="G920" s="39" t="inlineStr">
        <is>
          <t>Не использован</t>
        </is>
      </c>
      <c r="H920" s="148" t="n"/>
      <c r="I920" s="34" t="str"/>
      <c r="J920" s="34" t="str"/>
      <c r="K920" s="130" t="n">
        <v>116</v>
      </c>
      <c r="L920" s="43">
        <f>IF(COUNTIF($F$5:$F$2407,F920)=1,"OK","Дубликат")</f>
        <v/>
      </c>
    </row>
    <row r="921" ht="38" customHeight="1">
      <c r="A921" s="146" t="inlineStr">
        <is>
          <t>SUB-L3-12-25</t>
        </is>
      </c>
      <c r="B921" s="39" t="inlineStr">
        <is>
          <t>3 уровень</t>
        </is>
      </c>
      <c r="C921" s="34" t="inlineStr">
        <is>
          <t>Закрытые условия на абонементы</t>
        </is>
      </c>
      <c r="D921" s="34" t="inlineStr">
        <is>
          <t>Скидка 25% на абонемент 12 занятий</t>
        </is>
      </c>
      <c r="E921" s="34" t="inlineStr">
        <is>
          <t>При покупке абонемента на 12 занятий</t>
        </is>
      </c>
      <c r="F921" s="147" t="inlineStr">
        <is>
          <t>FW-L3-95TKV-LNJ3U</t>
        </is>
      </c>
      <c r="G921" s="39" t="inlineStr">
        <is>
          <t>Не использован</t>
        </is>
      </c>
      <c r="H921" s="148" t="n"/>
      <c r="I921" s="34" t="str"/>
      <c r="J921" s="34" t="str"/>
      <c r="K921" s="130" t="n">
        <v>117</v>
      </c>
      <c r="L921" s="43">
        <f>IF(COUNTIF($F$5:$F$2407,F921)=1,"OK","Дубликат")</f>
        <v/>
      </c>
    </row>
    <row r="922" ht="38" customHeight="1">
      <c r="A922" s="146" t="inlineStr">
        <is>
          <t>SUB-L3-12-25</t>
        </is>
      </c>
      <c r="B922" s="39" t="inlineStr">
        <is>
          <t>3 уровень</t>
        </is>
      </c>
      <c r="C922" s="34" t="inlineStr">
        <is>
          <t>Закрытые условия на абонементы</t>
        </is>
      </c>
      <c r="D922" s="34" t="inlineStr">
        <is>
          <t>Скидка 25% на абонемент 12 занятий</t>
        </is>
      </c>
      <c r="E922" s="34" t="inlineStr">
        <is>
          <t>При покупке абонемента на 12 занятий</t>
        </is>
      </c>
      <c r="F922" s="147" t="inlineStr">
        <is>
          <t>FW-L3-5MAHQ-48MBC</t>
        </is>
      </c>
      <c r="G922" s="39" t="inlineStr">
        <is>
          <t>Не использован</t>
        </is>
      </c>
      <c r="H922" s="148" t="n"/>
      <c r="I922" s="34" t="str"/>
      <c r="J922" s="34" t="str"/>
      <c r="K922" s="130" t="n">
        <v>118</v>
      </c>
      <c r="L922" s="43">
        <f>IF(COUNTIF($F$5:$F$2407,F922)=1,"OK","Дубликат")</f>
        <v/>
      </c>
    </row>
    <row r="923" ht="38" customHeight="1">
      <c r="A923" s="146" t="inlineStr">
        <is>
          <t>SUB-L3-12-25</t>
        </is>
      </c>
      <c r="B923" s="39" t="inlineStr">
        <is>
          <t>3 уровень</t>
        </is>
      </c>
      <c r="C923" s="34" t="inlineStr">
        <is>
          <t>Закрытые условия на абонементы</t>
        </is>
      </c>
      <c r="D923" s="34" t="inlineStr">
        <is>
          <t>Скидка 25% на абонемент 12 занятий</t>
        </is>
      </c>
      <c r="E923" s="34" t="inlineStr">
        <is>
          <t>При покупке абонемента на 12 занятий</t>
        </is>
      </c>
      <c r="F923" s="147" t="inlineStr">
        <is>
          <t>FW-L3-J447N-7LX25</t>
        </is>
      </c>
      <c r="G923" s="39" t="inlineStr">
        <is>
          <t>Не использован</t>
        </is>
      </c>
      <c r="H923" s="148" t="n"/>
      <c r="I923" s="34" t="str"/>
      <c r="J923" s="34" t="str"/>
      <c r="K923" s="130" t="n">
        <v>119</v>
      </c>
      <c r="L923" s="43">
        <f>IF(COUNTIF($F$5:$F$2407,F923)=1,"OK","Дубликат")</f>
        <v/>
      </c>
    </row>
    <row r="924" ht="38" customHeight="1">
      <c r="A924" s="146" t="inlineStr">
        <is>
          <t>SUB-L3-12-25</t>
        </is>
      </c>
      <c r="B924" s="39" t="inlineStr">
        <is>
          <t>3 уровень</t>
        </is>
      </c>
      <c r="C924" s="34" t="inlineStr">
        <is>
          <t>Закрытые условия на абонементы</t>
        </is>
      </c>
      <c r="D924" s="34" t="inlineStr">
        <is>
          <t>Скидка 25% на абонемент 12 занятий</t>
        </is>
      </c>
      <c r="E924" s="34" t="inlineStr">
        <is>
          <t>При покупке абонемента на 12 занятий</t>
        </is>
      </c>
      <c r="F924" s="147" t="inlineStr">
        <is>
          <t>FW-L3-3PK2Z-WCZPT</t>
        </is>
      </c>
      <c r="G924" s="39" t="inlineStr">
        <is>
          <t>Не использован</t>
        </is>
      </c>
      <c r="H924" s="148" t="n"/>
      <c r="I924" s="34" t="str"/>
      <c r="J924" s="34" t="str"/>
      <c r="K924" s="130" t="n">
        <v>120</v>
      </c>
      <c r="L924" s="43">
        <f>IF(COUNTIF($F$5:$F$2407,F924)=1,"OK","Дубликат")</f>
        <v/>
      </c>
    </row>
    <row r="925" ht="38" customHeight="1">
      <c r="A925" s="146" t="inlineStr">
        <is>
          <t>SUB-L3-12-25</t>
        </is>
      </c>
      <c r="B925" s="39" t="inlineStr">
        <is>
          <t>3 уровень</t>
        </is>
      </c>
      <c r="C925" s="34" t="inlineStr">
        <is>
          <t>Закрытые условия на абонементы</t>
        </is>
      </c>
      <c r="D925" s="34" t="inlineStr">
        <is>
          <t>Скидка 25% на абонемент 12 занятий</t>
        </is>
      </c>
      <c r="E925" s="34" t="inlineStr">
        <is>
          <t>При покупке абонемента на 12 занятий</t>
        </is>
      </c>
      <c r="F925" s="147" t="inlineStr">
        <is>
          <t>FW-L3-K4DJM-8PZ2Z</t>
        </is>
      </c>
      <c r="G925" s="39" t="inlineStr">
        <is>
          <t>Не использован</t>
        </is>
      </c>
      <c r="H925" s="148" t="n"/>
      <c r="I925" s="34" t="str"/>
      <c r="J925" s="34" t="str"/>
      <c r="K925" s="130" t="n">
        <v>121</v>
      </c>
      <c r="L925" s="43">
        <f>IF(COUNTIF($F$5:$F$2407,F925)=1,"OK","Дубликат")</f>
        <v/>
      </c>
    </row>
    <row r="926" ht="38" customHeight="1">
      <c r="A926" s="146" t="inlineStr">
        <is>
          <t>SUB-L3-12-25</t>
        </is>
      </c>
      <c r="B926" s="39" t="inlineStr">
        <is>
          <t>3 уровень</t>
        </is>
      </c>
      <c r="C926" s="34" t="inlineStr">
        <is>
          <t>Закрытые условия на абонементы</t>
        </is>
      </c>
      <c r="D926" s="34" t="inlineStr">
        <is>
          <t>Скидка 25% на абонемент 12 занятий</t>
        </is>
      </c>
      <c r="E926" s="34" t="inlineStr">
        <is>
          <t>При покупке абонемента на 12 занятий</t>
        </is>
      </c>
      <c r="F926" s="147" t="inlineStr">
        <is>
          <t>FW-L3-W8C6C-TSSKQ</t>
        </is>
      </c>
      <c r="G926" s="39" t="inlineStr">
        <is>
          <t>Не использован</t>
        </is>
      </c>
      <c r="H926" s="148" t="n"/>
      <c r="I926" s="34" t="str"/>
      <c r="J926" s="34" t="str"/>
      <c r="K926" s="130" t="n">
        <v>122</v>
      </c>
      <c r="L926" s="43">
        <f>IF(COUNTIF($F$5:$F$2407,F926)=1,"OK","Дубликат")</f>
        <v/>
      </c>
    </row>
    <row r="927" ht="38" customHeight="1">
      <c r="A927" s="146" t="inlineStr">
        <is>
          <t>SUB-L3-12-25</t>
        </is>
      </c>
      <c r="B927" s="39" t="inlineStr">
        <is>
          <t>3 уровень</t>
        </is>
      </c>
      <c r="C927" s="34" t="inlineStr">
        <is>
          <t>Закрытые условия на абонементы</t>
        </is>
      </c>
      <c r="D927" s="34" t="inlineStr">
        <is>
          <t>Скидка 25% на абонемент 12 занятий</t>
        </is>
      </c>
      <c r="E927" s="34" t="inlineStr">
        <is>
          <t>При покупке абонемента на 12 занятий</t>
        </is>
      </c>
      <c r="F927" s="147" t="inlineStr">
        <is>
          <t>FW-L3-M8F3H-7A8FW</t>
        </is>
      </c>
      <c r="G927" s="39" t="inlineStr">
        <is>
          <t>Не использован</t>
        </is>
      </c>
      <c r="H927" s="148" t="n"/>
      <c r="I927" s="34" t="str"/>
      <c r="J927" s="34" t="str"/>
      <c r="K927" s="130" t="n">
        <v>123</v>
      </c>
      <c r="L927" s="43">
        <f>IF(COUNTIF($F$5:$F$2407,F927)=1,"OK","Дубликат")</f>
        <v/>
      </c>
    </row>
    <row r="928" ht="38" customHeight="1">
      <c r="A928" s="146" t="inlineStr">
        <is>
          <t>SUB-L3-12-25</t>
        </is>
      </c>
      <c r="B928" s="39" t="inlineStr">
        <is>
          <t>3 уровень</t>
        </is>
      </c>
      <c r="C928" s="34" t="inlineStr">
        <is>
          <t>Закрытые условия на абонементы</t>
        </is>
      </c>
      <c r="D928" s="34" t="inlineStr">
        <is>
          <t>Скидка 25% на абонемент 12 занятий</t>
        </is>
      </c>
      <c r="E928" s="34" t="inlineStr">
        <is>
          <t>При покупке абонемента на 12 занятий</t>
        </is>
      </c>
      <c r="F928" s="147" t="inlineStr">
        <is>
          <t>FW-L3-E5KB3-YSX27</t>
        </is>
      </c>
      <c r="G928" s="39" t="inlineStr">
        <is>
          <t>Не использован</t>
        </is>
      </c>
      <c r="H928" s="148" t="n"/>
      <c r="I928" s="34" t="str"/>
      <c r="J928" s="34" t="str"/>
      <c r="K928" s="130" t="n">
        <v>124</v>
      </c>
      <c r="L928" s="43">
        <f>IF(COUNTIF($F$5:$F$2407,F928)=1,"OK","Дубликат")</f>
        <v/>
      </c>
    </row>
    <row r="929" ht="38" customHeight="1">
      <c r="A929" s="146" t="inlineStr">
        <is>
          <t>SUB-L3-12-25</t>
        </is>
      </c>
      <c r="B929" s="39" t="inlineStr">
        <is>
          <t>3 уровень</t>
        </is>
      </c>
      <c r="C929" s="34" t="inlineStr">
        <is>
          <t>Закрытые условия на абонементы</t>
        </is>
      </c>
      <c r="D929" s="34" t="inlineStr">
        <is>
          <t>Скидка 25% на абонемент 12 занятий</t>
        </is>
      </c>
      <c r="E929" s="34" t="inlineStr">
        <is>
          <t>При покупке абонемента на 12 занятий</t>
        </is>
      </c>
      <c r="F929" s="147" t="inlineStr">
        <is>
          <t>FW-L3-C6YU3-6XUDN</t>
        </is>
      </c>
      <c r="G929" s="39" t="inlineStr">
        <is>
          <t>Не использован</t>
        </is>
      </c>
      <c r="H929" s="148" t="n"/>
      <c r="I929" s="34" t="str"/>
      <c r="J929" s="34" t="str"/>
      <c r="K929" s="130" t="n">
        <v>125</v>
      </c>
      <c r="L929" s="43">
        <f>IF(COUNTIF($F$5:$F$2407,F929)=1,"OK","Дубликат")</f>
        <v/>
      </c>
    </row>
    <row r="930" ht="38" customHeight="1">
      <c r="A930" s="146" t="inlineStr">
        <is>
          <t>SUB-L3-12-25</t>
        </is>
      </c>
      <c r="B930" s="39" t="inlineStr">
        <is>
          <t>3 уровень</t>
        </is>
      </c>
      <c r="C930" s="34" t="inlineStr">
        <is>
          <t>Закрытые условия на абонементы</t>
        </is>
      </c>
      <c r="D930" s="34" t="inlineStr">
        <is>
          <t>Скидка 25% на абонемент 12 занятий</t>
        </is>
      </c>
      <c r="E930" s="34" t="inlineStr">
        <is>
          <t>При покупке абонемента на 12 занятий</t>
        </is>
      </c>
      <c r="F930" s="147" t="inlineStr">
        <is>
          <t>FW-L3-UBZQF-X9YWU</t>
        </is>
      </c>
      <c r="G930" s="39" t="inlineStr">
        <is>
          <t>Не использован</t>
        </is>
      </c>
      <c r="H930" s="148" t="n"/>
      <c r="I930" s="34" t="str"/>
      <c r="J930" s="34" t="str"/>
      <c r="K930" s="130" t="n">
        <v>126</v>
      </c>
      <c r="L930" s="43">
        <f>IF(COUNTIF($F$5:$F$2407,F930)=1,"OK","Дубликат")</f>
        <v/>
      </c>
    </row>
    <row r="931" ht="38" customHeight="1">
      <c r="A931" s="146" t="inlineStr">
        <is>
          <t>SUB-L3-12-25</t>
        </is>
      </c>
      <c r="B931" s="39" t="inlineStr">
        <is>
          <t>3 уровень</t>
        </is>
      </c>
      <c r="C931" s="34" t="inlineStr">
        <is>
          <t>Закрытые условия на абонементы</t>
        </is>
      </c>
      <c r="D931" s="34" t="inlineStr">
        <is>
          <t>Скидка 25% на абонемент 12 занятий</t>
        </is>
      </c>
      <c r="E931" s="34" t="inlineStr">
        <is>
          <t>При покупке абонемента на 12 занятий</t>
        </is>
      </c>
      <c r="F931" s="147" t="inlineStr">
        <is>
          <t>FW-L3-7MNX6-ZG7GT</t>
        </is>
      </c>
      <c r="G931" s="39" t="inlineStr">
        <is>
          <t>Не использован</t>
        </is>
      </c>
      <c r="H931" s="148" t="n"/>
      <c r="I931" s="34" t="str"/>
      <c r="J931" s="34" t="str"/>
      <c r="K931" s="130" t="n">
        <v>127</v>
      </c>
      <c r="L931" s="43">
        <f>IF(COUNTIF($F$5:$F$2407,F931)=1,"OK","Дубликат")</f>
        <v/>
      </c>
    </row>
    <row r="932" ht="38" customHeight="1">
      <c r="A932" s="146" t="inlineStr">
        <is>
          <t>SUB-L3-12-25</t>
        </is>
      </c>
      <c r="B932" s="39" t="inlineStr">
        <is>
          <t>3 уровень</t>
        </is>
      </c>
      <c r="C932" s="34" t="inlineStr">
        <is>
          <t>Закрытые условия на абонементы</t>
        </is>
      </c>
      <c r="D932" s="34" t="inlineStr">
        <is>
          <t>Скидка 25% на абонемент 12 занятий</t>
        </is>
      </c>
      <c r="E932" s="34" t="inlineStr">
        <is>
          <t>При покупке абонемента на 12 занятий</t>
        </is>
      </c>
      <c r="F932" s="147" t="inlineStr">
        <is>
          <t>FW-L3-NDGQT-6N24D</t>
        </is>
      </c>
      <c r="G932" s="39" t="inlineStr">
        <is>
          <t>Не использован</t>
        </is>
      </c>
      <c r="H932" s="148" t="n"/>
      <c r="I932" s="34" t="str"/>
      <c r="J932" s="34" t="str"/>
      <c r="K932" s="130" t="n">
        <v>128</v>
      </c>
      <c r="L932" s="43">
        <f>IF(COUNTIF($F$5:$F$2407,F932)=1,"OK","Дубликат")</f>
        <v/>
      </c>
    </row>
    <row r="933" ht="38" customHeight="1">
      <c r="A933" s="146" t="inlineStr">
        <is>
          <t>SUB-L3-12-25</t>
        </is>
      </c>
      <c r="B933" s="39" t="inlineStr">
        <is>
          <t>3 уровень</t>
        </is>
      </c>
      <c r="C933" s="34" t="inlineStr">
        <is>
          <t>Закрытые условия на абонементы</t>
        </is>
      </c>
      <c r="D933" s="34" t="inlineStr">
        <is>
          <t>Скидка 25% на абонемент 12 занятий</t>
        </is>
      </c>
      <c r="E933" s="34" t="inlineStr">
        <is>
          <t>При покупке абонемента на 12 занятий</t>
        </is>
      </c>
      <c r="F933" s="147" t="inlineStr">
        <is>
          <t>FW-L3-V4GVF-2GZSA</t>
        </is>
      </c>
      <c r="G933" s="39" t="inlineStr">
        <is>
          <t>Не использован</t>
        </is>
      </c>
      <c r="H933" s="148" t="n"/>
      <c r="I933" s="34" t="str"/>
      <c r="J933" s="34" t="str"/>
      <c r="K933" s="130" t="n">
        <v>129</v>
      </c>
      <c r="L933" s="43">
        <f>IF(COUNTIF($F$5:$F$2407,F933)=1,"OK","Дубликат")</f>
        <v/>
      </c>
    </row>
    <row r="934" ht="38" customHeight="1">
      <c r="A934" s="146" t="inlineStr">
        <is>
          <t>SUB-L3-12-25</t>
        </is>
      </c>
      <c r="B934" s="39" t="inlineStr">
        <is>
          <t>3 уровень</t>
        </is>
      </c>
      <c r="C934" s="34" t="inlineStr">
        <is>
          <t>Закрытые условия на абонементы</t>
        </is>
      </c>
      <c r="D934" s="34" t="inlineStr">
        <is>
          <t>Скидка 25% на абонемент 12 занятий</t>
        </is>
      </c>
      <c r="E934" s="34" t="inlineStr">
        <is>
          <t>При покупке абонемента на 12 занятий</t>
        </is>
      </c>
      <c r="F934" s="147" t="inlineStr">
        <is>
          <t>FW-L3-5UGCN-PSPCQ</t>
        </is>
      </c>
      <c r="G934" s="39" t="inlineStr">
        <is>
          <t>Не использован</t>
        </is>
      </c>
      <c r="H934" s="148" t="n"/>
      <c r="I934" s="34" t="str"/>
      <c r="J934" s="34" t="str"/>
      <c r="K934" s="130" t="n">
        <v>130</v>
      </c>
      <c r="L934" s="43">
        <f>IF(COUNTIF($F$5:$F$2407,F934)=1,"OK","Дубликат")</f>
        <v/>
      </c>
    </row>
    <row r="935" ht="38" customHeight="1">
      <c r="A935" s="146" t="inlineStr">
        <is>
          <t>SUB-L3-12-25</t>
        </is>
      </c>
      <c r="B935" s="39" t="inlineStr">
        <is>
          <t>3 уровень</t>
        </is>
      </c>
      <c r="C935" s="34" t="inlineStr">
        <is>
          <t>Закрытые условия на абонементы</t>
        </is>
      </c>
      <c r="D935" s="34" t="inlineStr">
        <is>
          <t>Скидка 25% на абонемент 12 занятий</t>
        </is>
      </c>
      <c r="E935" s="34" t="inlineStr">
        <is>
          <t>При покупке абонемента на 12 занятий</t>
        </is>
      </c>
      <c r="F935" s="147" t="inlineStr">
        <is>
          <t>FW-L3-DMLZ6-2BJPD</t>
        </is>
      </c>
      <c r="G935" s="39" t="inlineStr">
        <is>
          <t>Не использован</t>
        </is>
      </c>
      <c r="H935" s="148" t="n"/>
      <c r="I935" s="34" t="str"/>
      <c r="J935" s="34" t="str"/>
      <c r="K935" s="130" t="n">
        <v>131</v>
      </c>
      <c r="L935" s="43">
        <f>IF(COUNTIF($F$5:$F$2407,F935)=1,"OK","Дубликат")</f>
        <v/>
      </c>
    </row>
    <row r="936" ht="38" customHeight="1">
      <c r="A936" s="146" t="inlineStr">
        <is>
          <t>SUB-L3-12-25</t>
        </is>
      </c>
      <c r="B936" s="39" t="inlineStr">
        <is>
          <t>3 уровень</t>
        </is>
      </c>
      <c r="C936" s="34" t="inlineStr">
        <is>
          <t>Закрытые условия на абонементы</t>
        </is>
      </c>
      <c r="D936" s="34" t="inlineStr">
        <is>
          <t>Скидка 25% на абонемент 12 занятий</t>
        </is>
      </c>
      <c r="E936" s="34" t="inlineStr">
        <is>
          <t>При покупке абонемента на 12 занятий</t>
        </is>
      </c>
      <c r="F936" s="147" t="inlineStr">
        <is>
          <t>FW-L3-MGQRE-7YGHC</t>
        </is>
      </c>
      <c r="G936" s="39" t="inlineStr">
        <is>
          <t>Не использован</t>
        </is>
      </c>
      <c r="H936" s="148" t="n"/>
      <c r="I936" s="34" t="str"/>
      <c r="J936" s="34" t="str"/>
      <c r="K936" s="130" t="n">
        <v>132</v>
      </c>
      <c r="L936" s="43">
        <f>IF(COUNTIF($F$5:$F$2407,F936)=1,"OK","Дубликат")</f>
        <v/>
      </c>
    </row>
    <row r="937" ht="38" customHeight="1">
      <c r="A937" s="146" t="inlineStr">
        <is>
          <t>SUB-L3-12-25</t>
        </is>
      </c>
      <c r="B937" s="39" t="inlineStr">
        <is>
          <t>3 уровень</t>
        </is>
      </c>
      <c r="C937" s="34" t="inlineStr">
        <is>
          <t>Закрытые условия на абонементы</t>
        </is>
      </c>
      <c r="D937" s="34" t="inlineStr">
        <is>
          <t>Скидка 25% на абонемент 12 занятий</t>
        </is>
      </c>
      <c r="E937" s="34" t="inlineStr">
        <is>
          <t>При покупке абонемента на 12 занятий</t>
        </is>
      </c>
      <c r="F937" s="147" t="inlineStr">
        <is>
          <t>FW-L3-8TDJF-DRTXU</t>
        </is>
      </c>
      <c r="G937" s="39" t="inlineStr">
        <is>
          <t>Не использован</t>
        </is>
      </c>
      <c r="H937" s="148" t="n"/>
      <c r="I937" s="34" t="str"/>
      <c r="J937" s="34" t="str"/>
      <c r="K937" s="130" t="n">
        <v>133</v>
      </c>
      <c r="L937" s="43">
        <f>IF(COUNTIF($F$5:$F$2407,F937)=1,"OK","Дубликат")</f>
        <v/>
      </c>
    </row>
    <row r="938" ht="38" customHeight="1">
      <c r="A938" s="146" t="inlineStr">
        <is>
          <t>SUB-L3-12-25</t>
        </is>
      </c>
      <c r="B938" s="39" t="inlineStr">
        <is>
          <t>3 уровень</t>
        </is>
      </c>
      <c r="C938" s="34" t="inlineStr">
        <is>
          <t>Закрытые условия на абонементы</t>
        </is>
      </c>
      <c r="D938" s="34" t="inlineStr">
        <is>
          <t>Скидка 25% на абонемент 12 занятий</t>
        </is>
      </c>
      <c r="E938" s="34" t="inlineStr">
        <is>
          <t>При покупке абонемента на 12 занятий</t>
        </is>
      </c>
      <c r="F938" s="147" t="inlineStr">
        <is>
          <t>FW-L3-RESUH-535HW</t>
        </is>
      </c>
      <c r="G938" s="39" t="inlineStr">
        <is>
          <t>Не использован</t>
        </is>
      </c>
      <c r="H938" s="148" t="n"/>
      <c r="I938" s="34" t="str"/>
      <c r="J938" s="34" t="str"/>
      <c r="K938" s="130" t="n">
        <v>134</v>
      </c>
      <c r="L938" s="43">
        <f>IF(COUNTIF($F$5:$F$2407,F938)=1,"OK","Дубликат")</f>
        <v/>
      </c>
    </row>
    <row r="939" ht="38" customHeight="1">
      <c r="A939" s="146" t="inlineStr">
        <is>
          <t>SUB-L3-12-25</t>
        </is>
      </c>
      <c r="B939" s="39" t="inlineStr">
        <is>
          <t>3 уровень</t>
        </is>
      </c>
      <c r="C939" s="34" t="inlineStr">
        <is>
          <t>Закрытые условия на абонементы</t>
        </is>
      </c>
      <c r="D939" s="34" t="inlineStr">
        <is>
          <t>Скидка 25% на абонемент 12 занятий</t>
        </is>
      </c>
      <c r="E939" s="34" t="inlineStr">
        <is>
          <t>При покупке абонемента на 12 занятий</t>
        </is>
      </c>
      <c r="F939" s="147" t="inlineStr">
        <is>
          <t>FW-L3-VPNSQ-MPCSM</t>
        </is>
      </c>
      <c r="G939" s="39" t="inlineStr">
        <is>
          <t>Не использован</t>
        </is>
      </c>
      <c r="H939" s="148" t="n"/>
      <c r="I939" s="34" t="str"/>
      <c r="J939" s="34" t="str"/>
      <c r="K939" s="130" t="n">
        <v>135</v>
      </c>
      <c r="L939" s="43">
        <f>IF(COUNTIF($F$5:$F$2407,F939)=1,"OK","Дубликат")</f>
        <v/>
      </c>
    </row>
    <row r="940" ht="38" customHeight="1">
      <c r="A940" s="146" t="inlineStr">
        <is>
          <t>SUB-L3-12-25</t>
        </is>
      </c>
      <c r="B940" s="39" t="inlineStr">
        <is>
          <t>3 уровень</t>
        </is>
      </c>
      <c r="C940" s="34" t="inlineStr">
        <is>
          <t>Закрытые условия на абонементы</t>
        </is>
      </c>
      <c r="D940" s="34" t="inlineStr">
        <is>
          <t>Скидка 25% на абонемент 12 занятий</t>
        </is>
      </c>
      <c r="E940" s="34" t="inlineStr">
        <is>
          <t>При покупке абонемента на 12 занятий</t>
        </is>
      </c>
      <c r="F940" s="147" t="inlineStr">
        <is>
          <t>FW-L3-H73BT-VDTWS</t>
        </is>
      </c>
      <c r="G940" s="39" t="inlineStr">
        <is>
          <t>Не использован</t>
        </is>
      </c>
      <c r="H940" s="148" t="n"/>
      <c r="I940" s="34" t="str"/>
      <c r="J940" s="34" t="str"/>
      <c r="K940" s="130" t="n">
        <v>136</v>
      </c>
      <c r="L940" s="43">
        <f>IF(COUNTIF($F$5:$F$2407,F940)=1,"OK","Дубликат")</f>
        <v/>
      </c>
    </row>
    <row r="941" ht="38" customHeight="1">
      <c r="A941" s="146" t="inlineStr">
        <is>
          <t>SUB-L3-12-25</t>
        </is>
      </c>
      <c r="B941" s="39" t="inlineStr">
        <is>
          <t>3 уровень</t>
        </is>
      </c>
      <c r="C941" s="34" t="inlineStr">
        <is>
          <t>Закрытые условия на абонементы</t>
        </is>
      </c>
      <c r="D941" s="34" t="inlineStr">
        <is>
          <t>Скидка 25% на абонемент 12 занятий</t>
        </is>
      </c>
      <c r="E941" s="34" t="inlineStr">
        <is>
          <t>При покупке абонемента на 12 занятий</t>
        </is>
      </c>
      <c r="F941" s="147" t="inlineStr">
        <is>
          <t>FW-L3-CG53E-GLJC7</t>
        </is>
      </c>
      <c r="G941" s="39" t="inlineStr">
        <is>
          <t>Не использован</t>
        </is>
      </c>
      <c r="H941" s="148" t="n"/>
      <c r="I941" s="34" t="str"/>
      <c r="J941" s="34" t="str"/>
      <c r="K941" s="130" t="n">
        <v>137</v>
      </c>
      <c r="L941" s="43">
        <f>IF(COUNTIF($F$5:$F$2407,F941)=1,"OK","Дубликат")</f>
        <v/>
      </c>
    </row>
    <row r="942" ht="38" customHeight="1">
      <c r="A942" s="146" t="inlineStr">
        <is>
          <t>SUB-L3-12-25</t>
        </is>
      </c>
      <c r="B942" s="39" t="inlineStr">
        <is>
          <t>3 уровень</t>
        </is>
      </c>
      <c r="C942" s="34" t="inlineStr">
        <is>
          <t>Закрытые условия на абонементы</t>
        </is>
      </c>
      <c r="D942" s="34" t="inlineStr">
        <is>
          <t>Скидка 25% на абонемент 12 занятий</t>
        </is>
      </c>
      <c r="E942" s="34" t="inlineStr">
        <is>
          <t>При покупке абонемента на 12 занятий</t>
        </is>
      </c>
      <c r="F942" s="147" t="inlineStr">
        <is>
          <t>FW-L3-LMJQ6-5VY36</t>
        </is>
      </c>
      <c r="G942" s="39" t="inlineStr">
        <is>
          <t>Не использован</t>
        </is>
      </c>
      <c r="H942" s="148" t="n"/>
      <c r="I942" s="34" t="str"/>
      <c r="J942" s="34" t="str"/>
      <c r="K942" s="130" t="n">
        <v>138</v>
      </c>
      <c r="L942" s="43">
        <f>IF(COUNTIF($F$5:$F$2407,F942)=1,"OK","Дубликат")</f>
        <v/>
      </c>
    </row>
    <row r="943" ht="38" customHeight="1">
      <c r="A943" s="146" t="inlineStr">
        <is>
          <t>SUB-L3-12-25</t>
        </is>
      </c>
      <c r="B943" s="39" t="inlineStr">
        <is>
          <t>3 уровень</t>
        </is>
      </c>
      <c r="C943" s="34" t="inlineStr">
        <is>
          <t>Закрытые условия на абонементы</t>
        </is>
      </c>
      <c r="D943" s="34" t="inlineStr">
        <is>
          <t>Скидка 25% на абонемент 12 занятий</t>
        </is>
      </c>
      <c r="E943" s="34" t="inlineStr">
        <is>
          <t>При покупке абонемента на 12 занятий</t>
        </is>
      </c>
      <c r="F943" s="147" t="inlineStr">
        <is>
          <t>FW-L3-447X4-9CV7E</t>
        </is>
      </c>
      <c r="G943" s="39" t="inlineStr">
        <is>
          <t>Не использован</t>
        </is>
      </c>
      <c r="H943" s="148" t="n"/>
      <c r="I943" s="34" t="str"/>
      <c r="J943" s="34" t="str"/>
      <c r="K943" s="130" t="n">
        <v>139</v>
      </c>
      <c r="L943" s="43">
        <f>IF(COUNTIF($F$5:$F$2407,F943)=1,"OK","Дубликат")</f>
        <v/>
      </c>
    </row>
    <row r="944" ht="38" customHeight="1">
      <c r="A944" s="146" t="inlineStr">
        <is>
          <t>SUB-L3-12-25</t>
        </is>
      </c>
      <c r="B944" s="39" t="inlineStr">
        <is>
          <t>3 уровень</t>
        </is>
      </c>
      <c r="C944" s="34" t="inlineStr">
        <is>
          <t>Закрытые условия на абонементы</t>
        </is>
      </c>
      <c r="D944" s="34" t="inlineStr">
        <is>
          <t>Скидка 25% на абонемент 12 занятий</t>
        </is>
      </c>
      <c r="E944" s="34" t="inlineStr">
        <is>
          <t>При покупке абонемента на 12 занятий</t>
        </is>
      </c>
      <c r="F944" s="147" t="inlineStr">
        <is>
          <t>FW-L3-VZGRJ-DKB96</t>
        </is>
      </c>
      <c r="G944" s="39" t="inlineStr">
        <is>
          <t>Не использован</t>
        </is>
      </c>
      <c r="H944" s="148" t="n"/>
      <c r="I944" s="34" t="str"/>
      <c r="J944" s="34" t="str"/>
      <c r="K944" s="130" t="n">
        <v>140</v>
      </c>
      <c r="L944" s="43">
        <f>IF(COUNTIF($F$5:$F$2407,F944)=1,"OK","Дубликат")</f>
        <v/>
      </c>
    </row>
    <row r="945" ht="38" customHeight="1">
      <c r="A945" s="146" t="inlineStr">
        <is>
          <t>SUB-L3-12-25</t>
        </is>
      </c>
      <c r="B945" s="39" t="inlineStr">
        <is>
          <t>3 уровень</t>
        </is>
      </c>
      <c r="C945" s="34" t="inlineStr">
        <is>
          <t>Закрытые условия на абонементы</t>
        </is>
      </c>
      <c r="D945" s="34" t="inlineStr">
        <is>
          <t>Скидка 25% на абонемент 12 занятий</t>
        </is>
      </c>
      <c r="E945" s="34" t="inlineStr">
        <is>
          <t>При покупке абонемента на 12 занятий</t>
        </is>
      </c>
      <c r="F945" s="147" t="inlineStr">
        <is>
          <t>FW-L3-TZH38-P6AEF</t>
        </is>
      </c>
      <c r="G945" s="39" t="inlineStr">
        <is>
          <t>Не использован</t>
        </is>
      </c>
      <c r="H945" s="148" t="n"/>
      <c r="I945" s="34" t="str"/>
      <c r="J945" s="34" t="str"/>
      <c r="K945" s="130" t="n">
        <v>141</v>
      </c>
      <c r="L945" s="43">
        <f>IF(COUNTIF($F$5:$F$2407,F945)=1,"OK","Дубликат")</f>
        <v/>
      </c>
    </row>
    <row r="946" ht="38" customHeight="1">
      <c r="A946" s="146" t="inlineStr">
        <is>
          <t>SUB-L3-12-25</t>
        </is>
      </c>
      <c r="B946" s="39" t="inlineStr">
        <is>
          <t>3 уровень</t>
        </is>
      </c>
      <c r="C946" s="34" t="inlineStr">
        <is>
          <t>Закрытые условия на абонементы</t>
        </is>
      </c>
      <c r="D946" s="34" t="inlineStr">
        <is>
          <t>Скидка 25% на абонемент 12 занятий</t>
        </is>
      </c>
      <c r="E946" s="34" t="inlineStr">
        <is>
          <t>При покупке абонемента на 12 занятий</t>
        </is>
      </c>
      <c r="F946" s="147" t="inlineStr">
        <is>
          <t>FW-L3-96SE6-S9TJ6</t>
        </is>
      </c>
      <c r="G946" s="39" t="inlineStr">
        <is>
          <t>Не использован</t>
        </is>
      </c>
      <c r="H946" s="148" t="n"/>
      <c r="I946" s="34" t="str"/>
      <c r="J946" s="34" t="str"/>
      <c r="K946" s="130" t="n">
        <v>142</v>
      </c>
      <c r="L946" s="43">
        <f>IF(COUNTIF($F$5:$F$2407,F946)=1,"OK","Дубликат")</f>
        <v/>
      </c>
    </row>
    <row r="947" ht="38" customHeight="1">
      <c r="A947" s="146" t="inlineStr">
        <is>
          <t>SUB-L3-12-25</t>
        </is>
      </c>
      <c r="B947" s="39" t="inlineStr">
        <is>
          <t>3 уровень</t>
        </is>
      </c>
      <c r="C947" s="34" t="inlineStr">
        <is>
          <t>Закрытые условия на абонементы</t>
        </is>
      </c>
      <c r="D947" s="34" t="inlineStr">
        <is>
          <t>Скидка 25% на абонемент 12 занятий</t>
        </is>
      </c>
      <c r="E947" s="34" t="inlineStr">
        <is>
          <t>При покупке абонемента на 12 занятий</t>
        </is>
      </c>
      <c r="F947" s="147" t="inlineStr">
        <is>
          <t>FW-L3-82VRT-E3LY6</t>
        </is>
      </c>
      <c r="G947" s="39" t="inlineStr">
        <is>
          <t>Не использован</t>
        </is>
      </c>
      <c r="H947" s="148" t="n"/>
      <c r="I947" s="34" t="str"/>
      <c r="J947" s="34" t="str"/>
      <c r="K947" s="130" t="n">
        <v>143</v>
      </c>
      <c r="L947" s="43">
        <f>IF(COUNTIF($F$5:$F$2407,F947)=1,"OK","Дубликат")</f>
        <v/>
      </c>
    </row>
    <row r="948" ht="38" customHeight="1">
      <c r="A948" s="146" t="inlineStr">
        <is>
          <t>SUB-L3-12-25</t>
        </is>
      </c>
      <c r="B948" s="39" t="inlineStr">
        <is>
          <t>3 уровень</t>
        </is>
      </c>
      <c r="C948" s="34" t="inlineStr">
        <is>
          <t>Закрытые условия на абонементы</t>
        </is>
      </c>
      <c r="D948" s="34" t="inlineStr">
        <is>
          <t>Скидка 25% на абонемент 12 занятий</t>
        </is>
      </c>
      <c r="E948" s="34" t="inlineStr">
        <is>
          <t>При покупке абонемента на 12 занятий</t>
        </is>
      </c>
      <c r="F948" s="147" t="inlineStr">
        <is>
          <t>FW-L3-3KLXE-HGVL9</t>
        </is>
      </c>
      <c r="G948" s="39" t="inlineStr">
        <is>
          <t>Не использован</t>
        </is>
      </c>
      <c r="H948" s="148" t="n"/>
      <c r="I948" s="34" t="str"/>
      <c r="J948" s="34" t="str"/>
      <c r="K948" s="130" t="n">
        <v>144</v>
      </c>
      <c r="L948" s="43">
        <f>IF(COUNTIF($F$5:$F$2407,F948)=1,"OK","Дубликат")</f>
        <v/>
      </c>
    </row>
    <row r="949" ht="38" customHeight="1">
      <c r="A949" s="146" t="inlineStr">
        <is>
          <t>SUB-L3-12-25</t>
        </is>
      </c>
      <c r="B949" s="39" t="inlineStr">
        <is>
          <t>3 уровень</t>
        </is>
      </c>
      <c r="C949" s="34" t="inlineStr">
        <is>
          <t>Закрытые условия на абонементы</t>
        </is>
      </c>
      <c r="D949" s="34" t="inlineStr">
        <is>
          <t>Скидка 25% на абонемент 12 занятий</t>
        </is>
      </c>
      <c r="E949" s="34" t="inlineStr">
        <is>
          <t>При покупке абонемента на 12 занятий</t>
        </is>
      </c>
      <c r="F949" s="147" t="inlineStr">
        <is>
          <t>FW-L3-9PMTE-YDHZW</t>
        </is>
      </c>
      <c r="G949" s="39" t="inlineStr">
        <is>
          <t>Не использован</t>
        </is>
      </c>
      <c r="H949" s="148" t="n"/>
      <c r="I949" s="34" t="str"/>
      <c r="J949" s="34" t="str"/>
      <c r="K949" s="130" t="n">
        <v>145</v>
      </c>
      <c r="L949" s="43">
        <f>IF(COUNTIF($F$5:$F$2407,F949)=1,"OK","Дубликат")</f>
        <v/>
      </c>
    </row>
    <row r="950" ht="38" customHeight="1">
      <c r="A950" s="146" t="inlineStr">
        <is>
          <t>SUB-L3-12-25</t>
        </is>
      </c>
      <c r="B950" s="39" t="inlineStr">
        <is>
          <t>3 уровень</t>
        </is>
      </c>
      <c r="C950" s="34" t="inlineStr">
        <is>
          <t>Закрытые условия на абонементы</t>
        </is>
      </c>
      <c r="D950" s="34" t="inlineStr">
        <is>
          <t>Скидка 25% на абонемент 12 занятий</t>
        </is>
      </c>
      <c r="E950" s="34" t="inlineStr">
        <is>
          <t>При покупке абонемента на 12 занятий</t>
        </is>
      </c>
      <c r="F950" s="147" t="inlineStr">
        <is>
          <t>FW-L3-XSUTR-8V4LG</t>
        </is>
      </c>
      <c r="G950" s="39" t="inlineStr">
        <is>
          <t>Не использован</t>
        </is>
      </c>
      <c r="H950" s="148" t="n"/>
      <c r="I950" s="34" t="str"/>
      <c r="J950" s="34" t="str"/>
      <c r="K950" s="130" t="n">
        <v>146</v>
      </c>
      <c r="L950" s="43">
        <f>IF(COUNTIF($F$5:$F$2407,F950)=1,"OK","Дубликат")</f>
        <v/>
      </c>
    </row>
    <row r="951" ht="38" customHeight="1">
      <c r="A951" s="146" t="inlineStr">
        <is>
          <t>SUB-L3-12-25</t>
        </is>
      </c>
      <c r="B951" s="39" t="inlineStr">
        <is>
          <t>3 уровень</t>
        </is>
      </c>
      <c r="C951" s="34" t="inlineStr">
        <is>
          <t>Закрытые условия на абонементы</t>
        </is>
      </c>
      <c r="D951" s="34" t="inlineStr">
        <is>
          <t>Скидка 25% на абонемент 12 занятий</t>
        </is>
      </c>
      <c r="E951" s="34" t="inlineStr">
        <is>
          <t>При покупке абонемента на 12 занятий</t>
        </is>
      </c>
      <c r="F951" s="147" t="inlineStr">
        <is>
          <t>FW-L3-AB4H2-RYB46</t>
        </is>
      </c>
      <c r="G951" s="39" t="inlineStr">
        <is>
          <t>Не использован</t>
        </is>
      </c>
      <c r="H951" s="148" t="n"/>
      <c r="I951" s="34" t="str"/>
      <c r="J951" s="34" t="str"/>
      <c r="K951" s="130" t="n">
        <v>147</v>
      </c>
      <c r="L951" s="43">
        <f>IF(COUNTIF($F$5:$F$2407,F951)=1,"OK","Дубликат")</f>
        <v/>
      </c>
    </row>
    <row r="952" ht="38" customHeight="1">
      <c r="A952" s="146" t="inlineStr">
        <is>
          <t>SUB-L3-12-25</t>
        </is>
      </c>
      <c r="B952" s="39" t="inlineStr">
        <is>
          <t>3 уровень</t>
        </is>
      </c>
      <c r="C952" s="34" t="inlineStr">
        <is>
          <t>Закрытые условия на абонементы</t>
        </is>
      </c>
      <c r="D952" s="34" t="inlineStr">
        <is>
          <t>Скидка 25% на абонемент 12 занятий</t>
        </is>
      </c>
      <c r="E952" s="34" t="inlineStr">
        <is>
          <t>При покупке абонемента на 12 занятий</t>
        </is>
      </c>
      <c r="F952" s="147" t="inlineStr">
        <is>
          <t>FW-L3-THX9E-DPFGZ</t>
        </is>
      </c>
      <c r="G952" s="39" t="inlineStr">
        <is>
          <t>Не использован</t>
        </is>
      </c>
      <c r="H952" s="148" t="n"/>
      <c r="I952" s="34" t="str"/>
      <c r="J952" s="34" t="str"/>
      <c r="K952" s="130" t="n">
        <v>148</v>
      </c>
      <c r="L952" s="43">
        <f>IF(COUNTIF($F$5:$F$2407,F952)=1,"OK","Дубликат")</f>
        <v/>
      </c>
    </row>
    <row r="953" ht="38" customHeight="1">
      <c r="A953" s="146" t="inlineStr">
        <is>
          <t>SUB-L3-12-25</t>
        </is>
      </c>
      <c r="B953" s="39" t="inlineStr">
        <is>
          <t>3 уровень</t>
        </is>
      </c>
      <c r="C953" s="34" t="inlineStr">
        <is>
          <t>Закрытые условия на абонементы</t>
        </is>
      </c>
      <c r="D953" s="34" t="inlineStr">
        <is>
          <t>Скидка 25% на абонемент 12 занятий</t>
        </is>
      </c>
      <c r="E953" s="34" t="inlineStr">
        <is>
          <t>При покупке абонемента на 12 занятий</t>
        </is>
      </c>
      <c r="F953" s="147" t="inlineStr">
        <is>
          <t>FW-L3-J8JGA-YAGN9</t>
        </is>
      </c>
      <c r="G953" s="39" t="inlineStr">
        <is>
          <t>Не использован</t>
        </is>
      </c>
      <c r="H953" s="148" t="n"/>
      <c r="I953" s="34" t="str"/>
      <c r="J953" s="34" t="str"/>
      <c r="K953" s="130" t="n">
        <v>149</v>
      </c>
      <c r="L953" s="43">
        <f>IF(COUNTIF($F$5:$F$2407,F953)=1,"OK","Дубликат")</f>
        <v/>
      </c>
    </row>
    <row r="954" ht="38" customHeight="1">
      <c r="A954" s="146" t="inlineStr">
        <is>
          <t>SUB-L3-12-25</t>
        </is>
      </c>
      <c r="B954" s="39" t="inlineStr">
        <is>
          <t>3 уровень</t>
        </is>
      </c>
      <c r="C954" s="34" t="inlineStr">
        <is>
          <t>Закрытые условия на абонементы</t>
        </is>
      </c>
      <c r="D954" s="34" t="inlineStr">
        <is>
          <t>Скидка 25% на абонемент 12 занятий</t>
        </is>
      </c>
      <c r="E954" s="34" t="inlineStr">
        <is>
          <t>При покупке абонемента на 12 занятий</t>
        </is>
      </c>
      <c r="F954" s="147" t="inlineStr">
        <is>
          <t>FW-L3-26KJD-WLRFZ</t>
        </is>
      </c>
      <c r="G954" s="39" t="inlineStr">
        <is>
          <t>Не использован</t>
        </is>
      </c>
      <c r="H954" s="148" t="n"/>
      <c r="I954" s="34" t="str"/>
      <c r="J954" s="34" t="str"/>
      <c r="K954" s="130" t="n">
        <v>150</v>
      </c>
      <c r="L954" s="43">
        <f>IF(COUNTIF($F$5:$F$2407,F954)=1,"OK","Дубликат")</f>
        <v/>
      </c>
    </row>
    <row r="955" ht="38" customHeight="1">
      <c r="A955" s="146" t="inlineStr">
        <is>
          <t>SUB-L3-12-25</t>
        </is>
      </c>
      <c r="B955" s="39" t="inlineStr">
        <is>
          <t>3 уровень</t>
        </is>
      </c>
      <c r="C955" s="34" t="inlineStr">
        <is>
          <t>Закрытые условия на абонементы</t>
        </is>
      </c>
      <c r="D955" s="34" t="inlineStr">
        <is>
          <t>Скидка 25% на абонемент 12 занятий</t>
        </is>
      </c>
      <c r="E955" s="34" t="inlineStr">
        <is>
          <t>При покупке абонемента на 12 занятий</t>
        </is>
      </c>
      <c r="F955" s="147" t="inlineStr">
        <is>
          <t>FW-L3-YU282-MQPZR</t>
        </is>
      </c>
      <c r="G955" s="39" t="inlineStr">
        <is>
          <t>Не использован</t>
        </is>
      </c>
      <c r="H955" s="148" t="n"/>
      <c r="I955" s="34" t="str"/>
      <c r="J955" s="34" t="str"/>
      <c r="K955" s="130" t="n">
        <v>151</v>
      </c>
      <c r="L955" s="43">
        <f>IF(COUNTIF($F$5:$F$2407,F955)=1,"OK","Дубликат")</f>
        <v/>
      </c>
    </row>
    <row r="956" ht="38" customHeight="1">
      <c r="A956" s="146" t="inlineStr">
        <is>
          <t>SUB-L3-12-25</t>
        </is>
      </c>
      <c r="B956" s="39" t="inlineStr">
        <is>
          <t>3 уровень</t>
        </is>
      </c>
      <c r="C956" s="34" t="inlineStr">
        <is>
          <t>Закрытые условия на абонементы</t>
        </is>
      </c>
      <c r="D956" s="34" t="inlineStr">
        <is>
          <t>Скидка 25% на абонемент 12 занятий</t>
        </is>
      </c>
      <c r="E956" s="34" t="inlineStr">
        <is>
          <t>При покупке абонемента на 12 занятий</t>
        </is>
      </c>
      <c r="F956" s="147" t="inlineStr">
        <is>
          <t>FW-L3-QWGD9-3LXTX</t>
        </is>
      </c>
      <c r="G956" s="39" t="inlineStr">
        <is>
          <t>Не использован</t>
        </is>
      </c>
      <c r="H956" s="148" t="n"/>
      <c r="I956" s="34" t="str"/>
      <c r="J956" s="34" t="str"/>
      <c r="K956" s="130" t="n">
        <v>152</v>
      </c>
      <c r="L956" s="43">
        <f>IF(COUNTIF($F$5:$F$2407,F956)=1,"OK","Дубликат")</f>
        <v/>
      </c>
    </row>
    <row r="957" ht="38" customHeight="1">
      <c r="A957" s="146" t="inlineStr">
        <is>
          <t>SUB-L3-12-25</t>
        </is>
      </c>
      <c r="B957" s="39" t="inlineStr">
        <is>
          <t>3 уровень</t>
        </is>
      </c>
      <c r="C957" s="34" t="inlineStr">
        <is>
          <t>Закрытые условия на абонементы</t>
        </is>
      </c>
      <c r="D957" s="34" t="inlineStr">
        <is>
          <t>Скидка 25% на абонемент 12 занятий</t>
        </is>
      </c>
      <c r="E957" s="34" t="inlineStr">
        <is>
          <t>При покупке абонемента на 12 занятий</t>
        </is>
      </c>
      <c r="F957" s="147" t="inlineStr">
        <is>
          <t>FW-L3-MDLAM-7WN39</t>
        </is>
      </c>
      <c r="G957" s="39" t="inlineStr">
        <is>
          <t>Не использован</t>
        </is>
      </c>
      <c r="H957" s="148" t="n"/>
      <c r="I957" s="34" t="str"/>
      <c r="J957" s="34" t="str"/>
      <c r="K957" s="130" t="n">
        <v>153</v>
      </c>
      <c r="L957" s="43">
        <f>IF(COUNTIF($F$5:$F$2407,F957)=1,"OK","Дубликат")</f>
        <v/>
      </c>
    </row>
    <row r="958" ht="38" customHeight="1">
      <c r="A958" s="146" t="inlineStr">
        <is>
          <t>SUB-L3-12-25</t>
        </is>
      </c>
      <c r="B958" s="39" t="inlineStr">
        <is>
          <t>3 уровень</t>
        </is>
      </c>
      <c r="C958" s="34" t="inlineStr">
        <is>
          <t>Закрытые условия на абонементы</t>
        </is>
      </c>
      <c r="D958" s="34" t="inlineStr">
        <is>
          <t>Скидка 25% на абонемент 12 занятий</t>
        </is>
      </c>
      <c r="E958" s="34" t="inlineStr">
        <is>
          <t>При покупке абонемента на 12 занятий</t>
        </is>
      </c>
      <c r="F958" s="147" t="inlineStr">
        <is>
          <t>FW-L3-CSFU4-GBXBZ</t>
        </is>
      </c>
      <c r="G958" s="39" t="inlineStr">
        <is>
          <t>Не использован</t>
        </is>
      </c>
      <c r="H958" s="148" t="n"/>
      <c r="I958" s="34" t="str"/>
      <c r="J958" s="34" t="str"/>
      <c r="K958" s="130" t="n">
        <v>154</v>
      </c>
      <c r="L958" s="43">
        <f>IF(COUNTIF($F$5:$F$2407,F958)=1,"OK","Дубликат")</f>
        <v/>
      </c>
    </row>
    <row r="959" ht="38" customHeight="1">
      <c r="A959" s="146" t="inlineStr">
        <is>
          <t>SUB-L3-12-25</t>
        </is>
      </c>
      <c r="B959" s="39" t="inlineStr">
        <is>
          <t>3 уровень</t>
        </is>
      </c>
      <c r="C959" s="34" t="inlineStr">
        <is>
          <t>Закрытые условия на абонементы</t>
        </is>
      </c>
      <c r="D959" s="34" t="inlineStr">
        <is>
          <t>Скидка 25% на абонемент 12 занятий</t>
        </is>
      </c>
      <c r="E959" s="34" t="inlineStr">
        <is>
          <t>При покупке абонемента на 12 занятий</t>
        </is>
      </c>
      <c r="F959" s="147" t="inlineStr">
        <is>
          <t>FW-L3-ZLVMW-NC5BK</t>
        </is>
      </c>
      <c r="G959" s="39" t="inlineStr">
        <is>
          <t>Не использован</t>
        </is>
      </c>
      <c r="H959" s="148" t="n"/>
      <c r="I959" s="34" t="str"/>
      <c r="J959" s="34" t="str"/>
      <c r="K959" s="130" t="n">
        <v>155</v>
      </c>
      <c r="L959" s="43">
        <f>IF(COUNTIF($F$5:$F$2407,F959)=1,"OK","Дубликат")</f>
        <v/>
      </c>
    </row>
    <row r="960" ht="38" customHeight="1">
      <c r="A960" s="146" t="inlineStr">
        <is>
          <t>SUB-L3-12-25</t>
        </is>
      </c>
      <c r="B960" s="39" t="inlineStr">
        <is>
          <t>3 уровень</t>
        </is>
      </c>
      <c r="C960" s="34" t="inlineStr">
        <is>
          <t>Закрытые условия на абонементы</t>
        </is>
      </c>
      <c r="D960" s="34" t="inlineStr">
        <is>
          <t>Скидка 25% на абонемент 12 занятий</t>
        </is>
      </c>
      <c r="E960" s="34" t="inlineStr">
        <is>
          <t>При покупке абонемента на 12 занятий</t>
        </is>
      </c>
      <c r="F960" s="147" t="inlineStr">
        <is>
          <t>FW-L3-THSFE-9XGEW</t>
        </is>
      </c>
      <c r="G960" s="39" t="inlineStr">
        <is>
          <t>Не использован</t>
        </is>
      </c>
      <c r="H960" s="148" t="n"/>
      <c r="I960" s="34" t="str"/>
      <c r="J960" s="34" t="str"/>
      <c r="K960" s="130" t="n">
        <v>156</v>
      </c>
      <c r="L960" s="43">
        <f>IF(COUNTIF($F$5:$F$2407,F960)=1,"OK","Дубликат")</f>
        <v/>
      </c>
    </row>
    <row r="961" ht="38" customHeight="1">
      <c r="A961" s="146" t="inlineStr">
        <is>
          <t>SUB-L3-12-25</t>
        </is>
      </c>
      <c r="B961" s="39" t="inlineStr">
        <is>
          <t>3 уровень</t>
        </is>
      </c>
      <c r="C961" s="34" t="inlineStr">
        <is>
          <t>Закрытые условия на абонементы</t>
        </is>
      </c>
      <c r="D961" s="34" t="inlineStr">
        <is>
          <t>Скидка 25% на абонемент 12 занятий</t>
        </is>
      </c>
      <c r="E961" s="34" t="inlineStr">
        <is>
          <t>При покупке абонемента на 12 занятий</t>
        </is>
      </c>
      <c r="F961" s="147" t="inlineStr">
        <is>
          <t>FW-L3-WJU68-6JG2X</t>
        </is>
      </c>
      <c r="G961" s="39" t="inlineStr">
        <is>
          <t>Не использован</t>
        </is>
      </c>
      <c r="H961" s="148" t="n"/>
      <c r="I961" s="34" t="str"/>
      <c r="J961" s="34" t="str"/>
      <c r="K961" s="130" t="n">
        <v>157</v>
      </c>
      <c r="L961" s="43">
        <f>IF(COUNTIF($F$5:$F$2407,F961)=1,"OK","Дубликат")</f>
        <v/>
      </c>
    </row>
    <row r="962" ht="38" customHeight="1">
      <c r="A962" s="146" t="inlineStr">
        <is>
          <t>SUB-L3-12-25</t>
        </is>
      </c>
      <c r="B962" s="39" t="inlineStr">
        <is>
          <t>3 уровень</t>
        </is>
      </c>
      <c r="C962" s="34" t="inlineStr">
        <is>
          <t>Закрытые условия на абонементы</t>
        </is>
      </c>
      <c r="D962" s="34" t="inlineStr">
        <is>
          <t>Скидка 25% на абонемент 12 занятий</t>
        </is>
      </c>
      <c r="E962" s="34" t="inlineStr">
        <is>
          <t>При покупке абонемента на 12 занятий</t>
        </is>
      </c>
      <c r="F962" s="147" t="inlineStr">
        <is>
          <t>FW-L3-6ZNB4-9H9M7</t>
        </is>
      </c>
      <c r="G962" s="39" t="inlineStr">
        <is>
          <t>Не использован</t>
        </is>
      </c>
      <c r="H962" s="148" t="n"/>
      <c r="I962" s="34" t="str"/>
      <c r="J962" s="34" t="str"/>
      <c r="K962" s="130" t="n">
        <v>158</v>
      </c>
      <c r="L962" s="43">
        <f>IF(COUNTIF($F$5:$F$2407,F962)=1,"OK","Дубликат")</f>
        <v/>
      </c>
    </row>
    <row r="963" ht="38" customHeight="1">
      <c r="A963" s="146" t="inlineStr">
        <is>
          <t>SUB-L3-12-25</t>
        </is>
      </c>
      <c r="B963" s="39" t="inlineStr">
        <is>
          <t>3 уровень</t>
        </is>
      </c>
      <c r="C963" s="34" t="inlineStr">
        <is>
          <t>Закрытые условия на абонементы</t>
        </is>
      </c>
      <c r="D963" s="34" t="inlineStr">
        <is>
          <t>Скидка 25% на абонемент 12 занятий</t>
        </is>
      </c>
      <c r="E963" s="34" t="inlineStr">
        <is>
          <t>При покупке абонемента на 12 занятий</t>
        </is>
      </c>
      <c r="F963" s="147" t="inlineStr">
        <is>
          <t>FW-L3-JZ2LY-WJ6AW</t>
        </is>
      </c>
      <c r="G963" s="39" t="inlineStr">
        <is>
          <t>Не использован</t>
        </is>
      </c>
      <c r="H963" s="148" t="n"/>
      <c r="I963" s="34" t="str"/>
      <c r="J963" s="34" t="str"/>
      <c r="K963" s="130" t="n">
        <v>159</v>
      </c>
      <c r="L963" s="43">
        <f>IF(COUNTIF($F$5:$F$2407,F963)=1,"OK","Дубликат")</f>
        <v/>
      </c>
    </row>
    <row r="964" ht="38" customHeight="1">
      <c r="A964" s="146" t="inlineStr">
        <is>
          <t>SUB-L3-12-25</t>
        </is>
      </c>
      <c r="B964" s="39" t="inlineStr">
        <is>
          <t>3 уровень</t>
        </is>
      </c>
      <c r="C964" s="34" t="inlineStr">
        <is>
          <t>Закрытые условия на абонементы</t>
        </is>
      </c>
      <c r="D964" s="34" t="inlineStr">
        <is>
          <t>Скидка 25% на абонемент 12 занятий</t>
        </is>
      </c>
      <c r="E964" s="34" t="inlineStr">
        <is>
          <t>При покупке абонемента на 12 занятий</t>
        </is>
      </c>
      <c r="F964" s="147" t="inlineStr">
        <is>
          <t>FW-L3-JU428-9YMET</t>
        </is>
      </c>
      <c r="G964" s="39" t="inlineStr">
        <is>
          <t>Не использован</t>
        </is>
      </c>
      <c r="H964" s="148" t="n"/>
      <c r="I964" s="34" t="str"/>
      <c r="J964" s="34" t="str"/>
      <c r="K964" s="130" t="n">
        <v>160</v>
      </c>
      <c r="L964" s="43">
        <f>IF(COUNTIF($F$5:$F$2407,F964)=1,"OK","Дубликат")</f>
        <v/>
      </c>
    </row>
    <row r="965" ht="38" customHeight="1">
      <c r="A965" s="146" t="inlineStr">
        <is>
          <t>SUB-L3-12-25</t>
        </is>
      </c>
      <c r="B965" s="39" t="inlineStr">
        <is>
          <t>3 уровень</t>
        </is>
      </c>
      <c r="C965" s="34" t="inlineStr">
        <is>
          <t>Закрытые условия на абонементы</t>
        </is>
      </c>
      <c r="D965" s="34" t="inlineStr">
        <is>
          <t>Скидка 25% на абонемент 12 занятий</t>
        </is>
      </c>
      <c r="E965" s="34" t="inlineStr">
        <is>
          <t>При покупке абонемента на 12 занятий</t>
        </is>
      </c>
      <c r="F965" s="147" t="inlineStr">
        <is>
          <t>FW-L3-EEYNC-2X86R</t>
        </is>
      </c>
      <c r="G965" s="39" t="inlineStr">
        <is>
          <t>Не использован</t>
        </is>
      </c>
      <c r="H965" s="148" t="n"/>
      <c r="I965" s="34" t="str"/>
      <c r="J965" s="34" t="str"/>
      <c r="K965" s="130" t="n">
        <v>161</v>
      </c>
      <c r="L965" s="43">
        <f>IF(COUNTIF($F$5:$F$2407,F965)=1,"OK","Дубликат")</f>
        <v/>
      </c>
    </row>
    <row r="966" ht="38" customHeight="1">
      <c r="A966" s="146" t="inlineStr">
        <is>
          <t>SUB-L3-12-25</t>
        </is>
      </c>
      <c r="B966" s="39" t="inlineStr">
        <is>
          <t>3 уровень</t>
        </is>
      </c>
      <c r="C966" s="34" t="inlineStr">
        <is>
          <t>Закрытые условия на абонементы</t>
        </is>
      </c>
      <c r="D966" s="34" t="inlineStr">
        <is>
          <t>Скидка 25% на абонемент 12 занятий</t>
        </is>
      </c>
      <c r="E966" s="34" t="inlineStr">
        <is>
          <t>При покупке абонемента на 12 занятий</t>
        </is>
      </c>
      <c r="F966" s="147" t="inlineStr">
        <is>
          <t>FW-L3-4S8E9-X5JFZ</t>
        </is>
      </c>
      <c r="G966" s="39" t="inlineStr">
        <is>
          <t>Не использован</t>
        </is>
      </c>
      <c r="H966" s="148" t="n"/>
      <c r="I966" s="34" t="str"/>
      <c r="J966" s="34" t="str"/>
      <c r="K966" s="130" t="n">
        <v>162</v>
      </c>
      <c r="L966" s="43">
        <f>IF(COUNTIF($F$5:$F$2407,F966)=1,"OK","Дубликат")</f>
        <v/>
      </c>
    </row>
    <row r="967" ht="38" customHeight="1">
      <c r="A967" s="146" t="inlineStr">
        <is>
          <t>SUB-L3-12-25</t>
        </is>
      </c>
      <c r="B967" s="39" t="inlineStr">
        <is>
          <t>3 уровень</t>
        </is>
      </c>
      <c r="C967" s="34" t="inlineStr">
        <is>
          <t>Закрытые условия на абонементы</t>
        </is>
      </c>
      <c r="D967" s="34" t="inlineStr">
        <is>
          <t>Скидка 25% на абонемент 12 занятий</t>
        </is>
      </c>
      <c r="E967" s="34" t="inlineStr">
        <is>
          <t>При покупке абонемента на 12 занятий</t>
        </is>
      </c>
      <c r="F967" s="147" t="inlineStr">
        <is>
          <t>FW-L3-CUW8B-CPGSV</t>
        </is>
      </c>
      <c r="G967" s="39" t="inlineStr">
        <is>
          <t>Не использован</t>
        </is>
      </c>
      <c r="H967" s="148" t="n"/>
      <c r="I967" s="34" t="str"/>
      <c r="J967" s="34" t="str"/>
      <c r="K967" s="130" t="n">
        <v>163</v>
      </c>
      <c r="L967" s="43">
        <f>IF(COUNTIF($F$5:$F$2407,F967)=1,"OK","Дубликат")</f>
        <v/>
      </c>
    </row>
    <row r="968" ht="38" customHeight="1">
      <c r="A968" s="146" t="inlineStr">
        <is>
          <t>SUB-L3-12-25</t>
        </is>
      </c>
      <c r="B968" s="39" t="inlineStr">
        <is>
          <t>3 уровень</t>
        </is>
      </c>
      <c r="C968" s="34" t="inlineStr">
        <is>
          <t>Закрытые условия на абонементы</t>
        </is>
      </c>
      <c r="D968" s="34" t="inlineStr">
        <is>
          <t>Скидка 25% на абонемент 12 занятий</t>
        </is>
      </c>
      <c r="E968" s="34" t="inlineStr">
        <is>
          <t>При покупке абонемента на 12 занятий</t>
        </is>
      </c>
      <c r="F968" s="147" t="inlineStr">
        <is>
          <t>FW-L3-J57MV-L6RA6</t>
        </is>
      </c>
      <c r="G968" s="39" t="inlineStr">
        <is>
          <t>Не использован</t>
        </is>
      </c>
      <c r="H968" s="148" t="n"/>
      <c r="I968" s="34" t="str"/>
      <c r="J968" s="34" t="str"/>
      <c r="K968" s="130" t="n">
        <v>164</v>
      </c>
      <c r="L968" s="43">
        <f>IF(COUNTIF($F$5:$F$2407,F968)=1,"OK","Дубликат")</f>
        <v/>
      </c>
    </row>
    <row r="969" ht="38" customHeight="1">
      <c r="A969" s="146" t="inlineStr">
        <is>
          <t>SUB-L3-12-25</t>
        </is>
      </c>
      <c r="B969" s="39" t="inlineStr">
        <is>
          <t>3 уровень</t>
        </is>
      </c>
      <c r="C969" s="34" t="inlineStr">
        <is>
          <t>Закрытые условия на абонементы</t>
        </is>
      </c>
      <c r="D969" s="34" t="inlineStr">
        <is>
          <t>Скидка 25% на абонемент 12 занятий</t>
        </is>
      </c>
      <c r="E969" s="34" t="inlineStr">
        <is>
          <t>При покупке абонемента на 12 занятий</t>
        </is>
      </c>
      <c r="F969" s="147" t="inlineStr">
        <is>
          <t>FW-L3-6NLDE-PWCQW</t>
        </is>
      </c>
      <c r="G969" s="39" t="inlineStr">
        <is>
          <t>Не использован</t>
        </is>
      </c>
      <c r="H969" s="148" t="n"/>
      <c r="I969" s="34" t="str"/>
      <c r="J969" s="34" t="str"/>
      <c r="K969" s="130" t="n">
        <v>165</v>
      </c>
      <c r="L969" s="43">
        <f>IF(COUNTIF($F$5:$F$2407,F969)=1,"OK","Дубликат")</f>
        <v/>
      </c>
    </row>
    <row r="970" ht="38" customHeight="1">
      <c r="A970" s="146" t="inlineStr">
        <is>
          <t>SUB-L3-12-25</t>
        </is>
      </c>
      <c r="B970" s="39" t="inlineStr">
        <is>
          <t>3 уровень</t>
        </is>
      </c>
      <c r="C970" s="34" t="inlineStr">
        <is>
          <t>Закрытые условия на абонементы</t>
        </is>
      </c>
      <c r="D970" s="34" t="inlineStr">
        <is>
          <t>Скидка 25% на абонемент 12 занятий</t>
        </is>
      </c>
      <c r="E970" s="34" t="inlineStr">
        <is>
          <t>При покупке абонемента на 12 занятий</t>
        </is>
      </c>
      <c r="F970" s="147" t="inlineStr">
        <is>
          <t>FW-L3-W8G32-DTX4P</t>
        </is>
      </c>
      <c r="G970" s="39" t="inlineStr">
        <is>
          <t>Не использован</t>
        </is>
      </c>
      <c r="H970" s="148" t="n"/>
      <c r="I970" s="34" t="str"/>
      <c r="J970" s="34" t="str"/>
      <c r="K970" s="130" t="n">
        <v>166</v>
      </c>
      <c r="L970" s="43">
        <f>IF(COUNTIF($F$5:$F$2407,F970)=1,"OK","Дубликат")</f>
        <v/>
      </c>
    </row>
    <row r="971" ht="38" customHeight="1">
      <c r="A971" s="146" t="inlineStr">
        <is>
          <t>SUB-L3-12-25</t>
        </is>
      </c>
      <c r="B971" s="39" t="inlineStr">
        <is>
          <t>3 уровень</t>
        </is>
      </c>
      <c r="C971" s="34" t="inlineStr">
        <is>
          <t>Закрытые условия на абонементы</t>
        </is>
      </c>
      <c r="D971" s="34" t="inlineStr">
        <is>
          <t>Скидка 25% на абонемент 12 занятий</t>
        </is>
      </c>
      <c r="E971" s="34" t="inlineStr">
        <is>
          <t>При покупке абонемента на 12 занятий</t>
        </is>
      </c>
      <c r="F971" s="147" t="inlineStr">
        <is>
          <t>FW-L3-HC4TV-PA527</t>
        </is>
      </c>
      <c r="G971" s="39" t="inlineStr">
        <is>
          <t>Не использован</t>
        </is>
      </c>
      <c r="H971" s="148" t="n"/>
      <c r="I971" s="34" t="str"/>
      <c r="J971" s="34" t="str"/>
      <c r="K971" s="130" t="n">
        <v>167</v>
      </c>
      <c r="L971" s="43">
        <f>IF(COUNTIF($F$5:$F$2407,F971)=1,"OK","Дубликат")</f>
        <v/>
      </c>
    </row>
    <row r="972" ht="38" customHeight="1">
      <c r="A972" s="146" t="inlineStr">
        <is>
          <t>SUB-L3-12-25</t>
        </is>
      </c>
      <c r="B972" s="39" t="inlineStr">
        <is>
          <t>3 уровень</t>
        </is>
      </c>
      <c r="C972" s="34" t="inlineStr">
        <is>
          <t>Закрытые условия на абонементы</t>
        </is>
      </c>
      <c r="D972" s="34" t="inlineStr">
        <is>
          <t>Скидка 25% на абонемент 12 занятий</t>
        </is>
      </c>
      <c r="E972" s="34" t="inlineStr">
        <is>
          <t>При покупке абонемента на 12 занятий</t>
        </is>
      </c>
      <c r="F972" s="147" t="inlineStr">
        <is>
          <t>FW-L3-WUPLY-9RFT5</t>
        </is>
      </c>
      <c r="G972" s="39" t="inlineStr">
        <is>
          <t>Не использован</t>
        </is>
      </c>
      <c r="H972" s="148" t="n"/>
      <c r="I972" s="34" t="str"/>
      <c r="J972" s="34" t="str"/>
      <c r="K972" s="130" t="n">
        <v>168</v>
      </c>
      <c r="L972" s="43">
        <f>IF(COUNTIF($F$5:$F$2407,F972)=1,"OK","Дубликат")</f>
        <v/>
      </c>
    </row>
    <row r="973" ht="38" customHeight="1">
      <c r="A973" s="146" t="inlineStr">
        <is>
          <t>SUB-L3-12-25</t>
        </is>
      </c>
      <c r="B973" s="39" t="inlineStr">
        <is>
          <t>3 уровень</t>
        </is>
      </c>
      <c r="C973" s="34" t="inlineStr">
        <is>
          <t>Закрытые условия на абонементы</t>
        </is>
      </c>
      <c r="D973" s="34" t="inlineStr">
        <is>
          <t>Скидка 25% на абонемент 12 занятий</t>
        </is>
      </c>
      <c r="E973" s="34" t="inlineStr">
        <is>
          <t>При покупке абонемента на 12 занятий</t>
        </is>
      </c>
      <c r="F973" s="147" t="inlineStr">
        <is>
          <t>FW-L3-67PKL-Y28G8</t>
        </is>
      </c>
      <c r="G973" s="39" t="inlineStr">
        <is>
          <t>Не использован</t>
        </is>
      </c>
      <c r="H973" s="148" t="n"/>
      <c r="I973" s="34" t="str"/>
      <c r="J973" s="34" t="str"/>
      <c r="K973" s="130" t="n">
        <v>169</v>
      </c>
      <c r="L973" s="43">
        <f>IF(COUNTIF($F$5:$F$2407,F973)=1,"OK","Дубликат")</f>
        <v/>
      </c>
    </row>
    <row r="974" ht="38" customHeight="1">
      <c r="A974" s="146" t="inlineStr">
        <is>
          <t>SUB-L3-12-25</t>
        </is>
      </c>
      <c r="B974" s="39" t="inlineStr">
        <is>
          <t>3 уровень</t>
        </is>
      </c>
      <c r="C974" s="34" t="inlineStr">
        <is>
          <t>Закрытые условия на абонементы</t>
        </is>
      </c>
      <c r="D974" s="34" t="inlineStr">
        <is>
          <t>Скидка 25% на абонемент 12 занятий</t>
        </is>
      </c>
      <c r="E974" s="34" t="inlineStr">
        <is>
          <t>При покупке абонемента на 12 занятий</t>
        </is>
      </c>
      <c r="F974" s="147" t="inlineStr">
        <is>
          <t>FW-L3-K6WUE-GCXRP</t>
        </is>
      </c>
      <c r="G974" s="39" t="inlineStr">
        <is>
          <t>Не использован</t>
        </is>
      </c>
      <c r="H974" s="148" t="n"/>
      <c r="I974" s="34" t="str"/>
      <c r="J974" s="34" t="str"/>
      <c r="K974" s="130" t="n">
        <v>170</v>
      </c>
      <c r="L974" s="43">
        <f>IF(COUNTIF($F$5:$F$2407,F974)=1,"OK","Дубликат")</f>
        <v/>
      </c>
    </row>
    <row r="975" ht="38" customHeight="1">
      <c r="A975" s="146" t="inlineStr">
        <is>
          <t>SUB-L3-12-25</t>
        </is>
      </c>
      <c r="B975" s="39" t="inlineStr">
        <is>
          <t>3 уровень</t>
        </is>
      </c>
      <c r="C975" s="34" t="inlineStr">
        <is>
          <t>Закрытые условия на абонементы</t>
        </is>
      </c>
      <c r="D975" s="34" t="inlineStr">
        <is>
          <t>Скидка 25% на абонемент 12 занятий</t>
        </is>
      </c>
      <c r="E975" s="34" t="inlineStr">
        <is>
          <t>При покупке абонемента на 12 занятий</t>
        </is>
      </c>
      <c r="F975" s="147" t="inlineStr">
        <is>
          <t>FW-L3-UX2XV-U7M2D</t>
        </is>
      </c>
      <c r="G975" s="39" t="inlineStr">
        <is>
          <t>Не использован</t>
        </is>
      </c>
      <c r="H975" s="148" t="n"/>
      <c r="I975" s="34" t="str"/>
      <c r="J975" s="34" t="str"/>
      <c r="K975" s="130" t="n">
        <v>171</v>
      </c>
      <c r="L975" s="43">
        <f>IF(COUNTIF($F$5:$F$2407,F975)=1,"OK","Дубликат")</f>
        <v/>
      </c>
    </row>
    <row r="976" ht="38" customHeight="1">
      <c r="A976" s="146" t="inlineStr">
        <is>
          <t>SUB-L3-12-25</t>
        </is>
      </c>
      <c r="B976" s="39" t="inlineStr">
        <is>
          <t>3 уровень</t>
        </is>
      </c>
      <c r="C976" s="34" t="inlineStr">
        <is>
          <t>Закрытые условия на абонементы</t>
        </is>
      </c>
      <c r="D976" s="34" t="inlineStr">
        <is>
          <t>Скидка 25% на абонемент 12 занятий</t>
        </is>
      </c>
      <c r="E976" s="34" t="inlineStr">
        <is>
          <t>При покупке абонемента на 12 занятий</t>
        </is>
      </c>
      <c r="F976" s="147" t="inlineStr">
        <is>
          <t>FW-L3-KMMNK-ZT8QK</t>
        </is>
      </c>
      <c r="G976" s="39" t="inlineStr">
        <is>
          <t>Не использован</t>
        </is>
      </c>
      <c r="H976" s="148" t="n"/>
      <c r="I976" s="34" t="str"/>
      <c r="J976" s="34" t="str"/>
      <c r="K976" s="130" t="n">
        <v>172</v>
      </c>
      <c r="L976" s="43">
        <f>IF(COUNTIF($F$5:$F$2407,F976)=1,"OK","Дубликат")</f>
        <v/>
      </c>
    </row>
    <row r="977" ht="38" customHeight="1">
      <c r="A977" s="146" t="inlineStr">
        <is>
          <t>SUB-L3-12-25</t>
        </is>
      </c>
      <c r="B977" s="39" t="inlineStr">
        <is>
          <t>3 уровень</t>
        </is>
      </c>
      <c r="C977" s="34" t="inlineStr">
        <is>
          <t>Закрытые условия на абонементы</t>
        </is>
      </c>
      <c r="D977" s="34" t="inlineStr">
        <is>
          <t>Скидка 25% на абонемент 12 занятий</t>
        </is>
      </c>
      <c r="E977" s="34" t="inlineStr">
        <is>
          <t>При покупке абонемента на 12 занятий</t>
        </is>
      </c>
      <c r="F977" s="147" t="inlineStr">
        <is>
          <t>FW-L3-ZAN7X-5AGRD</t>
        </is>
      </c>
      <c r="G977" s="39" t="inlineStr">
        <is>
          <t>Не использован</t>
        </is>
      </c>
      <c r="H977" s="148" t="n"/>
      <c r="I977" s="34" t="str"/>
      <c r="J977" s="34" t="str"/>
      <c r="K977" s="130" t="n">
        <v>173</v>
      </c>
      <c r="L977" s="43">
        <f>IF(COUNTIF($F$5:$F$2407,F977)=1,"OK","Дубликат")</f>
        <v/>
      </c>
    </row>
    <row r="978" ht="38" customHeight="1">
      <c r="A978" s="146" t="inlineStr">
        <is>
          <t>SUB-L3-12-25</t>
        </is>
      </c>
      <c r="B978" s="39" t="inlineStr">
        <is>
          <t>3 уровень</t>
        </is>
      </c>
      <c r="C978" s="34" t="inlineStr">
        <is>
          <t>Закрытые условия на абонементы</t>
        </is>
      </c>
      <c r="D978" s="34" t="inlineStr">
        <is>
          <t>Скидка 25% на абонемент 12 занятий</t>
        </is>
      </c>
      <c r="E978" s="34" t="inlineStr">
        <is>
          <t>При покупке абонемента на 12 занятий</t>
        </is>
      </c>
      <c r="F978" s="147" t="inlineStr">
        <is>
          <t>FW-L3-5PG5A-VMDZF</t>
        </is>
      </c>
      <c r="G978" s="39" t="inlineStr">
        <is>
          <t>Не использован</t>
        </is>
      </c>
      <c r="H978" s="148" t="n"/>
      <c r="I978" s="34" t="str"/>
      <c r="J978" s="34" t="str"/>
      <c r="K978" s="130" t="n">
        <v>174</v>
      </c>
      <c r="L978" s="43">
        <f>IF(COUNTIF($F$5:$F$2407,F978)=1,"OK","Дубликат")</f>
        <v/>
      </c>
    </row>
    <row r="979" ht="38" customHeight="1">
      <c r="A979" s="146" t="inlineStr">
        <is>
          <t>SUB-L3-12-25</t>
        </is>
      </c>
      <c r="B979" s="39" t="inlineStr">
        <is>
          <t>3 уровень</t>
        </is>
      </c>
      <c r="C979" s="34" t="inlineStr">
        <is>
          <t>Закрытые условия на абонементы</t>
        </is>
      </c>
      <c r="D979" s="34" t="inlineStr">
        <is>
          <t>Скидка 25% на абонемент 12 занятий</t>
        </is>
      </c>
      <c r="E979" s="34" t="inlineStr">
        <is>
          <t>При покупке абонемента на 12 занятий</t>
        </is>
      </c>
      <c r="F979" s="147" t="inlineStr">
        <is>
          <t>FW-L3-A8SH4-XKWQG</t>
        </is>
      </c>
      <c r="G979" s="39" t="inlineStr">
        <is>
          <t>Не использован</t>
        </is>
      </c>
      <c r="H979" s="148" t="n"/>
      <c r="I979" s="34" t="str"/>
      <c r="J979" s="34" t="str"/>
      <c r="K979" s="130" t="n">
        <v>175</v>
      </c>
      <c r="L979" s="43">
        <f>IF(COUNTIF($F$5:$F$2407,F979)=1,"OK","Дубликат")</f>
        <v/>
      </c>
    </row>
    <row r="980" ht="38" customHeight="1">
      <c r="A980" s="146" t="inlineStr">
        <is>
          <t>SUB-L3-12-25</t>
        </is>
      </c>
      <c r="B980" s="39" t="inlineStr">
        <is>
          <t>3 уровень</t>
        </is>
      </c>
      <c r="C980" s="34" t="inlineStr">
        <is>
          <t>Закрытые условия на абонементы</t>
        </is>
      </c>
      <c r="D980" s="34" t="inlineStr">
        <is>
          <t>Скидка 25% на абонемент 12 занятий</t>
        </is>
      </c>
      <c r="E980" s="34" t="inlineStr">
        <is>
          <t>При покупке абонемента на 12 занятий</t>
        </is>
      </c>
      <c r="F980" s="147" t="inlineStr">
        <is>
          <t>FW-L3-NNRAV-32VDG</t>
        </is>
      </c>
      <c r="G980" s="39" t="inlineStr">
        <is>
          <t>Не использован</t>
        </is>
      </c>
      <c r="H980" s="148" t="n"/>
      <c r="I980" s="34" t="str"/>
      <c r="J980" s="34" t="str"/>
      <c r="K980" s="130" t="n">
        <v>176</v>
      </c>
      <c r="L980" s="43">
        <f>IF(COUNTIF($F$5:$F$2407,F980)=1,"OK","Дубликат")</f>
        <v/>
      </c>
    </row>
    <row r="981" ht="38" customHeight="1">
      <c r="A981" s="146" t="inlineStr">
        <is>
          <t>SUB-L3-12-25</t>
        </is>
      </c>
      <c r="B981" s="39" t="inlineStr">
        <is>
          <t>3 уровень</t>
        </is>
      </c>
      <c r="C981" s="34" t="inlineStr">
        <is>
          <t>Закрытые условия на абонементы</t>
        </is>
      </c>
      <c r="D981" s="34" t="inlineStr">
        <is>
          <t>Скидка 25% на абонемент 12 занятий</t>
        </is>
      </c>
      <c r="E981" s="34" t="inlineStr">
        <is>
          <t>При покупке абонемента на 12 занятий</t>
        </is>
      </c>
      <c r="F981" s="147" t="inlineStr">
        <is>
          <t>FW-L3-39N38-6PXC6</t>
        </is>
      </c>
      <c r="G981" s="39" t="inlineStr">
        <is>
          <t>Не использован</t>
        </is>
      </c>
      <c r="H981" s="148" t="n"/>
      <c r="I981" s="34" t="str"/>
      <c r="J981" s="34" t="str"/>
      <c r="K981" s="130" t="n">
        <v>177</v>
      </c>
      <c r="L981" s="43">
        <f>IF(COUNTIF($F$5:$F$2407,F981)=1,"OK","Дубликат")</f>
        <v/>
      </c>
    </row>
    <row r="982" ht="38" customHeight="1">
      <c r="A982" s="146" t="inlineStr">
        <is>
          <t>SUB-L3-12-25</t>
        </is>
      </c>
      <c r="B982" s="39" t="inlineStr">
        <is>
          <t>3 уровень</t>
        </is>
      </c>
      <c r="C982" s="34" t="inlineStr">
        <is>
          <t>Закрытые условия на абонементы</t>
        </is>
      </c>
      <c r="D982" s="34" t="inlineStr">
        <is>
          <t>Скидка 25% на абонемент 12 занятий</t>
        </is>
      </c>
      <c r="E982" s="34" t="inlineStr">
        <is>
          <t>При покупке абонемента на 12 занятий</t>
        </is>
      </c>
      <c r="F982" s="147" t="inlineStr">
        <is>
          <t>FW-L3-LVEXY-L5XCS</t>
        </is>
      </c>
      <c r="G982" s="39" t="inlineStr">
        <is>
          <t>Не использован</t>
        </is>
      </c>
      <c r="H982" s="148" t="n"/>
      <c r="I982" s="34" t="str"/>
      <c r="J982" s="34" t="str"/>
      <c r="K982" s="130" t="n">
        <v>178</v>
      </c>
      <c r="L982" s="43">
        <f>IF(COUNTIF($F$5:$F$2407,F982)=1,"OK","Дубликат")</f>
        <v/>
      </c>
    </row>
    <row r="983" ht="38" customHeight="1">
      <c r="A983" s="146" t="inlineStr">
        <is>
          <t>SUB-L3-12-25</t>
        </is>
      </c>
      <c r="B983" s="39" t="inlineStr">
        <is>
          <t>3 уровень</t>
        </is>
      </c>
      <c r="C983" s="34" t="inlineStr">
        <is>
          <t>Закрытые условия на абонементы</t>
        </is>
      </c>
      <c r="D983" s="34" t="inlineStr">
        <is>
          <t>Скидка 25% на абонемент 12 занятий</t>
        </is>
      </c>
      <c r="E983" s="34" t="inlineStr">
        <is>
          <t>При покупке абонемента на 12 занятий</t>
        </is>
      </c>
      <c r="F983" s="147" t="inlineStr">
        <is>
          <t>FW-L3-RA7LY-TECGX</t>
        </is>
      </c>
      <c r="G983" s="39" t="inlineStr">
        <is>
          <t>Не использован</t>
        </is>
      </c>
      <c r="H983" s="148" t="n"/>
      <c r="I983" s="34" t="str"/>
      <c r="J983" s="34" t="str"/>
      <c r="K983" s="130" t="n">
        <v>179</v>
      </c>
      <c r="L983" s="43">
        <f>IF(COUNTIF($F$5:$F$2407,F983)=1,"OK","Дубликат")</f>
        <v/>
      </c>
    </row>
    <row r="984" ht="38" customHeight="1">
      <c r="A984" s="146" t="inlineStr">
        <is>
          <t>SUB-L3-12-25</t>
        </is>
      </c>
      <c r="B984" s="39" t="inlineStr">
        <is>
          <t>3 уровень</t>
        </is>
      </c>
      <c r="C984" s="34" t="inlineStr">
        <is>
          <t>Закрытые условия на абонементы</t>
        </is>
      </c>
      <c r="D984" s="34" t="inlineStr">
        <is>
          <t>Скидка 25% на абонемент 12 занятий</t>
        </is>
      </c>
      <c r="E984" s="34" t="inlineStr">
        <is>
          <t>При покупке абонемента на 12 занятий</t>
        </is>
      </c>
      <c r="F984" s="147" t="inlineStr">
        <is>
          <t>FW-L3-4J45L-YK6KW</t>
        </is>
      </c>
      <c r="G984" s="39" t="inlineStr">
        <is>
          <t>Не использован</t>
        </is>
      </c>
      <c r="H984" s="148" t="n"/>
      <c r="I984" s="34" t="str"/>
      <c r="J984" s="34" t="str"/>
      <c r="K984" s="130" t="n">
        <v>180</v>
      </c>
      <c r="L984" s="43">
        <f>IF(COUNTIF($F$5:$F$2407,F984)=1,"OK","Дубликат")</f>
        <v/>
      </c>
    </row>
    <row r="985" ht="38" customHeight="1">
      <c r="A985" s="146" t="inlineStr">
        <is>
          <t>SUB-L3-12-25</t>
        </is>
      </c>
      <c r="B985" s="39" t="inlineStr">
        <is>
          <t>3 уровень</t>
        </is>
      </c>
      <c r="C985" s="34" t="inlineStr">
        <is>
          <t>Закрытые условия на абонементы</t>
        </is>
      </c>
      <c r="D985" s="34" t="inlineStr">
        <is>
          <t>Скидка 25% на абонемент 12 занятий</t>
        </is>
      </c>
      <c r="E985" s="34" t="inlineStr">
        <is>
          <t>При покупке абонемента на 12 занятий</t>
        </is>
      </c>
      <c r="F985" s="147" t="inlineStr">
        <is>
          <t>FW-L3-4C7HA-HMNNR</t>
        </is>
      </c>
      <c r="G985" s="39" t="inlineStr">
        <is>
          <t>Не использован</t>
        </is>
      </c>
      <c r="H985" s="148" t="n"/>
      <c r="I985" s="34" t="str"/>
      <c r="J985" s="34" t="str"/>
      <c r="K985" s="130" t="n">
        <v>181</v>
      </c>
      <c r="L985" s="43">
        <f>IF(COUNTIF($F$5:$F$2407,F985)=1,"OK","Дубликат")</f>
        <v/>
      </c>
    </row>
    <row r="986" ht="38" customHeight="1">
      <c r="A986" s="146" t="inlineStr">
        <is>
          <t>SUB-L3-12-25</t>
        </is>
      </c>
      <c r="B986" s="39" t="inlineStr">
        <is>
          <t>3 уровень</t>
        </is>
      </c>
      <c r="C986" s="34" t="inlineStr">
        <is>
          <t>Закрытые условия на абонементы</t>
        </is>
      </c>
      <c r="D986" s="34" t="inlineStr">
        <is>
          <t>Скидка 25% на абонемент 12 занятий</t>
        </is>
      </c>
      <c r="E986" s="34" t="inlineStr">
        <is>
          <t>При покупке абонемента на 12 занятий</t>
        </is>
      </c>
      <c r="F986" s="147" t="inlineStr">
        <is>
          <t>FW-L3-C3PPS-WMUSZ</t>
        </is>
      </c>
      <c r="G986" s="39" t="inlineStr">
        <is>
          <t>Не использован</t>
        </is>
      </c>
      <c r="H986" s="148" t="n"/>
      <c r="I986" s="34" t="str"/>
      <c r="J986" s="34" t="str"/>
      <c r="K986" s="130" t="n">
        <v>182</v>
      </c>
      <c r="L986" s="43">
        <f>IF(COUNTIF($F$5:$F$2407,F986)=1,"OK","Дубликат")</f>
        <v/>
      </c>
    </row>
    <row r="987" ht="38" customHeight="1">
      <c r="A987" s="146" t="inlineStr">
        <is>
          <t>SUB-L3-12-25</t>
        </is>
      </c>
      <c r="B987" s="39" t="inlineStr">
        <is>
          <t>3 уровень</t>
        </is>
      </c>
      <c r="C987" s="34" t="inlineStr">
        <is>
          <t>Закрытые условия на абонементы</t>
        </is>
      </c>
      <c r="D987" s="34" t="inlineStr">
        <is>
          <t>Скидка 25% на абонемент 12 занятий</t>
        </is>
      </c>
      <c r="E987" s="34" t="inlineStr">
        <is>
          <t>При покупке абонемента на 12 занятий</t>
        </is>
      </c>
      <c r="F987" s="147" t="inlineStr">
        <is>
          <t>FW-L3-GSFTG-NXNGM</t>
        </is>
      </c>
      <c r="G987" s="39" t="inlineStr">
        <is>
          <t>Не использован</t>
        </is>
      </c>
      <c r="H987" s="148" t="n"/>
      <c r="I987" s="34" t="str"/>
      <c r="J987" s="34" t="str"/>
      <c r="K987" s="130" t="n">
        <v>183</v>
      </c>
      <c r="L987" s="43">
        <f>IF(COUNTIF($F$5:$F$2407,F987)=1,"OK","Дубликат")</f>
        <v/>
      </c>
    </row>
    <row r="988" ht="38" customHeight="1">
      <c r="A988" s="146" t="inlineStr">
        <is>
          <t>SUB-L3-12-25</t>
        </is>
      </c>
      <c r="B988" s="39" t="inlineStr">
        <is>
          <t>3 уровень</t>
        </is>
      </c>
      <c r="C988" s="34" t="inlineStr">
        <is>
          <t>Закрытые условия на абонементы</t>
        </is>
      </c>
      <c r="D988" s="34" t="inlineStr">
        <is>
          <t>Скидка 25% на абонемент 12 занятий</t>
        </is>
      </c>
      <c r="E988" s="34" t="inlineStr">
        <is>
          <t>При покупке абонемента на 12 занятий</t>
        </is>
      </c>
      <c r="F988" s="147" t="inlineStr">
        <is>
          <t>FW-L3-7WWKC-8A6T9</t>
        </is>
      </c>
      <c r="G988" s="39" t="inlineStr">
        <is>
          <t>Не использован</t>
        </is>
      </c>
      <c r="H988" s="148" t="n"/>
      <c r="I988" s="34" t="str"/>
      <c r="J988" s="34" t="str"/>
      <c r="K988" s="130" t="n">
        <v>184</v>
      </c>
      <c r="L988" s="43">
        <f>IF(COUNTIF($F$5:$F$2407,F988)=1,"OK","Дубликат")</f>
        <v/>
      </c>
    </row>
    <row r="989" ht="38" customHeight="1">
      <c r="A989" s="146" t="inlineStr">
        <is>
          <t>SUB-L3-12-25</t>
        </is>
      </c>
      <c r="B989" s="39" t="inlineStr">
        <is>
          <t>3 уровень</t>
        </is>
      </c>
      <c r="C989" s="34" t="inlineStr">
        <is>
          <t>Закрытые условия на абонементы</t>
        </is>
      </c>
      <c r="D989" s="34" t="inlineStr">
        <is>
          <t>Скидка 25% на абонемент 12 занятий</t>
        </is>
      </c>
      <c r="E989" s="34" t="inlineStr">
        <is>
          <t>При покупке абонемента на 12 занятий</t>
        </is>
      </c>
      <c r="F989" s="147" t="inlineStr">
        <is>
          <t>FW-L3-VVEWD-65X3Q</t>
        </is>
      </c>
      <c r="G989" s="39" t="inlineStr">
        <is>
          <t>Не использован</t>
        </is>
      </c>
      <c r="H989" s="148" t="n"/>
      <c r="I989" s="34" t="str"/>
      <c r="J989" s="34" t="str"/>
      <c r="K989" s="130" t="n">
        <v>185</v>
      </c>
      <c r="L989" s="43">
        <f>IF(COUNTIF($F$5:$F$2407,F989)=1,"OK","Дубликат")</f>
        <v/>
      </c>
    </row>
    <row r="990" ht="38" customHeight="1">
      <c r="A990" s="146" t="inlineStr">
        <is>
          <t>SUB-L3-12-25</t>
        </is>
      </c>
      <c r="B990" s="39" t="inlineStr">
        <is>
          <t>3 уровень</t>
        </is>
      </c>
      <c r="C990" s="34" t="inlineStr">
        <is>
          <t>Закрытые условия на абонементы</t>
        </is>
      </c>
      <c r="D990" s="34" t="inlineStr">
        <is>
          <t>Скидка 25% на абонемент 12 занятий</t>
        </is>
      </c>
      <c r="E990" s="34" t="inlineStr">
        <is>
          <t>При покупке абонемента на 12 занятий</t>
        </is>
      </c>
      <c r="F990" s="147" t="inlineStr">
        <is>
          <t>FW-L3-USZAG-GGEAD</t>
        </is>
      </c>
      <c r="G990" s="39" t="inlineStr">
        <is>
          <t>Не использован</t>
        </is>
      </c>
      <c r="H990" s="148" t="n"/>
      <c r="I990" s="34" t="str"/>
      <c r="J990" s="34" t="str"/>
      <c r="K990" s="130" t="n">
        <v>186</v>
      </c>
      <c r="L990" s="43">
        <f>IF(COUNTIF($F$5:$F$2407,F990)=1,"OK","Дубликат")</f>
        <v/>
      </c>
    </row>
    <row r="991" ht="38" customHeight="1">
      <c r="A991" s="146" t="inlineStr">
        <is>
          <t>SUB-L3-12-25</t>
        </is>
      </c>
      <c r="B991" s="39" t="inlineStr">
        <is>
          <t>3 уровень</t>
        </is>
      </c>
      <c r="C991" s="34" t="inlineStr">
        <is>
          <t>Закрытые условия на абонементы</t>
        </is>
      </c>
      <c r="D991" s="34" t="inlineStr">
        <is>
          <t>Скидка 25% на абонемент 12 занятий</t>
        </is>
      </c>
      <c r="E991" s="34" t="inlineStr">
        <is>
          <t>При покупке абонемента на 12 занятий</t>
        </is>
      </c>
      <c r="F991" s="147" t="inlineStr">
        <is>
          <t>FW-L3-P5BTE-7HHEJ</t>
        </is>
      </c>
      <c r="G991" s="39" t="inlineStr">
        <is>
          <t>Не использован</t>
        </is>
      </c>
      <c r="H991" s="148" t="n"/>
      <c r="I991" s="34" t="str"/>
      <c r="J991" s="34" t="str"/>
      <c r="K991" s="130" t="n">
        <v>187</v>
      </c>
      <c r="L991" s="43">
        <f>IF(COUNTIF($F$5:$F$2407,F991)=1,"OK","Дубликат")</f>
        <v/>
      </c>
    </row>
    <row r="992" ht="38" customHeight="1">
      <c r="A992" s="146" t="inlineStr">
        <is>
          <t>SUB-L3-12-25</t>
        </is>
      </c>
      <c r="B992" s="39" t="inlineStr">
        <is>
          <t>3 уровень</t>
        </is>
      </c>
      <c r="C992" s="34" t="inlineStr">
        <is>
          <t>Закрытые условия на абонементы</t>
        </is>
      </c>
      <c r="D992" s="34" t="inlineStr">
        <is>
          <t>Скидка 25% на абонемент 12 занятий</t>
        </is>
      </c>
      <c r="E992" s="34" t="inlineStr">
        <is>
          <t>При покупке абонемента на 12 занятий</t>
        </is>
      </c>
      <c r="F992" s="147" t="inlineStr">
        <is>
          <t>FW-L3-UTFHE-4JBTQ</t>
        </is>
      </c>
      <c r="G992" s="39" t="inlineStr">
        <is>
          <t>Не использован</t>
        </is>
      </c>
      <c r="H992" s="148" t="n"/>
      <c r="I992" s="34" t="str"/>
      <c r="J992" s="34" t="str"/>
      <c r="K992" s="130" t="n">
        <v>188</v>
      </c>
      <c r="L992" s="43">
        <f>IF(COUNTIF($F$5:$F$2407,F992)=1,"OK","Дубликат")</f>
        <v/>
      </c>
    </row>
    <row r="993" ht="38" customHeight="1">
      <c r="A993" s="146" t="inlineStr">
        <is>
          <t>SUB-L3-12-25</t>
        </is>
      </c>
      <c r="B993" s="39" t="inlineStr">
        <is>
          <t>3 уровень</t>
        </is>
      </c>
      <c r="C993" s="34" t="inlineStr">
        <is>
          <t>Закрытые условия на абонементы</t>
        </is>
      </c>
      <c r="D993" s="34" t="inlineStr">
        <is>
          <t>Скидка 25% на абонемент 12 занятий</t>
        </is>
      </c>
      <c r="E993" s="34" t="inlineStr">
        <is>
          <t>При покупке абонемента на 12 занятий</t>
        </is>
      </c>
      <c r="F993" s="147" t="inlineStr">
        <is>
          <t>FW-L3-9BMRC-L8WZK</t>
        </is>
      </c>
      <c r="G993" s="39" t="inlineStr">
        <is>
          <t>Не использован</t>
        </is>
      </c>
      <c r="H993" s="148" t="n"/>
      <c r="I993" s="34" t="str"/>
      <c r="J993" s="34" t="str"/>
      <c r="K993" s="130" t="n">
        <v>189</v>
      </c>
      <c r="L993" s="43">
        <f>IF(COUNTIF($F$5:$F$2407,F993)=1,"OK","Дубликат")</f>
        <v/>
      </c>
    </row>
    <row r="994" ht="38" customHeight="1">
      <c r="A994" s="146" t="inlineStr">
        <is>
          <t>SUB-L3-12-25</t>
        </is>
      </c>
      <c r="B994" s="39" t="inlineStr">
        <is>
          <t>3 уровень</t>
        </is>
      </c>
      <c r="C994" s="34" t="inlineStr">
        <is>
          <t>Закрытые условия на абонементы</t>
        </is>
      </c>
      <c r="D994" s="34" t="inlineStr">
        <is>
          <t>Скидка 25% на абонемент 12 занятий</t>
        </is>
      </c>
      <c r="E994" s="34" t="inlineStr">
        <is>
          <t>При покупке абонемента на 12 занятий</t>
        </is>
      </c>
      <c r="F994" s="147" t="inlineStr">
        <is>
          <t>FW-L3-UFBE4-LFGKK</t>
        </is>
      </c>
      <c r="G994" s="39" t="inlineStr">
        <is>
          <t>Не использован</t>
        </is>
      </c>
      <c r="H994" s="148" t="n"/>
      <c r="I994" s="34" t="str"/>
      <c r="J994" s="34" t="str"/>
      <c r="K994" s="130" t="n">
        <v>190</v>
      </c>
      <c r="L994" s="43">
        <f>IF(COUNTIF($F$5:$F$2407,F994)=1,"OK","Дубликат")</f>
        <v/>
      </c>
    </row>
    <row r="995" ht="38" customHeight="1">
      <c r="A995" s="146" t="inlineStr">
        <is>
          <t>SUB-L3-12-25</t>
        </is>
      </c>
      <c r="B995" s="39" t="inlineStr">
        <is>
          <t>3 уровень</t>
        </is>
      </c>
      <c r="C995" s="34" t="inlineStr">
        <is>
          <t>Закрытые условия на абонементы</t>
        </is>
      </c>
      <c r="D995" s="34" t="inlineStr">
        <is>
          <t>Скидка 25% на абонемент 12 занятий</t>
        </is>
      </c>
      <c r="E995" s="34" t="inlineStr">
        <is>
          <t>При покупке абонемента на 12 занятий</t>
        </is>
      </c>
      <c r="F995" s="147" t="inlineStr">
        <is>
          <t>FW-L3-DDY43-MGRQC</t>
        </is>
      </c>
      <c r="G995" s="39" t="inlineStr">
        <is>
          <t>Не использован</t>
        </is>
      </c>
      <c r="H995" s="148" t="n"/>
      <c r="I995" s="34" t="str"/>
      <c r="J995" s="34" t="str"/>
      <c r="K995" s="130" t="n">
        <v>191</v>
      </c>
      <c r="L995" s="43">
        <f>IF(COUNTIF($F$5:$F$2407,F995)=1,"OK","Дубликат")</f>
        <v/>
      </c>
    </row>
    <row r="996" ht="38" customHeight="1">
      <c r="A996" s="146" t="inlineStr">
        <is>
          <t>SUB-L3-12-25</t>
        </is>
      </c>
      <c r="B996" s="39" t="inlineStr">
        <is>
          <t>3 уровень</t>
        </is>
      </c>
      <c r="C996" s="34" t="inlineStr">
        <is>
          <t>Закрытые условия на абонементы</t>
        </is>
      </c>
      <c r="D996" s="34" t="inlineStr">
        <is>
          <t>Скидка 25% на абонемент 12 занятий</t>
        </is>
      </c>
      <c r="E996" s="34" t="inlineStr">
        <is>
          <t>При покупке абонемента на 12 занятий</t>
        </is>
      </c>
      <c r="F996" s="147" t="inlineStr">
        <is>
          <t>FW-L3-QYN2G-LRJRK</t>
        </is>
      </c>
      <c r="G996" s="39" t="inlineStr">
        <is>
          <t>Не использован</t>
        </is>
      </c>
      <c r="H996" s="148" t="n"/>
      <c r="I996" s="34" t="str"/>
      <c r="J996" s="34" t="str"/>
      <c r="K996" s="130" t="n">
        <v>192</v>
      </c>
      <c r="L996" s="43">
        <f>IF(COUNTIF($F$5:$F$2407,F996)=1,"OK","Дубликат")</f>
        <v/>
      </c>
    </row>
    <row r="997" ht="38" customHeight="1">
      <c r="A997" s="146" t="inlineStr">
        <is>
          <t>SUB-L3-12-25</t>
        </is>
      </c>
      <c r="B997" s="39" t="inlineStr">
        <is>
          <t>3 уровень</t>
        </is>
      </c>
      <c r="C997" s="34" t="inlineStr">
        <is>
          <t>Закрытые условия на абонементы</t>
        </is>
      </c>
      <c r="D997" s="34" t="inlineStr">
        <is>
          <t>Скидка 25% на абонемент 12 занятий</t>
        </is>
      </c>
      <c r="E997" s="34" t="inlineStr">
        <is>
          <t>При покупке абонемента на 12 занятий</t>
        </is>
      </c>
      <c r="F997" s="147" t="inlineStr">
        <is>
          <t>FW-L3-VQXTD-AY3C7</t>
        </is>
      </c>
      <c r="G997" s="39" t="inlineStr">
        <is>
          <t>Не использован</t>
        </is>
      </c>
      <c r="H997" s="148" t="n"/>
      <c r="I997" s="34" t="str"/>
      <c r="J997" s="34" t="str"/>
      <c r="K997" s="130" t="n">
        <v>193</v>
      </c>
      <c r="L997" s="43">
        <f>IF(COUNTIF($F$5:$F$2407,F997)=1,"OK","Дубликат")</f>
        <v/>
      </c>
    </row>
    <row r="998" ht="38" customHeight="1">
      <c r="A998" s="146" t="inlineStr">
        <is>
          <t>SUB-L3-12-25</t>
        </is>
      </c>
      <c r="B998" s="39" t="inlineStr">
        <is>
          <t>3 уровень</t>
        </is>
      </c>
      <c r="C998" s="34" t="inlineStr">
        <is>
          <t>Закрытые условия на абонементы</t>
        </is>
      </c>
      <c r="D998" s="34" t="inlineStr">
        <is>
          <t>Скидка 25% на абонемент 12 занятий</t>
        </is>
      </c>
      <c r="E998" s="34" t="inlineStr">
        <is>
          <t>При покупке абонемента на 12 занятий</t>
        </is>
      </c>
      <c r="F998" s="147" t="inlineStr">
        <is>
          <t>FW-L3-MSML5-3QDK6</t>
        </is>
      </c>
      <c r="G998" s="39" t="inlineStr">
        <is>
          <t>Не использован</t>
        </is>
      </c>
      <c r="H998" s="148" t="n"/>
      <c r="I998" s="34" t="str"/>
      <c r="J998" s="34" t="str"/>
      <c r="K998" s="130" t="n">
        <v>194</v>
      </c>
      <c r="L998" s="43">
        <f>IF(COUNTIF($F$5:$F$2407,F998)=1,"OK","Дубликат")</f>
        <v/>
      </c>
    </row>
    <row r="999" ht="38" customHeight="1">
      <c r="A999" s="146" t="inlineStr">
        <is>
          <t>SUB-L3-12-25</t>
        </is>
      </c>
      <c r="B999" s="39" t="inlineStr">
        <is>
          <t>3 уровень</t>
        </is>
      </c>
      <c r="C999" s="34" t="inlineStr">
        <is>
          <t>Закрытые условия на абонементы</t>
        </is>
      </c>
      <c r="D999" s="34" t="inlineStr">
        <is>
          <t>Скидка 25% на абонемент 12 занятий</t>
        </is>
      </c>
      <c r="E999" s="34" t="inlineStr">
        <is>
          <t>При покупке абонемента на 12 занятий</t>
        </is>
      </c>
      <c r="F999" s="147" t="inlineStr">
        <is>
          <t>FW-L3-R6PWP-FCVAD</t>
        </is>
      </c>
      <c r="G999" s="39" t="inlineStr">
        <is>
          <t>Не использован</t>
        </is>
      </c>
      <c r="H999" s="148" t="n"/>
      <c r="I999" s="34" t="str"/>
      <c r="J999" s="34" t="str"/>
      <c r="K999" s="130" t="n">
        <v>195</v>
      </c>
      <c r="L999" s="43">
        <f>IF(COUNTIF($F$5:$F$2407,F999)=1,"OK","Дубликат")</f>
        <v/>
      </c>
    </row>
    <row r="1000" ht="38" customHeight="1">
      <c r="A1000" s="146" t="inlineStr">
        <is>
          <t>SUB-L3-12-25</t>
        </is>
      </c>
      <c r="B1000" s="39" t="inlineStr">
        <is>
          <t>3 уровень</t>
        </is>
      </c>
      <c r="C1000" s="34" t="inlineStr">
        <is>
          <t>Закрытые условия на абонементы</t>
        </is>
      </c>
      <c r="D1000" s="34" t="inlineStr">
        <is>
          <t>Скидка 25% на абонемент 12 занятий</t>
        </is>
      </c>
      <c r="E1000" s="34" t="inlineStr">
        <is>
          <t>При покупке абонемента на 12 занятий</t>
        </is>
      </c>
      <c r="F1000" s="147" t="inlineStr">
        <is>
          <t>FW-L3-SFWFJ-34VQE</t>
        </is>
      </c>
      <c r="G1000" s="39" t="inlineStr">
        <is>
          <t>Не использован</t>
        </is>
      </c>
      <c r="H1000" s="148" t="n"/>
      <c r="I1000" s="34" t="str"/>
      <c r="J1000" s="34" t="str"/>
      <c r="K1000" s="130" t="n">
        <v>196</v>
      </c>
      <c r="L1000" s="43">
        <f>IF(COUNTIF($F$5:$F$2407,F1000)=1,"OK","Дубликат")</f>
        <v/>
      </c>
    </row>
    <row r="1001" ht="38" customHeight="1">
      <c r="A1001" s="146" t="inlineStr">
        <is>
          <t>SUB-L3-12-25</t>
        </is>
      </c>
      <c r="B1001" s="39" t="inlineStr">
        <is>
          <t>3 уровень</t>
        </is>
      </c>
      <c r="C1001" s="34" t="inlineStr">
        <is>
          <t>Закрытые условия на абонементы</t>
        </is>
      </c>
      <c r="D1001" s="34" t="inlineStr">
        <is>
          <t>Скидка 25% на абонемент 12 занятий</t>
        </is>
      </c>
      <c r="E1001" s="34" t="inlineStr">
        <is>
          <t>При покупке абонемента на 12 занятий</t>
        </is>
      </c>
      <c r="F1001" s="147" t="inlineStr">
        <is>
          <t>FW-L3-MS8Q9-35GP7</t>
        </is>
      </c>
      <c r="G1001" s="39" t="inlineStr">
        <is>
          <t>Не использован</t>
        </is>
      </c>
      <c r="H1001" s="148" t="n"/>
      <c r="I1001" s="34" t="str"/>
      <c r="J1001" s="34" t="str"/>
      <c r="K1001" s="130" t="n">
        <v>197</v>
      </c>
      <c r="L1001" s="43">
        <f>IF(COUNTIF($F$5:$F$2407,F1001)=1,"OK","Дубликат")</f>
        <v/>
      </c>
    </row>
    <row r="1002" ht="38" customHeight="1">
      <c r="A1002" s="146" t="inlineStr">
        <is>
          <t>SUB-L3-12-25</t>
        </is>
      </c>
      <c r="B1002" s="39" t="inlineStr">
        <is>
          <t>3 уровень</t>
        </is>
      </c>
      <c r="C1002" s="34" t="inlineStr">
        <is>
          <t>Закрытые условия на абонементы</t>
        </is>
      </c>
      <c r="D1002" s="34" t="inlineStr">
        <is>
          <t>Скидка 25% на абонемент 12 занятий</t>
        </is>
      </c>
      <c r="E1002" s="34" t="inlineStr">
        <is>
          <t>При покупке абонемента на 12 занятий</t>
        </is>
      </c>
      <c r="F1002" s="147" t="inlineStr">
        <is>
          <t>FW-L3-VYS2S-9DBAA</t>
        </is>
      </c>
      <c r="G1002" s="39" t="inlineStr">
        <is>
          <t>Не использован</t>
        </is>
      </c>
      <c r="H1002" s="148" t="n"/>
      <c r="I1002" s="34" t="str"/>
      <c r="J1002" s="34" t="str"/>
      <c r="K1002" s="130" t="n">
        <v>198</v>
      </c>
      <c r="L1002" s="43">
        <f>IF(COUNTIF($F$5:$F$2407,F1002)=1,"OK","Дубликат")</f>
        <v/>
      </c>
    </row>
    <row r="1003" ht="38" customHeight="1">
      <c r="A1003" s="146" t="inlineStr">
        <is>
          <t>SUB-L3-12-25</t>
        </is>
      </c>
      <c r="B1003" s="39" t="inlineStr">
        <is>
          <t>3 уровень</t>
        </is>
      </c>
      <c r="C1003" s="34" t="inlineStr">
        <is>
          <t>Закрытые условия на абонементы</t>
        </is>
      </c>
      <c r="D1003" s="34" t="inlineStr">
        <is>
          <t>Скидка 25% на абонемент 12 занятий</t>
        </is>
      </c>
      <c r="E1003" s="34" t="inlineStr">
        <is>
          <t>При покупке абонемента на 12 занятий</t>
        </is>
      </c>
      <c r="F1003" s="147" t="inlineStr">
        <is>
          <t>FW-L3-SMCCD-2XEYF</t>
        </is>
      </c>
      <c r="G1003" s="39" t="inlineStr">
        <is>
          <t>Не использован</t>
        </is>
      </c>
      <c r="H1003" s="148" t="n"/>
      <c r="I1003" s="34" t="str"/>
      <c r="J1003" s="34" t="str"/>
      <c r="K1003" s="130" t="n">
        <v>199</v>
      </c>
      <c r="L1003" s="43">
        <f>IF(COUNTIF($F$5:$F$2407,F1003)=1,"OK","Дубликат")</f>
        <v/>
      </c>
    </row>
    <row r="1004" ht="38" customHeight="1">
      <c r="A1004" s="146" t="inlineStr">
        <is>
          <t>SUB-L3-12-25</t>
        </is>
      </c>
      <c r="B1004" s="39" t="inlineStr">
        <is>
          <t>3 уровень</t>
        </is>
      </c>
      <c r="C1004" s="34" t="inlineStr">
        <is>
          <t>Закрытые условия на абонементы</t>
        </is>
      </c>
      <c r="D1004" s="34" t="inlineStr">
        <is>
          <t>Скидка 25% на абонемент 12 занятий</t>
        </is>
      </c>
      <c r="E1004" s="34" t="inlineStr">
        <is>
          <t>При покупке абонемента на 12 занятий</t>
        </is>
      </c>
      <c r="F1004" s="147" t="inlineStr">
        <is>
          <t>FW-L3-GNA3E-62DD4</t>
        </is>
      </c>
      <c r="G1004" s="39" t="inlineStr">
        <is>
          <t>Не использован</t>
        </is>
      </c>
      <c r="H1004" s="148" t="n"/>
      <c r="I1004" s="34" t="str"/>
      <c r="J1004" s="34" t="str"/>
      <c r="K1004" s="130" t="n">
        <v>200</v>
      </c>
      <c r="L1004" s="43">
        <f>IF(COUNTIF($F$5:$F$2407,F1004)=1,"OK","Дубликат")</f>
        <v/>
      </c>
    </row>
    <row r="1005" ht="38" customHeight="1">
      <c r="A1005" s="146" t="inlineStr">
        <is>
          <t>SUB-L3-12-30</t>
        </is>
      </c>
      <c r="B1005" s="39" t="inlineStr">
        <is>
          <t>3 уровень</t>
        </is>
      </c>
      <c r="C1005" s="34" t="inlineStr">
        <is>
          <t>Закрытые условия на абонементы</t>
        </is>
      </c>
      <c r="D1005" s="34" t="inlineStr">
        <is>
          <t>Скидка 30% на абонемент 12 занятий</t>
        </is>
      </c>
      <c r="E1005" s="34" t="inlineStr">
        <is>
          <t>При покупке абонемента на 12 занятий</t>
        </is>
      </c>
      <c r="F1005" s="147" t="inlineStr">
        <is>
          <t>FW-L3-GW8AX-7QRVJ</t>
        </is>
      </c>
      <c r="G1005" s="39" t="inlineStr">
        <is>
          <t>Не использован</t>
        </is>
      </c>
      <c r="H1005" s="148" t="n"/>
      <c r="I1005" s="34" t="str"/>
      <c r="J1005" s="34" t="str"/>
      <c r="K1005" s="130" t="n">
        <v>1</v>
      </c>
      <c r="L1005" s="43">
        <f>IF(COUNTIF($F$5:$F$2407,F1005)=1,"OK","Дубликат")</f>
        <v/>
      </c>
    </row>
    <row r="1006" ht="38" customHeight="1">
      <c r="A1006" s="146" t="inlineStr">
        <is>
          <t>SUB-L3-12-30</t>
        </is>
      </c>
      <c r="B1006" s="39" t="inlineStr">
        <is>
          <t>3 уровень</t>
        </is>
      </c>
      <c r="C1006" s="34" t="inlineStr">
        <is>
          <t>Закрытые условия на абонементы</t>
        </is>
      </c>
      <c r="D1006" s="34" t="inlineStr">
        <is>
          <t>Скидка 30% на абонемент 12 занятий</t>
        </is>
      </c>
      <c r="E1006" s="34" t="inlineStr">
        <is>
          <t>При покупке абонемента на 12 занятий</t>
        </is>
      </c>
      <c r="F1006" s="147" t="inlineStr">
        <is>
          <t>FW-L3-5NHJN-AAWC4</t>
        </is>
      </c>
      <c r="G1006" s="39" t="inlineStr">
        <is>
          <t>Не использован</t>
        </is>
      </c>
      <c r="H1006" s="148" t="n"/>
      <c r="I1006" s="34" t="str"/>
      <c r="J1006" s="34" t="str"/>
      <c r="K1006" s="130" t="n">
        <v>2</v>
      </c>
      <c r="L1006" s="43">
        <f>IF(COUNTIF($F$5:$F$2407,F1006)=1,"OK","Дубликат")</f>
        <v/>
      </c>
    </row>
    <row r="1007" ht="38" customHeight="1">
      <c r="A1007" s="146" t="inlineStr">
        <is>
          <t>SUB-L3-12-30</t>
        </is>
      </c>
      <c r="B1007" s="39" t="inlineStr">
        <is>
          <t>3 уровень</t>
        </is>
      </c>
      <c r="C1007" s="34" t="inlineStr">
        <is>
          <t>Закрытые условия на абонементы</t>
        </is>
      </c>
      <c r="D1007" s="34" t="inlineStr">
        <is>
          <t>Скидка 30% на абонемент 12 занятий</t>
        </is>
      </c>
      <c r="E1007" s="34" t="inlineStr">
        <is>
          <t>При покупке абонемента на 12 занятий</t>
        </is>
      </c>
      <c r="F1007" s="147" t="inlineStr">
        <is>
          <t>FW-L3-YE3NM-H5BPR</t>
        </is>
      </c>
      <c r="G1007" s="39" t="inlineStr">
        <is>
          <t>Не использован</t>
        </is>
      </c>
      <c r="H1007" s="148" t="n"/>
      <c r="I1007" s="34" t="str"/>
      <c r="J1007" s="34" t="str"/>
      <c r="K1007" s="130" t="n">
        <v>3</v>
      </c>
      <c r="L1007" s="43">
        <f>IF(COUNTIF($F$5:$F$2407,F1007)=1,"OK","Дубликат")</f>
        <v/>
      </c>
    </row>
    <row r="1008" ht="38" customHeight="1">
      <c r="A1008" s="146" t="inlineStr">
        <is>
          <t>SUB-L3-12-30</t>
        </is>
      </c>
      <c r="B1008" s="39" t="inlineStr">
        <is>
          <t>3 уровень</t>
        </is>
      </c>
      <c r="C1008" s="34" t="inlineStr">
        <is>
          <t>Закрытые условия на абонементы</t>
        </is>
      </c>
      <c r="D1008" s="34" t="inlineStr">
        <is>
          <t>Скидка 30% на абонемент 12 занятий</t>
        </is>
      </c>
      <c r="E1008" s="34" t="inlineStr">
        <is>
          <t>При покупке абонемента на 12 занятий</t>
        </is>
      </c>
      <c r="F1008" s="147" t="inlineStr">
        <is>
          <t>FW-L3-24ZSQ-JNRWN</t>
        </is>
      </c>
      <c r="G1008" s="39" t="inlineStr">
        <is>
          <t>Не использован</t>
        </is>
      </c>
      <c r="H1008" s="148" t="n"/>
      <c r="I1008" s="34" t="str"/>
      <c r="J1008" s="34" t="str"/>
      <c r="K1008" s="130" t="n">
        <v>4</v>
      </c>
      <c r="L1008" s="43">
        <f>IF(COUNTIF($F$5:$F$2407,F1008)=1,"OK","Дубликат")</f>
        <v/>
      </c>
    </row>
    <row r="1009" ht="38" customHeight="1">
      <c r="A1009" s="146" t="inlineStr">
        <is>
          <t>SUB-L3-12-30</t>
        </is>
      </c>
      <c r="B1009" s="39" t="inlineStr">
        <is>
          <t>3 уровень</t>
        </is>
      </c>
      <c r="C1009" s="34" t="inlineStr">
        <is>
          <t>Закрытые условия на абонементы</t>
        </is>
      </c>
      <c r="D1009" s="34" t="inlineStr">
        <is>
          <t>Скидка 30% на абонемент 12 занятий</t>
        </is>
      </c>
      <c r="E1009" s="34" t="inlineStr">
        <is>
          <t>При покупке абонемента на 12 занятий</t>
        </is>
      </c>
      <c r="F1009" s="147" t="inlineStr">
        <is>
          <t>FW-L3-TRBQ3-DX8CB</t>
        </is>
      </c>
      <c r="G1009" s="39" t="inlineStr">
        <is>
          <t>Не использован</t>
        </is>
      </c>
      <c r="H1009" s="148" t="n"/>
      <c r="I1009" s="34" t="str"/>
      <c r="J1009" s="34" t="str"/>
      <c r="K1009" s="130" t="n">
        <v>5</v>
      </c>
      <c r="L1009" s="43">
        <f>IF(COUNTIF($F$5:$F$2407,F1009)=1,"OK","Дубликат")</f>
        <v/>
      </c>
    </row>
    <row r="1010" ht="38" customHeight="1">
      <c r="A1010" s="146" t="inlineStr">
        <is>
          <t>SUB-L3-12-30</t>
        </is>
      </c>
      <c r="B1010" s="39" t="inlineStr">
        <is>
          <t>3 уровень</t>
        </is>
      </c>
      <c r="C1010" s="34" t="inlineStr">
        <is>
          <t>Закрытые условия на абонементы</t>
        </is>
      </c>
      <c r="D1010" s="34" t="inlineStr">
        <is>
          <t>Скидка 30% на абонемент 12 занятий</t>
        </is>
      </c>
      <c r="E1010" s="34" t="inlineStr">
        <is>
          <t>При покупке абонемента на 12 занятий</t>
        </is>
      </c>
      <c r="F1010" s="147" t="inlineStr">
        <is>
          <t>FW-L3-ECBF9-HBGB2</t>
        </is>
      </c>
      <c r="G1010" s="39" t="inlineStr">
        <is>
          <t>Не использован</t>
        </is>
      </c>
      <c r="H1010" s="148" t="n"/>
      <c r="I1010" s="34" t="str"/>
      <c r="J1010" s="34" t="str"/>
      <c r="K1010" s="130" t="n">
        <v>6</v>
      </c>
      <c r="L1010" s="43">
        <f>IF(COUNTIF($F$5:$F$2407,F1010)=1,"OK","Дубликат")</f>
        <v/>
      </c>
    </row>
    <row r="1011" ht="38" customHeight="1">
      <c r="A1011" s="146" t="inlineStr">
        <is>
          <t>SUB-L3-12-30</t>
        </is>
      </c>
      <c r="B1011" s="39" t="inlineStr">
        <is>
          <t>3 уровень</t>
        </is>
      </c>
      <c r="C1011" s="34" t="inlineStr">
        <is>
          <t>Закрытые условия на абонементы</t>
        </is>
      </c>
      <c r="D1011" s="34" t="inlineStr">
        <is>
          <t>Скидка 30% на абонемент 12 занятий</t>
        </is>
      </c>
      <c r="E1011" s="34" t="inlineStr">
        <is>
          <t>При покупке абонемента на 12 занятий</t>
        </is>
      </c>
      <c r="F1011" s="147" t="inlineStr">
        <is>
          <t>FW-L3-U2RE3-XC5NP</t>
        </is>
      </c>
      <c r="G1011" s="39" t="inlineStr">
        <is>
          <t>Не использован</t>
        </is>
      </c>
      <c r="H1011" s="148" t="n"/>
      <c r="I1011" s="34" t="str"/>
      <c r="J1011" s="34" t="str"/>
      <c r="K1011" s="130" t="n">
        <v>7</v>
      </c>
      <c r="L1011" s="43">
        <f>IF(COUNTIF($F$5:$F$2407,F1011)=1,"OK","Дубликат")</f>
        <v/>
      </c>
    </row>
    <row r="1012" ht="38" customHeight="1">
      <c r="A1012" s="146" t="inlineStr">
        <is>
          <t>SUB-L3-12-30</t>
        </is>
      </c>
      <c r="B1012" s="39" t="inlineStr">
        <is>
          <t>3 уровень</t>
        </is>
      </c>
      <c r="C1012" s="34" t="inlineStr">
        <is>
          <t>Закрытые условия на абонементы</t>
        </is>
      </c>
      <c r="D1012" s="34" t="inlineStr">
        <is>
          <t>Скидка 30% на абонемент 12 занятий</t>
        </is>
      </c>
      <c r="E1012" s="34" t="inlineStr">
        <is>
          <t>При покупке абонемента на 12 занятий</t>
        </is>
      </c>
      <c r="F1012" s="147" t="inlineStr">
        <is>
          <t>FW-L3-URMZP-XAESK</t>
        </is>
      </c>
      <c r="G1012" s="39" t="inlineStr">
        <is>
          <t>Не использован</t>
        </is>
      </c>
      <c r="H1012" s="148" t="n"/>
      <c r="I1012" s="34" t="str"/>
      <c r="J1012" s="34" t="str"/>
      <c r="K1012" s="130" t="n">
        <v>8</v>
      </c>
      <c r="L1012" s="43">
        <f>IF(COUNTIF($F$5:$F$2407,F1012)=1,"OK","Дубликат")</f>
        <v/>
      </c>
    </row>
    <row r="1013" ht="38" customHeight="1">
      <c r="A1013" s="146" t="inlineStr">
        <is>
          <t>SUB-L3-12-30</t>
        </is>
      </c>
      <c r="B1013" s="39" t="inlineStr">
        <is>
          <t>3 уровень</t>
        </is>
      </c>
      <c r="C1013" s="34" t="inlineStr">
        <is>
          <t>Закрытые условия на абонементы</t>
        </is>
      </c>
      <c r="D1013" s="34" t="inlineStr">
        <is>
          <t>Скидка 30% на абонемент 12 занятий</t>
        </is>
      </c>
      <c r="E1013" s="34" t="inlineStr">
        <is>
          <t>При покупке абонемента на 12 занятий</t>
        </is>
      </c>
      <c r="F1013" s="147" t="inlineStr">
        <is>
          <t>FW-L3-PE74V-JYKQU</t>
        </is>
      </c>
      <c r="G1013" s="39" t="inlineStr">
        <is>
          <t>Не использован</t>
        </is>
      </c>
      <c r="H1013" s="148" t="n"/>
      <c r="I1013" s="34" t="str"/>
      <c r="J1013" s="34" t="str"/>
      <c r="K1013" s="130" t="n">
        <v>9</v>
      </c>
      <c r="L1013" s="43">
        <f>IF(COUNTIF($F$5:$F$2407,F1013)=1,"OK","Дубликат")</f>
        <v/>
      </c>
    </row>
    <row r="1014" ht="38" customHeight="1">
      <c r="A1014" s="146" t="inlineStr">
        <is>
          <t>SUB-L3-12-30</t>
        </is>
      </c>
      <c r="B1014" s="39" t="inlineStr">
        <is>
          <t>3 уровень</t>
        </is>
      </c>
      <c r="C1014" s="34" t="inlineStr">
        <is>
          <t>Закрытые условия на абонементы</t>
        </is>
      </c>
      <c r="D1014" s="34" t="inlineStr">
        <is>
          <t>Скидка 30% на абонемент 12 занятий</t>
        </is>
      </c>
      <c r="E1014" s="34" t="inlineStr">
        <is>
          <t>При покупке абонемента на 12 занятий</t>
        </is>
      </c>
      <c r="F1014" s="147" t="inlineStr">
        <is>
          <t>FW-L3-M8VXL-TYZ55</t>
        </is>
      </c>
      <c r="G1014" s="39" t="inlineStr">
        <is>
          <t>Не использован</t>
        </is>
      </c>
      <c r="H1014" s="148" t="n"/>
      <c r="I1014" s="34" t="str"/>
      <c r="J1014" s="34" t="str"/>
      <c r="K1014" s="130" t="n">
        <v>10</v>
      </c>
      <c r="L1014" s="43">
        <f>IF(COUNTIF($F$5:$F$2407,F1014)=1,"OK","Дубликат")</f>
        <v/>
      </c>
    </row>
    <row r="1015" ht="38" customHeight="1">
      <c r="A1015" s="146" t="inlineStr">
        <is>
          <t>SUB-L3-12-30</t>
        </is>
      </c>
      <c r="B1015" s="39" t="inlineStr">
        <is>
          <t>3 уровень</t>
        </is>
      </c>
      <c r="C1015" s="34" t="inlineStr">
        <is>
          <t>Закрытые условия на абонементы</t>
        </is>
      </c>
      <c r="D1015" s="34" t="inlineStr">
        <is>
          <t>Скидка 30% на абонемент 12 занятий</t>
        </is>
      </c>
      <c r="E1015" s="34" t="inlineStr">
        <is>
          <t>При покупке абонемента на 12 занятий</t>
        </is>
      </c>
      <c r="F1015" s="147" t="inlineStr">
        <is>
          <t>FW-L3-5E68M-YZLUR</t>
        </is>
      </c>
      <c r="G1015" s="39" t="inlineStr">
        <is>
          <t>Не использован</t>
        </is>
      </c>
      <c r="H1015" s="148" t="n"/>
      <c r="I1015" s="34" t="str"/>
      <c r="J1015" s="34" t="str"/>
      <c r="K1015" s="130" t="n">
        <v>11</v>
      </c>
      <c r="L1015" s="43">
        <f>IF(COUNTIF($F$5:$F$2407,F1015)=1,"OK","Дубликат")</f>
        <v/>
      </c>
    </row>
    <row r="1016" ht="38" customHeight="1">
      <c r="A1016" s="146" t="inlineStr">
        <is>
          <t>SUB-L3-12-30</t>
        </is>
      </c>
      <c r="B1016" s="39" t="inlineStr">
        <is>
          <t>3 уровень</t>
        </is>
      </c>
      <c r="C1016" s="34" t="inlineStr">
        <is>
          <t>Закрытые условия на абонементы</t>
        </is>
      </c>
      <c r="D1016" s="34" t="inlineStr">
        <is>
          <t>Скидка 30% на абонемент 12 занятий</t>
        </is>
      </c>
      <c r="E1016" s="34" t="inlineStr">
        <is>
          <t>При покупке абонемента на 12 занятий</t>
        </is>
      </c>
      <c r="F1016" s="147" t="inlineStr">
        <is>
          <t>FW-L3-KCJB3-K9X5Q</t>
        </is>
      </c>
      <c r="G1016" s="39" t="inlineStr">
        <is>
          <t>Не использован</t>
        </is>
      </c>
      <c r="H1016" s="148" t="n"/>
      <c r="I1016" s="34" t="str"/>
      <c r="J1016" s="34" t="str"/>
      <c r="K1016" s="130" t="n">
        <v>12</v>
      </c>
      <c r="L1016" s="43">
        <f>IF(COUNTIF($F$5:$F$2407,F1016)=1,"OK","Дубликат")</f>
        <v/>
      </c>
    </row>
    <row r="1017" ht="38" customHeight="1">
      <c r="A1017" s="146" t="inlineStr">
        <is>
          <t>SUB-L3-12-30</t>
        </is>
      </c>
      <c r="B1017" s="39" t="inlineStr">
        <is>
          <t>3 уровень</t>
        </is>
      </c>
      <c r="C1017" s="34" t="inlineStr">
        <is>
          <t>Закрытые условия на абонементы</t>
        </is>
      </c>
      <c r="D1017" s="34" t="inlineStr">
        <is>
          <t>Скидка 30% на абонемент 12 занятий</t>
        </is>
      </c>
      <c r="E1017" s="34" t="inlineStr">
        <is>
          <t>При покупке абонемента на 12 занятий</t>
        </is>
      </c>
      <c r="F1017" s="147" t="inlineStr">
        <is>
          <t>FW-L3-JDJWQ-Z73FW</t>
        </is>
      </c>
      <c r="G1017" s="39" t="inlineStr">
        <is>
          <t>Не использован</t>
        </is>
      </c>
      <c r="H1017" s="148" t="n"/>
      <c r="I1017" s="34" t="str"/>
      <c r="J1017" s="34" t="str"/>
      <c r="K1017" s="130" t="n">
        <v>13</v>
      </c>
      <c r="L1017" s="43">
        <f>IF(COUNTIF($F$5:$F$2407,F1017)=1,"OK","Дубликат")</f>
        <v/>
      </c>
    </row>
    <row r="1018" ht="38" customHeight="1">
      <c r="A1018" s="146" t="inlineStr">
        <is>
          <t>SUB-L3-12-30</t>
        </is>
      </c>
      <c r="B1018" s="39" t="inlineStr">
        <is>
          <t>3 уровень</t>
        </is>
      </c>
      <c r="C1018" s="34" t="inlineStr">
        <is>
          <t>Закрытые условия на абонементы</t>
        </is>
      </c>
      <c r="D1018" s="34" t="inlineStr">
        <is>
          <t>Скидка 30% на абонемент 12 занятий</t>
        </is>
      </c>
      <c r="E1018" s="34" t="inlineStr">
        <is>
          <t>При покупке абонемента на 12 занятий</t>
        </is>
      </c>
      <c r="F1018" s="147" t="inlineStr">
        <is>
          <t>FW-L3-7CDD2-5JWXK</t>
        </is>
      </c>
      <c r="G1018" s="39" t="inlineStr">
        <is>
          <t>Не использован</t>
        </is>
      </c>
      <c r="H1018" s="148" t="n"/>
      <c r="I1018" s="34" t="str"/>
      <c r="J1018" s="34" t="str"/>
      <c r="K1018" s="130" t="n">
        <v>14</v>
      </c>
      <c r="L1018" s="43">
        <f>IF(COUNTIF($F$5:$F$2407,F1018)=1,"OK","Дубликат")</f>
        <v/>
      </c>
    </row>
    <row r="1019" ht="38" customHeight="1">
      <c r="A1019" s="146" t="inlineStr">
        <is>
          <t>SUB-L3-12-30</t>
        </is>
      </c>
      <c r="B1019" s="39" t="inlineStr">
        <is>
          <t>3 уровень</t>
        </is>
      </c>
      <c r="C1019" s="34" t="inlineStr">
        <is>
          <t>Закрытые условия на абонементы</t>
        </is>
      </c>
      <c r="D1019" s="34" t="inlineStr">
        <is>
          <t>Скидка 30% на абонемент 12 занятий</t>
        </is>
      </c>
      <c r="E1019" s="34" t="inlineStr">
        <is>
          <t>При покупке абонемента на 12 занятий</t>
        </is>
      </c>
      <c r="F1019" s="147" t="inlineStr">
        <is>
          <t>FW-L3-MY52T-BMYVS</t>
        </is>
      </c>
      <c r="G1019" s="39" t="inlineStr">
        <is>
          <t>Не использован</t>
        </is>
      </c>
      <c r="H1019" s="148" t="n"/>
      <c r="I1019" s="34" t="str"/>
      <c r="J1019" s="34" t="str"/>
      <c r="K1019" s="130" t="n">
        <v>15</v>
      </c>
      <c r="L1019" s="43">
        <f>IF(COUNTIF($F$5:$F$2407,F1019)=1,"OK","Дубликат")</f>
        <v/>
      </c>
    </row>
    <row r="1020" ht="38" customHeight="1">
      <c r="A1020" s="146" t="inlineStr">
        <is>
          <t>SUB-L3-12-30</t>
        </is>
      </c>
      <c r="B1020" s="39" t="inlineStr">
        <is>
          <t>3 уровень</t>
        </is>
      </c>
      <c r="C1020" s="34" t="inlineStr">
        <is>
          <t>Закрытые условия на абонементы</t>
        </is>
      </c>
      <c r="D1020" s="34" t="inlineStr">
        <is>
          <t>Скидка 30% на абонемент 12 занятий</t>
        </is>
      </c>
      <c r="E1020" s="34" t="inlineStr">
        <is>
          <t>При покупке абонемента на 12 занятий</t>
        </is>
      </c>
      <c r="F1020" s="147" t="inlineStr">
        <is>
          <t>FW-L3-628XX-CNNQB</t>
        </is>
      </c>
      <c r="G1020" s="39" t="inlineStr">
        <is>
          <t>Не использован</t>
        </is>
      </c>
      <c r="H1020" s="148" t="n"/>
      <c r="I1020" s="34" t="str"/>
      <c r="J1020" s="34" t="str"/>
      <c r="K1020" s="130" t="n">
        <v>16</v>
      </c>
      <c r="L1020" s="43">
        <f>IF(COUNTIF($F$5:$F$2407,F1020)=1,"OK","Дубликат")</f>
        <v/>
      </c>
    </row>
    <row r="1021" ht="38" customHeight="1">
      <c r="A1021" s="146" t="inlineStr">
        <is>
          <t>SUB-L3-12-30</t>
        </is>
      </c>
      <c r="B1021" s="39" t="inlineStr">
        <is>
          <t>3 уровень</t>
        </is>
      </c>
      <c r="C1021" s="34" t="inlineStr">
        <is>
          <t>Закрытые условия на абонементы</t>
        </is>
      </c>
      <c r="D1021" s="34" t="inlineStr">
        <is>
          <t>Скидка 30% на абонемент 12 занятий</t>
        </is>
      </c>
      <c r="E1021" s="34" t="inlineStr">
        <is>
          <t>При покупке абонемента на 12 занятий</t>
        </is>
      </c>
      <c r="F1021" s="147" t="inlineStr">
        <is>
          <t>FW-L3-ZRV4V-QCQN6</t>
        </is>
      </c>
      <c r="G1021" s="39" t="inlineStr">
        <is>
          <t>Не использован</t>
        </is>
      </c>
      <c r="H1021" s="148" t="n"/>
      <c r="I1021" s="34" t="str"/>
      <c r="J1021" s="34" t="str"/>
      <c r="K1021" s="130" t="n">
        <v>17</v>
      </c>
      <c r="L1021" s="43">
        <f>IF(COUNTIF($F$5:$F$2407,F1021)=1,"OK","Дубликат")</f>
        <v/>
      </c>
    </row>
    <row r="1022" ht="38" customHeight="1">
      <c r="A1022" s="146" t="inlineStr">
        <is>
          <t>SUB-L3-12-30</t>
        </is>
      </c>
      <c r="B1022" s="39" t="inlineStr">
        <is>
          <t>3 уровень</t>
        </is>
      </c>
      <c r="C1022" s="34" t="inlineStr">
        <is>
          <t>Закрытые условия на абонементы</t>
        </is>
      </c>
      <c r="D1022" s="34" t="inlineStr">
        <is>
          <t>Скидка 30% на абонемент 12 занятий</t>
        </is>
      </c>
      <c r="E1022" s="34" t="inlineStr">
        <is>
          <t>При покупке абонемента на 12 занятий</t>
        </is>
      </c>
      <c r="F1022" s="147" t="inlineStr">
        <is>
          <t>FW-L3-5ZQAS-FAFPV</t>
        </is>
      </c>
      <c r="G1022" s="39" t="inlineStr">
        <is>
          <t>Не использован</t>
        </is>
      </c>
      <c r="H1022" s="148" t="n"/>
      <c r="I1022" s="34" t="str"/>
      <c r="J1022" s="34" t="str"/>
      <c r="K1022" s="130" t="n">
        <v>18</v>
      </c>
      <c r="L1022" s="43">
        <f>IF(COUNTIF($F$5:$F$2407,F1022)=1,"OK","Дубликат")</f>
        <v/>
      </c>
    </row>
    <row r="1023" ht="38" customHeight="1">
      <c r="A1023" s="146" t="inlineStr">
        <is>
          <t>SUB-L3-12-30</t>
        </is>
      </c>
      <c r="B1023" s="39" t="inlineStr">
        <is>
          <t>3 уровень</t>
        </is>
      </c>
      <c r="C1023" s="34" t="inlineStr">
        <is>
          <t>Закрытые условия на абонементы</t>
        </is>
      </c>
      <c r="D1023" s="34" t="inlineStr">
        <is>
          <t>Скидка 30% на абонемент 12 занятий</t>
        </is>
      </c>
      <c r="E1023" s="34" t="inlineStr">
        <is>
          <t>При покупке абонемента на 12 занятий</t>
        </is>
      </c>
      <c r="F1023" s="147" t="inlineStr">
        <is>
          <t>FW-L3-3V4KD-NQ4ZT</t>
        </is>
      </c>
      <c r="G1023" s="39" t="inlineStr">
        <is>
          <t>Не использован</t>
        </is>
      </c>
      <c r="H1023" s="148" t="n"/>
      <c r="I1023" s="34" t="str"/>
      <c r="J1023" s="34" t="str"/>
      <c r="K1023" s="130" t="n">
        <v>19</v>
      </c>
      <c r="L1023" s="43">
        <f>IF(COUNTIF($F$5:$F$2407,F1023)=1,"OK","Дубликат")</f>
        <v/>
      </c>
    </row>
    <row r="1024" ht="38" customHeight="1">
      <c r="A1024" s="146" t="inlineStr">
        <is>
          <t>SUB-L3-12-30</t>
        </is>
      </c>
      <c r="B1024" s="39" t="inlineStr">
        <is>
          <t>3 уровень</t>
        </is>
      </c>
      <c r="C1024" s="34" t="inlineStr">
        <is>
          <t>Закрытые условия на абонементы</t>
        </is>
      </c>
      <c r="D1024" s="34" t="inlineStr">
        <is>
          <t>Скидка 30% на абонемент 12 занятий</t>
        </is>
      </c>
      <c r="E1024" s="34" t="inlineStr">
        <is>
          <t>При покупке абонемента на 12 занятий</t>
        </is>
      </c>
      <c r="F1024" s="147" t="inlineStr">
        <is>
          <t>FW-L3-AKUBD-J37CX</t>
        </is>
      </c>
      <c r="G1024" s="39" t="inlineStr">
        <is>
          <t>Не использован</t>
        </is>
      </c>
      <c r="H1024" s="148" t="n"/>
      <c r="I1024" s="34" t="str"/>
      <c r="J1024" s="34" t="str"/>
      <c r="K1024" s="130" t="n">
        <v>20</v>
      </c>
      <c r="L1024" s="43">
        <f>IF(COUNTIF($F$5:$F$2407,F1024)=1,"OK","Дубликат")</f>
        <v/>
      </c>
    </row>
    <row r="1025" ht="38" customHeight="1">
      <c r="A1025" s="146" t="inlineStr">
        <is>
          <t>SUB-L3-12-30</t>
        </is>
      </c>
      <c r="B1025" s="39" t="inlineStr">
        <is>
          <t>3 уровень</t>
        </is>
      </c>
      <c r="C1025" s="34" t="inlineStr">
        <is>
          <t>Закрытые условия на абонементы</t>
        </is>
      </c>
      <c r="D1025" s="34" t="inlineStr">
        <is>
          <t>Скидка 30% на абонемент 12 занятий</t>
        </is>
      </c>
      <c r="E1025" s="34" t="inlineStr">
        <is>
          <t>При покупке абонемента на 12 занятий</t>
        </is>
      </c>
      <c r="F1025" s="147" t="inlineStr">
        <is>
          <t>FW-L3-WG9B5-BSAWA</t>
        </is>
      </c>
      <c r="G1025" s="39" t="inlineStr">
        <is>
          <t>Не использован</t>
        </is>
      </c>
      <c r="H1025" s="148" t="n"/>
      <c r="I1025" s="34" t="str"/>
      <c r="J1025" s="34" t="str"/>
      <c r="K1025" s="130" t="n">
        <v>21</v>
      </c>
      <c r="L1025" s="43">
        <f>IF(COUNTIF($F$5:$F$2407,F1025)=1,"OK","Дубликат")</f>
        <v/>
      </c>
    </row>
    <row r="1026" ht="38" customHeight="1">
      <c r="A1026" s="146" t="inlineStr">
        <is>
          <t>SUB-L3-12-30</t>
        </is>
      </c>
      <c r="B1026" s="39" t="inlineStr">
        <is>
          <t>3 уровень</t>
        </is>
      </c>
      <c r="C1026" s="34" t="inlineStr">
        <is>
          <t>Закрытые условия на абонементы</t>
        </is>
      </c>
      <c r="D1026" s="34" t="inlineStr">
        <is>
          <t>Скидка 30% на абонемент 12 занятий</t>
        </is>
      </c>
      <c r="E1026" s="34" t="inlineStr">
        <is>
          <t>При покупке абонемента на 12 занятий</t>
        </is>
      </c>
      <c r="F1026" s="147" t="inlineStr">
        <is>
          <t>FW-L3-XWBYD-7JKPW</t>
        </is>
      </c>
      <c r="G1026" s="39" t="inlineStr">
        <is>
          <t>Не использован</t>
        </is>
      </c>
      <c r="H1026" s="148" t="n"/>
      <c r="I1026" s="34" t="str"/>
      <c r="J1026" s="34" t="str"/>
      <c r="K1026" s="130" t="n">
        <v>22</v>
      </c>
      <c r="L1026" s="43">
        <f>IF(COUNTIF($F$5:$F$2407,F1026)=1,"OK","Дубликат")</f>
        <v/>
      </c>
    </row>
    <row r="1027" ht="38" customHeight="1">
      <c r="A1027" s="146" t="inlineStr">
        <is>
          <t>SUB-L3-12-30</t>
        </is>
      </c>
      <c r="B1027" s="39" t="inlineStr">
        <is>
          <t>3 уровень</t>
        </is>
      </c>
      <c r="C1027" s="34" t="inlineStr">
        <is>
          <t>Закрытые условия на абонементы</t>
        </is>
      </c>
      <c r="D1027" s="34" t="inlineStr">
        <is>
          <t>Скидка 30% на абонемент 12 занятий</t>
        </is>
      </c>
      <c r="E1027" s="34" t="inlineStr">
        <is>
          <t>При покупке абонемента на 12 занятий</t>
        </is>
      </c>
      <c r="F1027" s="147" t="inlineStr">
        <is>
          <t>FW-L3-B6NM2-CVBP2</t>
        </is>
      </c>
      <c r="G1027" s="39" t="inlineStr">
        <is>
          <t>Не использован</t>
        </is>
      </c>
      <c r="H1027" s="148" t="n"/>
      <c r="I1027" s="34" t="str"/>
      <c r="J1027" s="34" t="str"/>
      <c r="K1027" s="130" t="n">
        <v>23</v>
      </c>
      <c r="L1027" s="43">
        <f>IF(COUNTIF($F$5:$F$2407,F1027)=1,"OK","Дубликат")</f>
        <v/>
      </c>
    </row>
    <row r="1028" ht="38" customHeight="1">
      <c r="A1028" s="146" t="inlineStr">
        <is>
          <t>SUB-L3-12-30</t>
        </is>
      </c>
      <c r="B1028" s="39" t="inlineStr">
        <is>
          <t>3 уровень</t>
        </is>
      </c>
      <c r="C1028" s="34" t="inlineStr">
        <is>
          <t>Закрытые условия на абонементы</t>
        </is>
      </c>
      <c r="D1028" s="34" t="inlineStr">
        <is>
          <t>Скидка 30% на абонемент 12 занятий</t>
        </is>
      </c>
      <c r="E1028" s="34" t="inlineStr">
        <is>
          <t>При покупке абонемента на 12 занятий</t>
        </is>
      </c>
      <c r="F1028" s="147" t="inlineStr">
        <is>
          <t>FW-L3-J2PZW-SRXFF</t>
        </is>
      </c>
      <c r="G1028" s="39" t="inlineStr">
        <is>
          <t>Не использован</t>
        </is>
      </c>
      <c r="H1028" s="148" t="n"/>
      <c r="I1028" s="34" t="str"/>
      <c r="J1028" s="34" t="str"/>
      <c r="K1028" s="130" t="n">
        <v>24</v>
      </c>
      <c r="L1028" s="43">
        <f>IF(COUNTIF($F$5:$F$2407,F1028)=1,"OK","Дубликат")</f>
        <v/>
      </c>
    </row>
    <row r="1029" ht="38" customHeight="1">
      <c r="A1029" s="146" t="inlineStr">
        <is>
          <t>SUB-L3-12-30</t>
        </is>
      </c>
      <c r="B1029" s="39" t="inlineStr">
        <is>
          <t>3 уровень</t>
        </is>
      </c>
      <c r="C1029" s="34" t="inlineStr">
        <is>
          <t>Закрытые условия на абонементы</t>
        </is>
      </c>
      <c r="D1029" s="34" t="inlineStr">
        <is>
          <t>Скидка 30% на абонемент 12 занятий</t>
        </is>
      </c>
      <c r="E1029" s="34" t="inlineStr">
        <is>
          <t>При покупке абонемента на 12 занятий</t>
        </is>
      </c>
      <c r="F1029" s="147" t="inlineStr">
        <is>
          <t>FW-L3-AFLH8-MA78E</t>
        </is>
      </c>
      <c r="G1029" s="39" t="inlineStr">
        <is>
          <t>Не использован</t>
        </is>
      </c>
      <c r="H1029" s="148" t="n"/>
      <c r="I1029" s="34" t="str"/>
      <c r="J1029" s="34" t="str"/>
      <c r="K1029" s="130" t="n">
        <v>25</v>
      </c>
      <c r="L1029" s="43">
        <f>IF(COUNTIF($F$5:$F$2407,F1029)=1,"OK","Дубликат")</f>
        <v/>
      </c>
    </row>
    <row r="1030" ht="38" customHeight="1">
      <c r="A1030" s="146" t="inlineStr">
        <is>
          <t>SUB-L3-12-30</t>
        </is>
      </c>
      <c r="B1030" s="39" t="inlineStr">
        <is>
          <t>3 уровень</t>
        </is>
      </c>
      <c r="C1030" s="34" t="inlineStr">
        <is>
          <t>Закрытые условия на абонементы</t>
        </is>
      </c>
      <c r="D1030" s="34" t="inlineStr">
        <is>
          <t>Скидка 30% на абонемент 12 занятий</t>
        </is>
      </c>
      <c r="E1030" s="34" t="inlineStr">
        <is>
          <t>При покупке абонемента на 12 занятий</t>
        </is>
      </c>
      <c r="F1030" s="147" t="inlineStr">
        <is>
          <t>FW-L3-66HR2-GHCSU</t>
        </is>
      </c>
      <c r="G1030" s="39" t="inlineStr">
        <is>
          <t>Не использован</t>
        </is>
      </c>
      <c r="H1030" s="148" t="n"/>
      <c r="I1030" s="34" t="str"/>
      <c r="J1030" s="34" t="str"/>
      <c r="K1030" s="130" t="n">
        <v>26</v>
      </c>
      <c r="L1030" s="43">
        <f>IF(COUNTIF($F$5:$F$2407,F1030)=1,"OK","Дубликат")</f>
        <v/>
      </c>
    </row>
    <row r="1031" ht="38" customHeight="1">
      <c r="A1031" s="146" t="inlineStr">
        <is>
          <t>SUB-L3-12-30</t>
        </is>
      </c>
      <c r="B1031" s="39" t="inlineStr">
        <is>
          <t>3 уровень</t>
        </is>
      </c>
      <c r="C1031" s="34" t="inlineStr">
        <is>
          <t>Закрытые условия на абонементы</t>
        </is>
      </c>
      <c r="D1031" s="34" t="inlineStr">
        <is>
          <t>Скидка 30% на абонемент 12 занятий</t>
        </is>
      </c>
      <c r="E1031" s="34" t="inlineStr">
        <is>
          <t>При покупке абонемента на 12 занятий</t>
        </is>
      </c>
      <c r="F1031" s="147" t="inlineStr">
        <is>
          <t>FW-L3-J92G4-Z7Q7Q</t>
        </is>
      </c>
      <c r="G1031" s="39" t="inlineStr">
        <is>
          <t>Не использован</t>
        </is>
      </c>
      <c r="H1031" s="148" t="n"/>
      <c r="I1031" s="34" t="str"/>
      <c r="J1031" s="34" t="str"/>
      <c r="K1031" s="130" t="n">
        <v>27</v>
      </c>
      <c r="L1031" s="43">
        <f>IF(COUNTIF($F$5:$F$2407,F1031)=1,"OK","Дубликат")</f>
        <v/>
      </c>
    </row>
    <row r="1032" ht="38" customHeight="1">
      <c r="A1032" s="146" t="inlineStr">
        <is>
          <t>SUB-L3-12-30</t>
        </is>
      </c>
      <c r="B1032" s="39" t="inlineStr">
        <is>
          <t>3 уровень</t>
        </is>
      </c>
      <c r="C1032" s="34" t="inlineStr">
        <is>
          <t>Закрытые условия на абонементы</t>
        </is>
      </c>
      <c r="D1032" s="34" t="inlineStr">
        <is>
          <t>Скидка 30% на абонемент 12 занятий</t>
        </is>
      </c>
      <c r="E1032" s="34" t="inlineStr">
        <is>
          <t>При покупке абонемента на 12 занятий</t>
        </is>
      </c>
      <c r="F1032" s="147" t="inlineStr">
        <is>
          <t>FW-L3-M4Y8V-9V5SR</t>
        </is>
      </c>
      <c r="G1032" s="39" t="inlineStr">
        <is>
          <t>Не использован</t>
        </is>
      </c>
      <c r="H1032" s="148" t="n"/>
      <c r="I1032" s="34" t="str"/>
      <c r="J1032" s="34" t="str"/>
      <c r="K1032" s="130" t="n">
        <v>28</v>
      </c>
      <c r="L1032" s="43">
        <f>IF(COUNTIF($F$5:$F$2407,F1032)=1,"OK","Дубликат")</f>
        <v/>
      </c>
    </row>
    <row r="1033" ht="38" customHeight="1">
      <c r="A1033" s="146" t="inlineStr">
        <is>
          <t>SUB-L3-12-30</t>
        </is>
      </c>
      <c r="B1033" s="39" t="inlineStr">
        <is>
          <t>3 уровень</t>
        </is>
      </c>
      <c r="C1033" s="34" t="inlineStr">
        <is>
          <t>Закрытые условия на абонементы</t>
        </is>
      </c>
      <c r="D1033" s="34" t="inlineStr">
        <is>
          <t>Скидка 30% на абонемент 12 занятий</t>
        </is>
      </c>
      <c r="E1033" s="34" t="inlineStr">
        <is>
          <t>При покупке абонемента на 12 занятий</t>
        </is>
      </c>
      <c r="F1033" s="147" t="inlineStr">
        <is>
          <t>FW-L3-JRAKX-UDV83</t>
        </is>
      </c>
      <c r="G1033" s="39" t="inlineStr">
        <is>
          <t>Не использован</t>
        </is>
      </c>
      <c r="H1033" s="148" t="n"/>
      <c r="I1033" s="34" t="str"/>
      <c r="J1033" s="34" t="str"/>
      <c r="K1033" s="130" t="n">
        <v>29</v>
      </c>
      <c r="L1033" s="43">
        <f>IF(COUNTIF($F$5:$F$2407,F1033)=1,"OK","Дубликат")</f>
        <v/>
      </c>
    </row>
    <row r="1034" ht="38" customHeight="1">
      <c r="A1034" s="146" t="inlineStr">
        <is>
          <t>SUB-L3-12-30</t>
        </is>
      </c>
      <c r="B1034" s="39" t="inlineStr">
        <is>
          <t>3 уровень</t>
        </is>
      </c>
      <c r="C1034" s="34" t="inlineStr">
        <is>
          <t>Закрытые условия на абонементы</t>
        </is>
      </c>
      <c r="D1034" s="34" t="inlineStr">
        <is>
          <t>Скидка 30% на абонемент 12 занятий</t>
        </is>
      </c>
      <c r="E1034" s="34" t="inlineStr">
        <is>
          <t>При покупке абонемента на 12 занятий</t>
        </is>
      </c>
      <c r="F1034" s="147" t="inlineStr">
        <is>
          <t>FW-L3-DDZA6-BK8RB</t>
        </is>
      </c>
      <c r="G1034" s="39" t="inlineStr">
        <is>
          <t>Не использован</t>
        </is>
      </c>
      <c r="H1034" s="148" t="n"/>
      <c r="I1034" s="34" t="str"/>
      <c r="J1034" s="34" t="str"/>
      <c r="K1034" s="130" t="n">
        <v>30</v>
      </c>
      <c r="L1034" s="43">
        <f>IF(COUNTIF($F$5:$F$2407,F1034)=1,"OK","Дубликат")</f>
        <v/>
      </c>
    </row>
    <row r="1035" ht="38" customHeight="1">
      <c r="A1035" s="146" t="inlineStr">
        <is>
          <t>SUB-L3-12-30</t>
        </is>
      </c>
      <c r="B1035" s="39" t="inlineStr">
        <is>
          <t>3 уровень</t>
        </is>
      </c>
      <c r="C1035" s="34" t="inlineStr">
        <is>
          <t>Закрытые условия на абонементы</t>
        </is>
      </c>
      <c r="D1035" s="34" t="inlineStr">
        <is>
          <t>Скидка 30% на абонемент 12 занятий</t>
        </is>
      </c>
      <c r="E1035" s="34" t="inlineStr">
        <is>
          <t>При покупке абонемента на 12 занятий</t>
        </is>
      </c>
      <c r="F1035" s="147" t="inlineStr">
        <is>
          <t>FW-L3-6E8GA-2E38J</t>
        </is>
      </c>
      <c r="G1035" s="39" t="inlineStr">
        <is>
          <t>Не использован</t>
        </is>
      </c>
      <c r="H1035" s="148" t="n"/>
      <c r="I1035" s="34" t="str"/>
      <c r="J1035" s="34" t="str"/>
      <c r="K1035" s="130" t="n">
        <v>31</v>
      </c>
      <c r="L1035" s="43">
        <f>IF(COUNTIF($F$5:$F$2407,F1035)=1,"OK","Дубликат")</f>
        <v/>
      </c>
    </row>
    <row r="1036" ht="38" customHeight="1">
      <c r="A1036" s="146" t="inlineStr">
        <is>
          <t>SUB-L3-12-30</t>
        </is>
      </c>
      <c r="B1036" s="39" t="inlineStr">
        <is>
          <t>3 уровень</t>
        </is>
      </c>
      <c r="C1036" s="34" t="inlineStr">
        <is>
          <t>Закрытые условия на абонементы</t>
        </is>
      </c>
      <c r="D1036" s="34" t="inlineStr">
        <is>
          <t>Скидка 30% на абонемент 12 занятий</t>
        </is>
      </c>
      <c r="E1036" s="34" t="inlineStr">
        <is>
          <t>При покупке абонемента на 12 занятий</t>
        </is>
      </c>
      <c r="F1036" s="147" t="inlineStr">
        <is>
          <t>FW-L3-FRUDV-42HE6</t>
        </is>
      </c>
      <c r="G1036" s="39" t="inlineStr">
        <is>
          <t>Не использован</t>
        </is>
      </c>
      <c r="H1036" s="148" t="n"/>
      <c r="I1036" s="34" t="str"/>
      <c r="J1036" s="34" t="str"/>
      <c r="K1036" s="130" t="n">
        <v>32</v>
      </c>
      <c r="L1036" s="43">
        <f>IF(COUNTIF($F$5:$F$2407,F1036)=1,"OK","Дубликат")</f>
        <v/>
      </c>
    </row>
    <row r="1037" ht="38" customHeight="1">
      <c r="A1037" s="146" t="inlineStr">
        <is>
          <t>SUB-L3-12-30</t>
        </is>
      </c>
      <c r="B1037" s="39" t="inlineStr">
        <is>
          <t>3 уровень</t>
        </is>
      </c>
      <c r="C1037" s="34" t="inlineStr">
        <is>
          <t>Закрытые условия на абонементы</t>
        </is>
      </c>
      <c r="D1037" s="34" t="inlineStr">
        <is>
          <t>Скидка 30% на абонемент 12 занятий</t>
        </is>
      </c>
      <c r="E1037" s="34" t="inlineStr">
        <is>
          <t>При покупке абонемента на 12 занятий</t>
        </is>
      </c>
      <c r="F1037" s="147" t="inlineStr">
        <is>
          <t>FW-L3-HBR47-SX8T7</t>
        </is>
      </c>
      <c r="G1037" s="39" t="inlineStr">
        <is>
          <t>Не использован</t>
        </is>
      </c>
      <c r="H1037" s="148" t="n"/>
      <c r="I1037" s="34" t="str"/>
      <c r="J1037" s="34" t="str"/>
      <c r="K1037" s="130" t="n">
        <v>33</v>
      </c>
      <c r="L1037" s="43">
        <f>IF(COUNTIF($F$5:$F$2407,F1037)=1,"OK","Дубликат")</f>
        <v/>
      </c>
    </row>
    <row r="1038" ht="38" customHeight="1">
      <c r="A1038" s="146" t="inlineStr">
        <is>
          <t>SUB-L3-12-30</t>
        </is>
      </c>
      <c r="B1038" s="39" t="inlineStr">
        <is>
          <t>3 уровень</t>
        </is>
      </c>
      <c r="C1038" s="34" t="inlineStr">
        <is>
          <t>Закрытые условия на абонементы</t>
        </is>
      </c>
      <c r="D1038" s="34" t="inlineStr">
        <is>
          <t>Скидка 30% на абонемент 12 занятий</t>
        </is>
      </c>
      <c r="E1038" s="34" t="inlineStr">
        <is>
          <t>При покупке абонемента на 12 занятий</t>
        </is>
      </c>
      <c r="F1038" s="147" t="inlineStr">
        <is>
          <t>FW-L3-HRGWH-7GPQ9</t>
        </is>
      </c>
      <c r="G1038" s="39" t="inlineStr">
        <is>
          <t>Не использован</t>
        </is>
      </c>
      <c r="H1038" s="148" t="n"/>
      <c r="I1038" s="34" t="str"/>
      <c r="J1038" s="34" t="str"/>
      <c r="K1038" s="130" t="n">
        <v>34</v>
      </c>
      <c r="L1038" s="43">
        <f>IF(COUNTIF($F$5:$F$2407,F1038)=1,"OK","Дубликат")</f>
        <v/>
      </c>
    </row>
    <row r="1039" ht="38" customHeight="1">
      <c r="A1039" s="146" t="inlineStr">
        <is>
          <t>SUB-L3-12-30</t>
        </is>
      </c>
      <c r="B1039" s="39" t="inlineStr">
        <is>
          <t>3 уровень</t>
        </is>
      </c>
      <c r="C1039" s="34" t="inlineStr">
        <is>
          <t>Закрытые условия на абонементы</t>
        </is>
      </c>
      <c r="D1039" s="34" t="inlineStr">
        <is>
          <t>Скидка 30% на абонемент 12 занятий</t>
        </is>
      </c>
      <c r="E1039" s="34" t="inlineStr">
        <is>
          <t>При покупке абонемента на 12 занятий</t>
        </is>
      </c>
      <c r="F1039" s="147" t="inlineStr">
        <is>
          <t>FW-L3-9E9FV-DFA84</t>
        </is>
      </c>
      <c r="G1039" s="39" t="inlineStr">
        <is>
          <t>Не использован</t>
        </is>
      </c>
      <c r="H1039" s="148" t="n"/>
      <c r="I1039" s="34" t="str"/>
      <c r="J1039" s="34" t="str"/>
      <c r="K1039" s="130" t="n">
        <v>35</v>
      </c>
      <c r="L1039" s="43">
        <f>IF(COUNTIF($F$5:$F$2407,F1039)=1,"OK","Дубликат")</f>
        <v/>
      </c>
    </row>
    <row r="1040" ht="38" customHeight="1">
      <c r="A1040" s="146" t="inlineStr">
        <is>
          <t>SUB-L3-12-30</t>
        </is>
      </c>
      <c r="B1040" s="39" t="inlineStr">
        <is>
          <t>3 уровень</t>
        </is>
      </c>
      <c r="C1040" s="34" t="inlineStr">
        <is>
          <t>Закрытые условия на абонементы</t>
        </is>
      </c>
      <c r="D1040" s="34" t="inlineStr">
        <is>
          <t>Скидка 30% на абонемент 12 занятий</t>
        </is>
      </c>
      <c r="E1040" s="34" t="inlineStr">
        <is>
          <t>При покупке абонемента на 12 занятий</t>
        </is>
      </c>
      <c r="F1040" s="147" t="inlineStr">
        <is>
          <t>FW-L3-7WPLZ-Y7Y85</t>
        </is>
      </c>
      <c r="G1040" s="39" t="inlineStr">
        <is>
          <t>Не использован</t>
        </is>
      </c>
      <c r="H1040" s="148" t="n"/>
      <c r="I1040" s="34" t="str"/>
      <c r="J1040" s="34" t="str"/>
      <c r="K1040" s="130" t="n">
        <v>36</v>
      </c>
      <c r="L1040" s="43">
        <f>IF(COUNTIF($F$5:$F$2407,F1040)=1,"OK","Дубликат")</f>
        <v/>
      </c>
    </row>
    <row r="1041" ht="38" customHeight="1">
      <c r="A1041" s="146" t="inlineStr">
        <is>
          <t>SUB-L3-12-30</t>
        </is>
      </c>
      <c r="B1041" s="39" t="inlineStr">
        <is>
          <t>3 уровень</t>
        </is>
      </c>
      <c r="C1041" s="34" t="inlineStr">
        <is>
          <t>Закрытые условия на абонементы</t>
        </is>
      </c>
      <c r="D1041" s="34" t="inlineStr">
        <is>
          <t>Скидка 30% на абонемент 12 занятий</t>
        </is>
      </c>
      <c r="E1041" s="34" t="inlineStr">
        <is>
          <t>При покупке абонемента на 12 занятий</t>
        </is>
      </c>
      <c r="F1041" s="147" t="inlineStr">
        <is>
          <t>FW-L3-JLLNG-6QKAK</t>
        </is>
      </c>
      <c r="G1041" s="39" t="inlineStr">
        <is>
          <t>Не использован</t>
        </is>
      </c>
      <c r="H1041" s="148" t="n"/>
      <c r="I1041" s="34" t="str"/>
      <c r="J1041" s="34" t="str"/>
      <c r="K1041" s="130" t="n">
        <v>37</v>
      </c>
      <c r="L1041" s="43">
        <f>IF(COUNTIF($F$5:$F$2407,F1041)=1,"OK","Дубликат")</f>
        <v/>
      </c>
    </row>
    <row r="1042" ht="38" customHeight="1">
      <c r="A1042" s="146" t="inlineStr">
        <is>
          <t>SUB-L3-12-30</t>
        </is>
      </c>
      <c r="B1042" s="39" t="inlineStr">
        <is>
          <t>3 уровень</t>
        </is>
      </c>
      <c r="C1042" s="34" t="inlineStr">
        <is>
          <t>Закрытые условия на абонементы</t>
        </is>
      </c>
      <c r="D1042" s="34" t="inlineStr">
        <is>
          <t>Скидка 30% на абонемент 12 занятий</t>
        </is>
      </c>
      <c r="E1042" s="34" t="inlineStr">
        <is>
          <t>При покупке абонемента на 12 занятий</t>
        </is>
      </c>
      <c r="F1042" s="147" t="inlineStr">
        <is>
          <t>FW-L3-MRXML-2K3BG</t>
        </is>
      </c>
      <c r="G1042" s="39" t="inlineStr">
        <is>
          <t>Не использован</t>
        </is>
      </c>
      <c r="H1042" s="148" t="n"/>
      <c r="I1042" s="34" t="str"/>
      <c r="J1042" s="34" t="str"/>
      <c r="K1042" s="130" t="n">
        <v>38</v>
      </c>
      <c r="L1042" s="43">
        <f>IF(COUNTIF($F$5:$F$2407,F1042)=1,"OK","Дубликат")</f>
        <v/>
      </c>
    </row>
    <row r="1043" ht="38" customHeight="1">
      <c r="A1043" s="146" t="inlineStr">
        <is>
          <t>SUB-L3-12-30</t>
        </is>
      </c>
      <c r="B1043" s="39" t="inlineStr">
        <is>
          <t>3 уровень</t>
        </is>
      </c>
      <c r="C1043" s="34" t="inlineStr">
        <is>
          <t>Закрытые условия на абонементы</t>
        </is>
      </c>
      <c r="D1043" s="34" t="inlineStr">
        <is>
          <t>Скидка 30% на абонемент 12 занятий</t>
        </is>
      </c>
      <c r="E1043" s="34" t="inlineStr">
        <is>
          <t>При покупке абонемента на 12 занятий</t>
        </is>
      </c>
      <c r="F1043" s="147" t="inlineStr">
        <is>
          <t>FW-L3-NWJED-AEPCN</t>
        </is>
      </c>
      <c r="G1043" s="39" t="inlineStr">
        <is>
          <t>Не использован</t>
        </is>
      </c>
      <c r="H1043" s="148" t="n"/>
      <c r="I1043" s="34" t="str"/>
      <c r="J1043" s="34" t="str"/>
      <c r="K1043" s="130" t="n">
        <v>39</v>
      </c>
      <c r="L1043" s="43">
        <f>IF(COUNTIF($F$5:$F$2407,F1043)=1,"OK","Дубликат")</f>
        <v/>
      </c>
    </row>
    <row r="1044" ht="38" customHeight="1">
      <c r="A1044" s="146" t="inlineStr">
        <is>
          <t>SUB-L3-12-30</t>
        </is>
      </c>
      <c r="B1044" s="39" t="inlineStr">
        <is>
          <t>3 уровень</t>
        </is>
      </c>
      <c r="C1044" s="34" t="inlineStr">
        <is>
          <t>Закрытые условия на абонементы</t>
        </is>
      </c>
      <c r="D1044" s="34" t="inlineStr">
        <is>
          <t>Скидка 30% на абонемент 12 занятий</t>
        </is>
      </c>
      <c r="E1044" s="34" t="inlineStr">
        <is>
          <t>При покупке абонемента на 12 занятий</t>
        </is>
      </c>
      <c r="F1044" s="147" t="inlineStr">
        <is>
          <t>FW-L3-NPYBM-L4V5V</t>
        </is>
      </c>
      <c r="G1044" s="39" t="inlineStr">
        <is>
          <t>Не использован</t>
        </is>
      </c>
      <c r="H1044" s="148" t="n"/>
      <c r="I1044" s="34" t="str"/>
      <c r="J1044" s="34" t="str"/>
      <c r="K1044" s="130" t="n">
        <v>40</v>
      </c>
      <c r="L1044" s="43">
        <f>IF(COUNTIF($F$5:$F$2407,F1044)=1,"OK","Дубликат")</f>
        <v/>
      </c>
    </row>
    <row r="1045" ht="38" customHeight="1">
      <c r="A1045" s="146" t="inlineStr">
        <is>
          <t>SUB-L3-12-30</t>
        </is>
      </c>
      <c r="B1045" s="39" t="inlineStr">
        <is>
          <t>3 уровень</t>
        </is>
      </c>
      <c r="C1045" s="34" t="inlineStr">
        <is>
          <t>Закрытые условия на абонементы</t>
        </is>
      </c>
      <c r="D1045" s="34" t="inlineStr">
        <is>
          <t>Скидка 30% на абонемент 12 занятий</t>
        </is>
      </c>
      <c r="E1045" s="34" t="inlineStr">
        <is>
          <t>При покупке абонемента на 12 занятий</t>
        </is>
      </c>
      <c r="F1045" s="147" t="inlineStr">
        <is>
          <t>FW-L3-U2J62-W96JU</t>
        </is>
      </c>
      <c r="G1045" s="39" t="inlineStr">
        <is>
          <t>Не использован</t>
        </is>
      </c>
      <c r="H1045" s="148" t="n"/>
      <c r="I1045" s="34" t="str"/>
      <c r="J1045" s="34" t="str"/>
      <c r="K1045" s="130" t="n">
        <v>41</v>
      </c>
      <c r="L1045" s="43">
        <f>IF(COUNTIF($F$5:$F$2407,F1045)=1,"OK","Дубликат")</f>
        <v/>
      </c>
    </row>
    <row r="1046" ht="38" customHeight="1">
      <c r="A1046" s="146" t="inlineStr">
        <is>
          <t>SUB-L3-12-30</t>
        </is>
      </c>
      <c r="B1046" s="39" t="inlineStr">
        <is>
          <t>3 уровень</t>
        </is>
      </c>
      <c r="C1046" s="34" t="inlineStr">
        <is>
          <t>Закрытые условия на абонементы</t>
        </is>
      </c>
      <c r="D1046" s="34" t="inlineStr">
        <is>
          <t>Скидка 30% на абонемент 12 занятий</t>
        </is>
      </c>
      <c r="E1046" s="34" t="inlineStr">
        <is>
          <t>При покупке абонемента на 12 занятий</t>
        </is>
      </c>
      <c r="F1046" s="147" t="inlineStr">
        <is>
          <t>FW-L3-9E9CN-WK5TQ</t>
        </is>
      </c>
      <c r="G1046" s="39" t="inlineStr">
        <is>
          <t>Не использован</t>
        </is>
      </c>
      <c r="H1046" s="148" t="n"/>
      <c r="I1046" s="34" t="str"/>
      <c r="J1046" s="34" t="str"/>
      <c r="K1046" s="130" t="n">
        <v>42</v>
      </c>
      <c r="L1046" s="43">
        <f>IF(COUNTIF($F$5:$F$2407,F1046)=1,"OK","Дубликат")</f>
        <v/>
      </c>
    </row>
    <row r="1047" ht="38" customHeight="1">
      <c r="A1047" s="146" t="inlineStr">
        <is>
          <t>SUB-L3-12-30</t>
        </is>
      </c>
      <c r="B1047" s="39" t="inlineStr">
        <is>
          <t>3 уровень</t>
        </is>
      </c>
      <c r="C1047" s="34" t="inlineStr">
        <is>
          <t>Закрытые условия на абонементы</t>
        </is>
      </c>
      <c r="D1047" s="34" t="inlineStr">
        <is>
          <t>Скидка 30% на абонемент 12 занятий</t>
        </is>
      </c>
      <c r="E1047" s="34" t="inlineStr">
        <is>
          <t>При покупке абонемента на 12 занятий</t>
        </is>
      </c>
      <c r="F1047" s="147" t="inlineStr">
        <is>
          <t>FW-L3-A8N4M-UZURJ</t>
        </is>
      </c>
      <c r="G1047" s="39" t="inlineStr">
        <is>
          <t>Не использован</t>
        </is>
      </c>
      <c r="H1047" s="148" t="n"/>
      <c r="I1047" s="34" t="str"/>
      <c r="J1047" s="34" t="str"/>
      <c r="K1047" s="130" t="n">
        <v>43</v>
      </c>
      <c r="L1047" s="43">
        <f>IF(COUNTIF($F$5:$F$2407,F1047)=1,"OK","Дубликат")</f>
        <v/>
      </c>
    </row>
    <row r="1048" ht="38" customHeight="1">
      <c r="A1048" s="146" t="inlineStr">
        <is>
          <t>SUB-L3-12-30</t>
        </is>
      </c>
      <c r="B1048" s="39" t="inlineStr">
        <is>
          <t>3 уровень</t>
        </is>
      </c>
      <c r="C1048" s="34" t="inlineStr">
        <is>
          <t>Закрытые условия на абонементы</t>
        </is>
      </c>
      <c r="D1048" s="34" t="inlineStr">
        <is>
          <t>Скидка 30% на абонемент 12 занятий</t>
        </is>
      </c>
      <c r="E1048" s="34" t="inlineStr">
        <is>
          <t>При покупке абонемента на 12 занятий</t>
        </is>
      </c>
      <c r="F1048" s="147" t="inlineStr">
        <is>
          <t>FW-L3-5PR89-WV738</t>
        </is>
      </c>
      <c r="G1048" s="39" t="inlineStr">
        <is>
          <t>Не использован</t>
        </is>
      </c>
      <c r="H1048" s="148" t="n"/>
      <c r="I1048" s="34" t="str"/>
      <c r="J1048" s="34" t="str"/>
      <c r="K1048" s="130" t="n">
        <v>44</v>
      </c>
      <c r="L1048" s="43">
        <f>IF(COUNTIF($F$5:$F$2407,F1048)=1,"OK","Дубликат")</f>
        <v/>
      </c>
    </row>
    <row r="1049" ht="38" customHeight="1">
      <c r="A1049" s="146" t="inlineStr">
        <is>
          <t>SUB-L3-12-30</t>
        </is>
      </c>
      <c r="B1049" s="39" t="inlineStr">
        <is>
          <t>3 уровень</t>
        </is>
      </c>
      <c r="C1049" s="34" t="inlineStr">
        <is>
          <t>Закрытые условия на абонементы</t>
        </is>
      </c>
      <c r="D1049" s="34" t="inlineStr">
        <is>
          <t>Скидка 30% на абонемент 12 занятий</t>
        </is>
      </c>
      <c r="E1049" s="34" t="inlineStr">
        <is>
          <t>При покупке абонемента на 12 занятий</t>
        </is>
      </c>
      <c r="F1049" s="147" t="inlineStr">
        <is>
          <t>FW-L3-V6895-6B2VJ</t>
        </is>
      </c>
      <c r="G1049" s="39" t="inlineStr">
        <is>
          <t>Не использован</t>
        </is>
      </c>
      <c r="H1049" s="148" t="n"/>
      <c r="I1049" s="34" t="str"/>
      <c r="J1049" s="34" t="str"/>
      <c r="K1049" s="130" t="n">
        <v>45</v>
      </c>
      <c r="L1049" s="43">
        <f>IF(COUNTIF($F$5:$F$2407,F1049)=1,"OK","Дубликат")</f>
        <v/>
      </c>
    </row>
    <row r="1050" ht="38" customHeight="1">
      <c r="A1050" s="146" t="inlineStr">
        <is>
          <t>SUB-L3-12-30</t>
        </is>
      </c>
      <c r="B1050" s="39" t="inlineStr">
        <is>
          <t>3 уровень</t>
        </is>
      </c>
      <c r="C1050" s="34" t="inlineStr">
        <is>
          <t>Закрытые условия на абонементы</t>
        </is>
      </c>
      <c r="D1050" s="34" t="inlineStr">
        <is>
          <t>Скидка 30% на абонемент 12 занятий</t>
        </is>
      </c>
      <c r="E1050" s="34" t="inlineStr">
        <is>
          <t>При покупке абонемента на 12 занятий</t>
        </is>
      </c>
      <c r="F1050" s="147" t="inlineStr">
        <is>
          <t>FW-L3-84FZW-TJF88</t>
        </is>
      </c>
      <c r="G1050" s="39" t="inlineStr">
        <is>
          <t>Не использован</t>
        </is>
      </c>
      <c r="H1050" s="148" t="n"/>
      <c r="I1050" s="34" t="str"/>
      <c r="J1050" s="34" t="str"/>
      <c r="K1050" s="130" t="n">
        <v>46</v>
      </c>
      <c r="L1050" s="43">
        <f>IF(COUNTIF($F$5:$F$2407,F1050)=1,"OK","Дубликат")</f>
        <v/>
      </c>
    </row>
    <row r="1051" ht="38" customHeight="1">
      <c r="A1051" s="146" t="inlineStr">
        <is>
          <t>SUB-L3-12-30</t>
        </is>
      </c>
      <c r="B1051" s="39" t="inlineStr">
        <is>
          <t>3 уровень</t>
        </is>
      </c>
      <c r="C1051" s="34" t="inlineStr">
        <is>
          <t>Закрытые условия на абонементы</t>
        </is>
      </c>
      <c r="D1051" s="34" t="inlineStr">
        <is>
          <t>Скидка 30% на абонемент 12 занятий</t>
        </is>
      </c>
      <c r="E1051" s="34" t="inlineStr">
        <is>
          <t>При покупке абонемента на 12 занятий</t>
        </is>
      </c>
      <c r="F1051" s="147" t="inlineStr">
        <is>
          <t>FW-L3-YNZJA-V7J5L</t>
        </is>
      </c>
      <c r="G1051" s="39" t="inlineStr">
        <is>
          <t>Не использован</t>
        </is>
      </c>
      <c r="H1051" s="148" t="n"/>
      <c r="I1051" s="34" t="str"/>
      <c r="J1051" s="34" t="str"/>
      <c r="K1051" s="130" t="n">
        <v>47</v>
      </c>
      <c r="L1051" s="43">
        <f>IF(COUNTIF($F$5:$F$2407,F1051)=1,"OK","Дубликат")</f>
        <v/>
      </c>
    </row>
    <row r="1052" ht="38" customHeight="1">
      <c r="A1052" s="146" t="inlineStr">
        <is>
          <t>SUB-L3-12-30</t>
        </is>
      </c>
      <c r="B1052" s="39" t="inlineStr">
        <is>
          <t>3 уровень</t>
        </is>
      </c>
      <c r="C1052" s="34" t="inlineStr">
        <is>
          <t>Закрытые условия на абонементы</t>
        </is>
      </c>
      <c r="D1052" s="34" t="inlineStr">
        <is>
          <t>Скидка 30% на абонемент 12 занятий</t>
        </is>
      </c>
      <c r="E1052" s="34" t="inlineStr">
        <is>
          <t>При покупке абонемента на 12 занятий</t>
        </is>
      </c>
      <c r="F1052" s="147" t="inlineStr">
        <is>
          <t>FW-L3-UU5Y2-E7AP4</t>
        </is>
      </c>
      <c r="G1052" s="39" t="inlineStr">
        <is>
          <t>Не использован</t>
        </is>
      </c>
      <c r="H1052" s="148" t="n"/>
      <c r="I1052" s="34" t="str"/>
      <c r="J1052" s="34" t="str"/>
      <c r="K1052" s="130" t="n">
        <v>48</v>
      </c>
      <c r="L1052" s="43">
        <f>IF(COUNTIF($F$5:$F$2407,F1052)=1,"OK","Дубликат")</f>
        <v/>
      </c>
    </row>
    <row r="1053" ht="38" customHeight="1">
      <c r="A1053" s="146" t="inlineStr">
        <is>
          <t>SUB-L3-12-30</t>
        </is>
      </c>
      <c r="B1053" s="39" t="inlineStr">
        <is>
          <t>3 уровень</t>
        </is>
      </c>
      <c r="C1053" s="34" t="inlineStr">
        <is>
          <t>Закрытые условия на абонементы</t>
        </is>
      </c>
      <c r="D1053" s="34" t="inlineStr">
        <is>
          <t>Скидка 30% на абонемент 12 занятий</t>
        </is>
      </c>
      <c r="E1053" s="34" t="inlineStr">
        <is>
          <t>При покупке абонемента на 12 занятий</t>
        </is>
      </c>
      <c r="F1053" s="147" t="inlineStr">
        <is>
          <t>FW-L3-N993P-XXB9W</t>
        </is>
      </c>
      <c r="G1053" s="39" t="inlineStr">
        <is>
          <t>Не использован</t>
        </is>
      </c>
      <c r="H1053" s="148" t="n"/>
      <c r="I1053" s="34" t="str"/>
      <c r="J1053" s="34" t="str"/>
      <c r="K1053" s="130" t="n">
        <v>49</v>
      </c>
      <c r="L1053" s="43">
        <f>IF(COUNTIF($F$5:$F$2407,F1053)=1,"OK","Дубликат")</f>
        <v/>
      </c>
    </row>
    <row r="1054" ht="38" customHeight="1">
      <c r="A1054" s="146" t="inlineStr">
        <is>
          <t>SUB-L3-12-30</t>
        </is>
      </c>
      <c r="B1054" s="39" t="inlineStr">
        <is>
          <t>3 уровень</t>
        </is>
      </c>
      <c r="C1054" s="34" t="inlineStr">
        <is>
          <t>Закрытые условия на абонементы</t>
        </is>
      </c>
      <c r="D1054" s="34" t="inlineStr">
        <is>
          <t>Скидка 30% на абонемент 12 занятий</t>
        </is>
      </c>
      <c r="E1054" s="34" t="inlineStr">
        <is>
          <t>При покупке абонемента на 12 занятий</t>
        </is>
      </c>
      <c r="F1054" s="147" t="inlineStr">
        <is>
          <t>FW-L3-CAABZ-4SN65</t>
        </is>
      </c>
      <c r="G1054" s="39" t="inlineStr">
        <is>
          <t>Не использован</t>
        </is>
      </c>
      <c r="H1054" s="148" t="n"/>
      <c r="I1054" s="34" t="str"/>
      <c r="J1054" s="34" t="str"/>
      <c r="K1054" s="130" t="n">
        <v>50</v>
      </c>
      <c r="L1054" s="43">
        <f>IF(COUNTIF($F$5:$F$2407,F1054)=1,"OK","Дубликат")</f>
        <v/>
      </c>
    </row>
    <row r="1055" ht="38" customHeight="1">
      <c r="A1055" s="146" t="inlineStr">
        <is>
          <t>SUB-L3-12-30</t>
        </is>
      </c>
      <c r="B1055" s="39" t="inlineStr">
        <is>
          <t>3 уровень</t>
        </is>
      </c>
      <c r="C1055" s="34" t="inlineStr">
        <is>
          <t>Закрытые условия на абонементы</t>
        </is>
      </c>
      <c r="D1055" s="34" t="inlineStr">
        <is>
          <t>Скидка 30% на абонемент 12 занятий</t>
        </is>
      </c>
      <c r="E1055" s="34" t="inlineStr">
        <is>
          <t>При покупке абонемента на 12 занятий</t>
        </is>
      </c>
      <c r="F1055" s="147" t="inlineStr">
        <is>
          <t>FW-L3-Y6GS8-GN44Y</t>
        </is>
      </c>
      <c r="G1055" s="39" t="inlineStr">
        <is>
          <t>Не использован</t>
        </is>
      </c>
      <c r="H1055" s="148" t="n"/>
      <c r="I1055" s="34" t="str"/>
      <c r="J1055" s="34" t="str"/>
      <c r="K1055" s="130" t="n">
        <v>51</v>
      </c>
      <c r="L1055" s="43">
        <f>IF(COUNTIF($F$5:$F$2407,F1055)=1,"OK","Дубликат")</f>
        <v/>
      </c>
    </row>
    <row r="1056" ht="38" customHeight="1">
      <c r="A1056" s="146" t="inlineStr">
        <is>
          <t>SUB-L3-12-30</t>
        </is>
      </c>
      <c r="B1056" s="39" t="inlineStr">
        <is>
          <t>3 уровень</t>
        </is>
      </c>
      <c r="C1056" s="34" t="inlineStr">
        <is>
          <t>Закрытые условия на абонементы</t>
        </is>
      </c>
      <c r="D1056" s="34" t="inlineStr">
        <is>
          <t>Скидка 30% на абонемент 12 занятий</t>
        </is>
      </c>
      <c r="E1056" s="34" t="inlineStr">
        <is>
          <t>При покупке абонемента на 12 занятий</t>
        </is>
      </c>
      <c r="F1056" s="147" t="inlineStr">
        <is>
          <t>FW-L3-VEHPN-TWAK9</t>
        </is>
      </c>
      <c r="G1056" s="39" t="inlineStr">
        <is>
          <t>Не использован</t>
        </is>
      </c>
      <c r="H1056" s="148" t="n"/>
      <c r="I1056" s="34" t="str"/>
      <c r="J1056" s="34" t="str"/>
      <c r="K1056" s="130" t="n">
        <v>52</v>
      </c>
      <c r="L1056" s="43">
        <f>IF(COUNTIF($F$5:$F$2407,F1056)=1,"OK","Дубликат")</f>
        <v/>
      </c>
    </row>
    <row r="1057" ht="38" customHeight="1">
      <c r="A1057" s="146" t="inlineStr">
        <is>
          <t>SUB-L3-12-30</t>
        </is>
      </c>
      <c r="B1057" s="39" t="inlineStr">
        <is>
          <t>3 уровень</t>
        </is>
      </c>
      <c r="C1057" s="34" t="inlineStr">
        <is>
          <t>Закрытые условия на абонементы</t>
        </is>
      </c>
      <c r="D1057" s="34" t="inlineStr">
        <is>
          <t>Скидка 30% на абонемент 12 занятий</t>
        </is>
      </c>
      <c r="E1057" s="34" t="inlineStr">
        <is>
          <t>При покупке абонемента на 12 занятий</t>
        </is>
      </c>
      <c r="F1057" s="147" t="inlineStr">
        <is>
          <t>FW-L3-XY264-7GFKX</t>
        </is>
      </c>
      <c r="G1057" s="39" t="inlineStr">
        <is>
          <t>Не использован</t>
        </is>
      </c>
      <c r="H1057" s="148" t="n"/>
      <c r="I1057" s="34" t="str"/>
      <c r="J1057" s="34" t="str"/>
      <c r="K1057" s="130" t="n">
        <v>53</v>
      </c>
      <c r="L1057" s="43">
        <f>IF(COUNTIF($F$5:$F$2407,F1057)=1,"OK","Дубликат")</f>
        <v/>
      </c>
    </row>
    <row r="1058" ht="38" customHeight="1">
      <c r="A1058" s="146" t="inlineStr">
        <is>
          <t>SUB-L3-12-30</t>
        </is>
      </c>
      <c r="B1058" s="39" t="inlineStr">
        <is>
          <t>3 уровень</t>
        </is>
      </c>
      <c r="C1058" s="34" t="inlineStr">
        <is>
          <t>Закрытые условия на абонементы</t>
        </is>
      </c>
      <c r="D1058" s="34" t="inlineStr">
        <is>
          <t>Скидка 30% на абонемент 12 занятий</t>
        </is>
      </c>
      <c r="E1058" s="34" t="inlineStr">
        <is>
          <t>При покупке абонемента на 12 занятий</t>
        </is>
      </c>
      <c r="F1058" s="147" t="inlineStr">
        <is>
          <t>FW-L3-8QND7-PGTKM</t>
        </is>
      </c>
      <c r="G1058" s="39" t="inlineStr">
        <is>
          <t>Не использован</t>
        </is>
      </c>
      <c r="H1058" s="148" t="n"/>
      <c r="I1058" s="34" t="str"/>
      <c r="J1058" s="34" t="str"/>
      <c r="K1058" s="130" t="n">
        <v>54</v>
      </c>
      <c r="L1058" s="43">
        <f>IF(COUNTIF($F$5:$F$2407,F1058)=1,"OK","Дубликат")</f>
        <v/>
      </c>
    </row>
    <row r="1059" ht="38" customHeight="1">
      <c r="A1059" s="146" t="inlineStr">
        <is>
          <t>SUB-L3-12-30</t>
        </is>
      </c>
      <c r="B1059" s="39" t="inlineStr">
        <is>
          <t>3 уровень</t>
        </is>
      </c>
      <c r="C1059" s="34" t="inlineStr">
        <is>
          <t>Закрытые условия на абонементы</t>
        </is>
      </c>
      <c r="D1059" s="34" t="inlineStr">
        <is>
          <t>Скидка 30% на абонемент 12 занятий</t>
        </is>
      </c>
      <c r="E1059" s="34" t="inlineStr">
        <is>
          <t>При покупке абонемента на 12 занятий</t>
        </is>
      </c>
      <c r="F1059" s="147" t="inlineStr">
        <is>
          <t>FW-L3-JEFLM-YM9J5</t>
        </is>
      </c>
      <c r="G1059" s="39" t="inlineStr">
        <is>
          <t>Не использован</t>
        </is>
      </c>
      <c r="H1059" s="148" t="n"/>
      <c r="I1059" s="34" t="str"/>
      <c r="J1059" s="34" t="str"/>
      <c r="K1059" s="130" t="n">
        <v>55</v>
      </c>
      <c r="L1059" s="43">
        <f>IF(COUNTIF($F$5:$F$2407,F1059)=1,"OK","Дубликат")</f>
        <v/>
      </c>
    </row>
    <row r="1060" ht="38" customHeight="1">
      <c r="A1060" s="146" t="inlineStr">
        <is>
          <t>SUB-L3-12-30</t>
        </is>
      </c>
      <c r="B1060" s="39" t="inlineStr">
        <is>
          <t>3 уровень</t>
        </is>
      </c>
      <c r="C1060" s="34" t="inlineStr">
        <is>
          <t>Закрытые условия на абонементы</t>
        </is>
      </c>
      <c r="D1060" s="34" t="inlineStr">
        <is>
          <t>Скидка 30% на абонемент 12 занятий</t>
        </is>
      </c>
      <c r="E1060" s="34" t="inlineStr">
        <is>
          <t>При покупке абонемента на 12 занятий</t>
        </is>
      </c>
      <c r="F1060" s="147" t="inlineStr">
        <is>
          <t>FW-L3-BQAZW-SLRRA</t>
        </is>
      </c>
      <c r="G1060" s="39" t="inlineStr">
        <is>
          <t>Не использован</t>
        </is>
      </c>
      <c r="H1060" s="148" t="n"/>
      <c r="I1060" s="34" t="str"/>
      <c r="J1060" s="34" t="str"/>
      <c r="K1060" s="130" t="n">
        <v>56</v>
      </c>
      <c r="L1060" s="43">
        <f>IF(COUNTIF($F$5:$F$2407,F1060)=1,"OK","Дубликат")</f>
        <v/>
      </c>
    </row>
    <row r="1061" ht="38" customHeight="1">
      <c r="A1061" s="146" t="inlineStr">
        <is>
          <t>SUB-L3-12-30</t>
        </is>
      </c>
      <c r="B1061" s="39" t="inlineStr">
        <is>
          <t>3 уровень</t>
        </is>
      </c>
      <c r="C1061" s="34" t="inlineStr">
        <is>
          <t>Закрытые условия на абонементы</t>
        </is>
      </c>
      <c r="D1061" s="34" t="inlineStr">
        <is>
          <t>Скидка 30% на абонемент 12 занятий</t>
        </is>
      </c>
      <c r="E1061" s="34" t="inlineStr">
        <is>
          <t>При покупке абонемента на 12 занятий</t>
        </is>
      </c>
      <c r="F1061" s="147" t="inlineStr">
        <is>
          <t>FW-L3-K7Q96-SJRTZ</t>
        </is>
      </c>
      <c r="G1061" s="39" t="inlineStr">
        <is>
          <t>Не использован</t>
        </is>
      </c>
      <c r="H1061" s="148" t="n"/>
      <c r="I1061" s="34" t="str"/>
      <c r="J1061" s="34" t="str"/>
      <c r="K1061" s="130" t="n">
        <v>57</v>
      </c>
      <c r="L1061" s="43">
        <f>IF(COUNTIF($F$5:$F$2407,F1061)=1,"OK","Дубликат")</f>
        <v/>
      </c>
    </row>
    <row r="1062" ht="38" customHeight="1">
      <c r="A1062" s="146" t="inlineStr">
        <is>
          <t>SUB-L3-12-30</t>
        </is>
      </c>
      <c r="B1062" s="39" t="inlineStr">
        <is>
          <t>3 уровень</t>
        </is>
      </c>
      <c r="C1062" s="34" t="inlineStr">
        <is>
          <t>Закрытые условия на абонементы</t>
        </is>
      </c>
      <c r="D1062" s="34" t="inlineStr">
        <is>
          <t>Скидка 30% на абонемент 12 занятий</t>
        </is>
      </c>
      <c r="E1062" s="34" t="inlineStr">
        <is>
          <t>При покупке абонемента на 12 занятий</t>
        </is>
      </c>
      <c r="F1062" s="147" t="inlineStr">
        <is>
          <t>FW-L3-JBRJ3-LW5HS</t>
        </is>
      </c>
      <c r="G1062" s="39" t="inlineStr">
        <is>
          <t>Не использован</t>
        </is>
      </c>
      <c r="H1062" s="148" t="n"/>
      <c r="I1062" s="34" t="str"/>
      <c r="J1062" s="34" t="str"/>
      <c r="K1062" s="130" t="n">
        <v>58</v>
      </c>
      <c r="L1062" s="43">
        <f>IF(COUNTIF($F$5:$F$2407,F1062)=1,"OK","Дубликат")</f>
        <v/>
      </c>
    </row>
    <row r="1063" ht="38" customHeight="1">
      <c r="A1063" s="146" t="inlineStr">
        <is>
          <t>SUB-L3-12-30</t>
        </is>
      </c>
      <c r="B1063" s="39" t="inlineStr">
        <is>
          <t>3 уровень</t>
        </is>
      </c>
      <c r="C1063" s="34" t="inlineStr">
        <is>
          <t>Закрытые условия на абонементы</t>
        </is>
      </c>
      <c r="D1063" s="34" t="inlineStr">
        <is>
          <t>Скидка 30% на абонемент 12 занятий</t>
        </is>
      </c>
      <c r="E1063" s="34" t="inlineStr">
        <is>
          <t>При покупке абонемента на 12 занятий</t>
        </is>
      </c>
      <c r="F1063" s="147" t="inlineStr">
        <is>
          <t>FW-L3-P6749-3LE8Q</t>
        </is>
      </c>
      <c r="G1063" s="39" t="inlineStr">
        <is>
          <t>Не использован</t>
        </is>
      </c>
      <c r="H1063" s="148" t="n"/>
      <c r="I1063" s="34" t="str"/>
      <c r="J1063" s="34" t="str"/>
      <c r="K1063" s="130" t="n">
        <v>59</v>
      </c>
      <c r="L1063" s="43">
        <f>IF(COUNTIF($F$5:$F$2407,F1063)=1,"OK","Дубликат")</f>
        <v/>
      </c>
    </row>
    <row r="1064" ht="38" customHeight="1">
      <c r="A1064" s="146" t="inlineStr">
        <is>
          <t>SUB-L3-12-30</t>
        </is>
      </c>
      <c r="B1064" s="39" t="inlineStr">
        <is>
          <t>3 уровень</t>
        </is>
      </c>
      <c r="C1064" s="34" t="inlineStr">
        <is>
          <t>Закрытые условия на абонементы</t>
        </is>
      </c>
      <c r="D1064" s="34" t="inlineStr">
        <is>
          <t>Скидка 30% на абонемент 12 занятий</t>
        </is>
      </c>
      <c r="E1064" s="34" t="inlineStr">
        <is>
          <t>При покупке абонемента на 12 занятий</t>
        </is>
      </c>
      <c r="F1064" s="147" t="inlineStr">
        <is>
          <t>FW-L3-SNZZ9-3RY5S</t>
        </is>
      </c>
      <c r="G1064" s="39" t="inlineStr">
        <is>
          <t>Не использован</t>
        </is>
      </c>
      <c r="H1064" s="148" t="n"/>
      <c r="I1064" s="34" t="str"/>
      <c r="J1064" s="34" t="str"/>
      <c r="K1064" s="130" t="n">
        <v>60</v>
      </c>
      <c r="L1064" s="43">
        <f>IF(COUNTIF($F$5:$F$2407,F1064)=1,"OK","Дубликат")</f>
        <v/>
      </c>
    </row>
    <row r="1065" ht="38" customHeight="1">
      <c r="A1065" s="146" t="inlineStr">
        <is>
          <t>SUB-L3-12-30</t>
        </is>
      </c>
      <c r="B1065" s="39" t="inlineStr">
        <is>
          <t>3 уровень</t>
        </is>
      </c>
      <c r="C1065" s="34" t="inlineStr">
        <is>
          <t>Закрытые условия на абонементы</t>
        </is>
      </c>
      <c r="D1065" s="34" t="inlineStr">
        <is>
          <t>Скидка 30% на абонемент 12 занятий</t>
        </is>
      </c>
      <c r="E1065" s="34" t="inlineStr">
        <is>
          <t>При покупке абонемента на 12 занятий</t>
        </is>
      </c>
      <c r="F1065" s="147" t="inlineStr">
        <is>
          <t>FW-L3-UMHK2-MBQSW</t>
        </is>
      </c>
      <c r="G1065" s="39" t="inlineStr">
        <is>
          <t>Не использован</t>
        </is>
      </c>
      <c r="H1065" s="148" t="n"/>
      <c r="I1065" s="34" t="str"/>
      <c r="J1065" s="34" t="str"/>
      <c r="K1065" s="130" t="n">
        <v>61</v>
      </c>
      <c r="L1065" s="43">
        <f>IF(COUNTIF($F$5:$F$2407,F1065)=1,"OK","Дубликат")</f>
        <v/>
      </c>
    </row>
    <row r="1066" ht="38" customHeight="1">
      <c r="A1066" s="146" t="inlineStr">
        <is>
          <t>SUB-L3-12-30</t>
        </is>
      </c>
      <c r="B1066" s="39" t="inlineStr">
        <is>
          <t>3 уровень</t>
        </is>
      </c>
      <c r="C1066" s="34" t="inlineStr">
        <is>
          <t>Закрытые условия на абонементы</t>
        </is>
      </c>
      <c r="D1066" s="34" t="inlineStr">
        <is>
          <t>Скидка 30% на абонемент 12 занятий</t>
        </is>
      </c>
      <c r="E1066" s="34" t="inlineStr">
        <is>
          <t>При покупке абонемента на 12 занятий</t>
        </is>
      </c>
      <c r="F1066" s="147" t="inlineStr">
        <is>
          <t>FW-L3-BJ52E-VW3BG</t>
        </is>
      </c>
      <c r="G1066" s="39" t="inlineStr">
        <is>
          <t>Не использован</t>
        </is>
      </c>
      <c r="H1066" s="148" t="n"/>
      <c r="I1066" s="34" t="str"/>
      <c r="J1066" s="34" t="str"/>
      <c r="K1066" s="130" t="n">
        <v>62</v>
      </c>
      <c r="L1066" s="43">
        <f>IF(COUNTIF($F$5:$F$2407,F1066)=1,"OK","Дубликат")</f>
        <v/>
      </c>
    </row>
    <row r="1067" ht="38" customHeight="1">
      <c r="A1067" s="146" t="inlineStr">
        <is>
          <t>SUB-L3-12-30</t>
        </is>
      </c>
      <c r="B1067" s="39" t="inlineStr">
        <is>
          <t>3 уровень</t>
        </is>
      </c>
      <c r="C1067" s="34" t="inlineStr">
        <is>
          <t>Закрытые условия на абонементы</t>
        </is>
      </c>
      <c r="D1067" s="34" t="inlineStr">
        <is>
          <t>Скидка 30% на абонемент 12 занятий</t>
        </is>
      </c>
      <c r="E1067" s="34" t="inlineStr">
        <is>
          <t>При покупке абонемента на 12 занятий</t>
        </is>
      </c>
      <c r="F1067" s="147" t="inlineStr">
        <is>
          <t>FW-L3-2SJ7C-DT266</t>
        </is>
      </c>
      <c r="G1067" s="39" t="inlineStr">
        <is>
          <t>Не использован</t>
        </is>
      </c>
      <c r="H1067" s="148" t="n"/>
      <c r="I1067" s="34" t="str"/>
      <c r="J1067" s="34" t="str"/>
      <c r="K1067" s="130" t="n">
        <v>63</v>
      </c>
      <c r="L1067" s="43">
        <f>IF(COUNTIF($F$5:$F$2407,F1067)=1,"OK","Дубликат")</f>
        <v/>
      </c>
    </row>
    <row r="1068" ht="38" customHeight="1">
      <c r="A1068" s="146" t="inlineStr">
        <is>
          <t>SUB-L3-12-30</t>
        </is>
      </c>
      <c r="B1068" s="39" t="inlineStr">
        <is>
          <t>3 уровень</t>
        </is>
      </c>
      <c r="C1068" s="34" t="inlineStr">
        <is>
          <t>Закрытые условия на абонементы</t>
        </is>
      </c>
      <c r="D1068" s="34" t="inlineStr">
        <is>
          <t>Скидка 30% на абонемент 12 занятий</t>
        </is>
      </c>
      <c r="E1068" s="34" t="inlineStr">
        <is>
          <t>При покупке абонемента на 12 занятий</t>
        </is>
      </c>
      <c r="F1068" s="147" t="inlineStr">
        <is>
          <t>FW-L3-3RKWA-2DVTR</t>
        </is>
      </c>
      <c r="G1068" s="39" t="inlineStr">
        <is>
          <t>Не использован</t>
        </is>
      </c>
      <c r="H1068" s="148" t="n"/>
      <c r="I1068" s="34" t="str"/>
      <c r="J1068" s="34" t="str"/>
      <c r="K1068" s="130" t="n">
        <v>64</v>
      </c>
      <c r="L1068" s="43">
        <f>IF(COUNTIF($F$5:$F$2407,F1068)=1,"OK","Дубликат")</f>
        <v/>
      </c>
    </row>
    <row r="1069" ht="38" customHeight="1">
      <c r="A1069" s="146" t="inlineStr">
        <is>
          <t>SUB-L3-12-30</t>
        </is>
      </c>
      <c r="B1069" s="39" t="inlineStr">
        <is>
          <t>3 уровень</t>
        </is>
      </c>
      <c r="C1069" s="34" t="inlineStr">
        <is>
          <t>Закрытые условия на абонементы</t>
        </is>
      </c>
      <c r="D1069" s="34" t="inlineStr">
        <is>
          <t>Скидка 30% на абонемент 12 занятий</t>
        </is>
      </c>
      <c r="E1069" s="34" t="inlineStr">
        <is>
          <t>При покупке абонемента на 12 занятий</t>
        </is>
      </c>
      <c r="F1069" s="147" t="inlineStr">
        <is>
          <t>FW-L3-79YU4-N9ZV9</t>
        </is>
      </c>
      <c r="G1069" s="39" t="inlineStr">
        <is>
          <t>Не использован</t>
        </is>
      </c>
      <c r="H1069" s="148" t="n"/>
      <c r="I1069" s="34" t="str"/>
      <c r="J1069" s="34" t="str"/>
      <c r="K1069" s="130" t="n">
        <v>65</v>
      </c>
      <c r="L1069" s="43">
        <f>IF(COUNTIF($F$5:$F$2407,F1069)=1,"OK","Дубликат")</f>
        <v/>
      </c>
    </row>
    <row r="1070" ht="38" customHeight="1">
      <c r="A1070" s="146" t="inlineStr">
        <is>
          <t>SUB-L3-12-30</t>
        </is>
      </c>
      <c r="B1070" s="39" t="inlineStr">
        <is>
          <t>3 уровень</t>
        </is>
      </c>
      <c r="C1070" s="34" t="inlineStr">
        <is>
          <t>Закрытые условия на абонементы</t>
        </is>
      </c>
      <c r="D1070" s="34" t="inlineStr">
        <is>
          <t>Скидка 30% на абонемент 12 занятий</t>
        </is>
      </c>
      <c r="E1070" s="34" t="inlineStr">
        <is>
          <t>При покупке абонемента на 12 занятий</t>
        </is>
      </c>
      <c r="F1070" s="147" t="inlineStr">
        <is>
          <t>FW-L3-T7V2T-653CM</t>
        </is>
      </c>
      <c r="G1070" s="39" t="inlineStr">
        <is>
          <t>Не использован</t>
        </is>
      </c>
      <c r="H1070" s="148" t="n"/>
      <c r="I1070" s="34" t="str"/>
      <c r="J1070" s="34" t="str"/>
      <c r="K1070" s="130" t="n">
        <v>66</v>
      </c>
      <c r="L1070" s="43">
        <f>IF(COUNTIF($F$5:$F$2407,F1070)=1,"OK","Дубликат")</f>
        <v/>
      </c>
    </row>
    <row r="1071" ht="38" customHeight="1">
      <c r="A1071" s="146" t="inlineStr">
        <is>
          <t>SUB-L3-12-30</t>
        </is>
      </c>
      <c r="B1071" s="39" t="inlineStr">
        <is>
          <t>3 уровень</t>
        </is>
      </c>
      <c r="C1071" s="34" t="inlineStr">
        <is>
          <t>Закрытые условия на абонементы</t>
        </is>
      </c>
      <c r="D1071" s="34" t="inlineStr">
        <is>
          <t>Скидка 30% на абонемент 12 занятий</t>
        </is>
      </c>
      <c r="E1071" s="34" t="inlineStr">
        <is>
          <t>При покупке абонемента на 12 занятий</t>
        </is>
      </c>
      <c r="F1071" s="147" t="inlineStr">
        <is>
          <t>FW-L3-RM6RH-8BA92</t>
        </is>
      </c>
      <c r="G1071" s="39" t="inlineStr">
        <is>
          <t>Не использован</t>
        </is>
      </c>
      <c r="H1071" s="148" t="n"/>
      <c r="I1071" s="34" t="str"/>
      <c r="J1071" s="34" t="str"/>
      <c r="K1071" s="130" t="n">
        <v>67</v>
      </c>
      <c r="L1071" s="43">
        <f>IF(COUNTIF($F$5:$F$2407,F1071)=1,"OK","Дубликат")</f>
        <v/>
      </c>
    </row>
    <row r="1072" ht="38" customHeight="1">
      <c r="A1072" s="146" t="inlineStr">
        <is>
          <t>SUB-L3-12-30</t>
        </is>
      </c>
      <c r="B1072" s="39" t="inlineStr">
        <is>
          <t>3 уровень</t>
        </is>
      </c>
      <c r="C1072" s="34" t="inlineStr">
        <is>
          <t>Закрытые условия на абонементы</t>
        </is>
      </c>
      <c r="D1072" s="34" t="inlineStr">
        <is>
          <t>Скидка 30% на абонемент 12 занятий</t>
        </is>
      </c>
      <c r="E1072" s="34" t="inlineStr">
        <is>
          <t>При покупке абонемента на 12 занятий</t>
        </is>
      </c>
      <c r="F1072" s="147" t="inlineStr">
        <is>
          <t>FW-L3-4YGN8-EZMJW</t>
        </is>
      </c>
      <c r="G1072" s="39" t="inlineStr">
        <is>
          <t>Не использован</t>
        </is>
      </c>
      <c r="H1072" s="148" t="n"/>
      <c r="I1072" s="34" t="str"/>
      <c r="J1072" s="34" t="str"/>
      <c r="K1072" s="130" t="n">
        <v>68</v>
      </c>
      <c r="L1072" s="43">
        <f>IF(COUNTIF($F$5:$F$2407,F1072)=1,"OK","Дубликат")</f>
        <v/>
      </c>
    </row>
    <row r="1073" ht="38" customHeight="1">
      <c r="A1073" s="146" t="inlineStr">
        <is>
          <t>SUB-L3-12-30</t>
        </is>
      </c>
      <c r="B1073" s="39" t="inlineStr">
        <is>
          <t>3 уровень</t>
        </is>
      </c>
      <c r="C1073" s="34" t="inlineStr">
        <is>
          <t>Закрытые условия на абонементы</t>
        </is>
      </c>
      <c r="D1073" s="34" t="inlineStr">
        <is>
          <t>Скидка 30% на абонемент 12 занятий</t>
        </is>
      </c>
      <c r="E1073" s="34" t="inlineStr">
        <is>
          <t>При покупке абонемента на 12 занятий</t>
        </is>
      </c>
      <c r="F1073" s="147" t="inlineStr">
        <is>
          <t>FW-L3-6UHHC-RFCHE</t>
        </is>
      </c>
      <c r="G1073" s="39" t="inlineStr">
        <is>
          <t>Не использован</t>
        </is>
      </c>
      <c r="H1073" s="148" t="n"/>
      <c r="I1073" s="34" t="str"/>
      <c r="J1073" s="34" t="str"/>
      <c r="K1073" s="130" t="n">
        <v>69</v>
      </c>
      <c r="L1073" s="43">
        <f>IF(COUNTIF($F$5:$F$2407,F1073)=1,"OK","Дубликат")</f>
        <v/>
      </c>
    </row>
    <row r="1074" ht="38" customHeight="1">
      <c r="A1074" s="146" t="inlineStr">
        <is>
          <t>SUB-L3-12-30</t>
        </is>
      </c>
      <c r="B1074" s="39" t="inlineStr">
        <is>
          <t>3 уровень</t>
        </is>
      </c>
      <c r="C1074" s="34" t="inlineStr">
        <is>
          <t>Закрытые условия на абонементы</t>
        </is>
      </c>
      <c r="D1074" s="34" t="inlineStr">
        <is>
          <t>Скидка 30% на абонемент 12 занятий</t>
        </is>
      </c>
      <c r="E1074" s="34" t="inlineStr">
        <is>
          <t>При покупке абонемента на 12 занятий</t>
        </is>
      </c>
      <c r="F1074" s="147" t="inlineStr">
        <is>
          <t>FW-L3-ERCUB-RLH2G</t>
        </is>
      </c>
      <c r="G1074" s="39" t="inlineStr">
        <is>
          <t>Не использован</t>
        </is>
      </c>
      <c r="H1074" s="148" t="n"/>
      <c r="I1074" s="34" t="str"/>
      <c r="J1074" s="34" t="str"/>
      <c r="K1074" s="130" t="n">
        <v>70</v>
      </c>
      <c r="L1074" s="43">
        <f>IF(COUNTIF($F$5:$F$2407,F1074)=1,"OK","Дубликат")</f>
        <v/>
      </c>
    </row>
    <row r="1075" ht="38" customHeight="1">
      <c r="A1075" s="146" t="inlineStr">
        <is>
          <t>SUB-L3-12-30</t>
        </is>
      </c>
      <c r="B1075" s="39" t="inlineStr">
        <is>
          <t>3 уровень</t>
        </is>
      </c>
      <c r="C1075" s="34" t="inlineStr">
        <is>
          <t>Закрытые условия на абонементы</t>
        </is>
      </c>
      <c r="D1075" s="34" t="inlineStr">
        <is>
          <t>Скидка 30% на абонемент 12 занятий</t>
        </is>
      </c>
      <c r="E1075" s="34" t="inlineStr">
        <is>
          <t>При покупке абонемента на 12 занятий</t>
        </is>
      </c>
      <c r="F1075" s="147" t="inlineStr">
        <is>
          <t>FW-L3-BY5N5-NCKEY</t>
        </is>
      </c>
      <c r="G1075" s="39" t="inlineStr">
        <is>
          <t>Не использован</t>
        </is>
      </c>
      <c r="H1075" s="148" t="n"/>
      <c r="I1075" s="34" t="str"/>
      <c r="J1075" s="34" t="str"/>
      <c r="K1075" s="130" t="n">
        <v>71</v>
      </c>
      <c r="L1075" s="43">
        <f>IF(COUNTIF($F$5:$F$2407,F1075)=1,"OK","Дубликат")</f>
        <v/>
      </c>
    </row>
    <row r="1076" ht="38" customHeight="1">
      <c r="A1076" s="146" t="inlineStr">
        <is>
          <t>SUB-L3-12-30</t>
        </is>
      </c>
      <c r="B1076" s="39" t="inlineStr">
        <is>
          <t>3 уровень</t>
        </is>
      </c>
      <c r="C1076" s="34" t="inlineStr">
        <is>
          <t>Закрытые условия на абонементы</t>
        </is>
      </c>
      <c r="D1076" s="34" t="inlineStr">
        <is>
          <t>Скидка 30% на абонемент 12 занятий</t>
        </is>
      </c>
      <c r="E1076" s="34" t="inlineStr">
        <is>
          <t>При покупке абонемента на 12 занятий</t>
        </is>
      </c>
      <c r="F1076" s="147" t="inlineStr">
        <is>
          <t>FW-L3-X82GH-2FJA2</t>
        </is>
      </c>
      <c r="G1076" s="39" t="inlineStr">
        <is>
          <t>Не использован</t>
        </is>
      </c>
      <c r="H1076" s="148" t="n"/>
      <c r="I1076" s="34" t="str"/>
      <c r="J1076" s="34" t="str"/>
      <c r="K1076" s="130" t="n">
        <v>72</v>
      </c>
      <c r="L1076" s="43">
        <f>IF(COUNTIF($F$5:$F$2407,F1076)=1,"OK","Дубликат")</f>
        <v/>
      </c>
    </row>
    <row r="1077" ht="38" customHeight="1">
      <c r="A1077" s="146" t="inlineStr">
        <is>
          <t>SUB-L3-12-30</t>
        </is>
      </c>
      <c r="B1077" s="39" t="inlineStr">
        <is>
          <t>3 уровень</t>
        </is>
      </c>
      <c r="C1077" s="34" t="inlineStr">
        <is>
          <t>Закрытые условия на абонементы</t>
        </is>
      </c>
      <c r="D1077" s="34" t="inlineStr">
        <is>
          <t>Скидка 30% на абонемент 12 занятий</t>
        </is>
      </c>
      <c r="E1077" s="34" t="inlineStr">
        <is>
          <t>При покупке абонемента на 12 занятий</t>
        </is>
      </c>
      <c r="F1077" s="147" t="inlineStr">
        <is>
          <t>FW-L3-VYAYY-BVTBN</t>
        </is>
      </c>
      <c r="G1077" s="39" t="inlineStr">
        <is>
          <t>Не использован</t>
        </is>
      </c>
      <c r="H1077" s="148" t="n"/>
      <c r="I1077" s="34" t="str"/>
      <c r="J1077" s="34" t="str"/>
      <c r="K1077" s="130" t="n">
        <v>73</v>
      </c>
      <c r="L1077" s="43">
        <f>IF(COUNTIF($F$5:$F$2407,F1077)=1,"OK","Дубликат")</f>
        <v/>
      </c>
    </row>
    <row r="1078" ht="38" customHeight="1">
      <c r="A1078" s="146" t="inlineStr">
        <is>
          <t>SUB-L3-12-30</t>
        </is>
      </c>
      <c r="B1078" s="39" t="inlineStr">
        <is>
          <t>3 уровень</t>
        </is>
      </c>
      <c r="C1078" s="34" t="inlineStr">
        <is>
          <t>Закрытые условия на абонементы</t>
        </is>
      </c>
      <c r="D1078" s="34" t="inlineStr">
        <is>
          <t>Скидка 30% на абонемент 12 занятий</t>
        </is>
      </c>
      <c r="E1078" s="34" t="inlineStr">
        <is>
          <t>При покупке абонемента на 12 занятий</t>
        </is>
      </c>
      <c r="F1078" s="147" t="inlineStr">
        <is>
          <t>FW-L3-4TNQW-ZFNEM</t>
        </is>
      </c>
      <c r="G1078" s="39" t="inlineStr">
        <is>
          <t>Не использован</t>
        </is>
      </c>
      <c r="H1078" s="148" t="n"/>
      <c r="I1078" s="34" t="str"/>
      <c r="J1078" s="34" t="str"/>
      <c r="K1078" s="130" t="n">
        <v>74</v>
      </c>
      <c r="L1078" s="43">
        <f>IF(COUNTIF($F$5:$F$2407,F1078)=1,"OK","Дубликат")</f>
        <v/>
      </c>
    </row>
    <row r="1079" ht="38" customHeight="1">
      <c r="A1079" s="146" t="inlineStr">
        <is>
          <t>SUB-L3-12-30</t>
        </is>
      </c>
      <c r="B1079" s="39" t="inlineStr">
        <is>
          <t>3 уровень</t>
        </is>
      </c>
      <c r="C1079" s="34" t="inlineStr">
        <is>
          <t>Закрытые условия на абонементы</t>
        </is>
      </c>
      <c r="D1079" s="34" t="inlineStr">
        <is>
          <t>Скидка 30% на абонемент 12 занятий</t>
        </is>
      </c>
      <c r="E1079" s="34" t="inlineStr">
        <is>
          <t>При покупке абонемента на 12 занятий</t>
        </is>
      </c>
      <c r="F1079" s="147" t="inlineStr">
        <is>
          <t>FW-L3-SNS8U-PM3MS</t>
        </is>
      </c>
      <c r="G1079" s="39" t="inlineStr">
        <is>
          <t>Не использован</t>
        </is>
      </c>
      <c r="H1079" s="148" t="n"/>
      <c r="I1079" s="34" t="str"/>
      <c r="J1079" s="34" t="str"/>
      <c r="K1079" s="130" t="n">
        <v>75</v>
      </c>
      <c r="L1079" s="43">
        <f>IF(COUNTIF($F$5:$F$2407,F1079)=1,"OK","Дубликат")</f>
        <v/>
      </c>
    </row>
    <row r="1080" ht="38" customHeight="1">
      <c r="A1080" s="146" t="inlineStr">
        <is>
          <t>SUB-L3-12-30</t>
        </is>
      </c>
      <c r="B1080" s="39" t="inlineStr">
        <is>
          <t>3 уровень</t>
        </is>
      </c>
      <c r="C1080" s="34" t="inlineStr">
        <is>
          <t>Закрытые условия на абонементы</t>
        </is>
      </c>
      <c r="D1080" s="34" t="inlineStr">
        <is>
          <t>Скидка 30% на абонемент 12 занятий</t>
        </is>
      </c>
      <c r="E1080" s="34" t="inlineStr">
        <is>
          <t>При покупке абонемента на 12 занятий</t>
        </is>
      </c>
      <c r="F1080" s="147" t="inlineStr">
        <is>
          <t>FW-L3-RX8ZE-JN2Z3</t>
        </is>
      </c>
      <c r="G1080" s="39" t="inlineStr">
        <is>
          <t>Не использован</t>
        </is>
      </c>
      <c r="H1080" s="148" t="n"/>
      <c r="I1080" s="34" t="str"/>
      <c r="J1080" s="34" t="str"/>
      <c r="K1080" s="130" t="n">
        <v>76</v>
      </c>
      <c r="L1080" s="43">
        <f>IF(COUNTIF($F$5:$F$2407,F1080)=1,"OK","Дубликат")</f>
        <v/>
      </c>
    </row>
    <row r="1081" ht="38" customHeight="1">
      <c r="A1081" s="146" t="inlineStr">
        <is>
          <t>SUB-L3-12-30</t>
        </is>
      </c>
      <c r="B1081" s="39" t="inlineStr">
        <is>
          <t>3 уровень</t>
        </is>
      </c>
      <c r="C1081" s="34" t="inlineStr">
        <is>
          <t>Закрытые условия на абонементы</t>
        </is>
      </c>
      <c r="D1081" s="34" t="inlineStr">
        <is>
          <t>Скидка 30% на абонемент 12 занятий</t>
        </is>
      </c>
      <c r="E1081" s="34" t="inlineStr">
        <is>
          <t>При покупке абонемента на 12 занятий</t>
        </is>
      </c>
      <c r="F1081" s="147" t="inlineStr">
        <is>
          <t>FW-L3-JQRZL-FE4YL</t>
        </is>
      </c>
      <c r="G1081" s="39" t="inlineStr">
        <is>
          <t>Не использован</t>
        </is>
      </c>
      <c r="H1081" s="148" t="n"/>
      <c r="I1081" s="34" t="str"/>
      <c r="J1081" s="34" t="str"/>
      <c r="K1081" s="130" t="n">
        <v>77</v>
      </c>
      <c r="L1081" s="43">
        <f>IF(COUNTIF($F$5:$F$2407,F1081)=1,"OK","Дубликат")</f>
        <v/>
      </c>
    </row>
    <row r="1082" ht="38" customHeight="1">
      <c r="A1082" s="146" t="inlineStr">
        <is>
          <t>SUB-L3-12-30</t>
        </is>
      </c>
      <c r="B1082" s="39" t="inlineStr">
        <is>
          <t>3 уровень</t>
        </is>
      </c>
      <c r="C1082" s="34" t="inlineStr">
        <is>
          <t>Закрытые условия на абонементы</t>
        </is>
      </c>
      <c r="D1082" s="34" t="inlineStr">
        <is>
          <t>Скидка 30% на абонемент 12 занятий</t>
        </is>
      </c>
      <c r="E1082" s="34" t="inlineStr">
        <is>
          <t>При покупке абонемента на 12 занятий</t>
        </is>
      </c>
      <c r="F1082" s="147" t="inlineStr">
        <is>
          <t>FW-L3-Y7JFD-8FRXF</t>
        </is>
      </c>
      <c r="G1082" s="39" t="inlineStr">
        <is>
          <t>Не использован</t>
        </is>
      </c>
      <c r="H1082" s="148" t="n"/>
      <c r="I1082" s="34" t="str"/>
      <c r="J1082" s="34" t="str"/>
      <c r="K1082" s="130" t="n">
        <v>78</v>
      </c>
      <c r="L1082" s="43">
        <f>IF(COUNTIF($F$5:$F$2407,F1082)=1,"OK","Дубликат")</f>
        <v/>
      </c>
    </row>
    <row r="1083" ht="38" customHeight="1">
      <c r="A1083" s="146" t="inlineStr">
        <is>
          <t>SUB-L3-12-30</t>
        </is>
      </c>
      <c r="B1083" s="39" t="inlineStr">
        <is>
          <t>3 уровень</t>
        </is>
      </c>
      <c r="C1083" s="34" t="inlineStr">
        <is>
          <t>Закрытые условия на абонементы</t>
        </is>
      </c>
      <c r="D1083" s="34" t="inlineStr">
        <is>
          <t>Скидка 30% на абонемент 12 занятий</t>
        </is>
      </c>
      <c r="E1083" s="34" t="inlineStr">
        <is>
          <t>При покупке абонемента на 12 занятий</t>
        </is>
      </c>
      <c r="F1083" s="147" t="inlineStr">
        <is>
          <t>FW-L3-GDLNR-C8CR5</t>
        </is>
      </c>
      <c r="G1083" s="39" t="inlineStr">
        <is>
          <t>Не использован</t>
        </is>
      </c>
      <c r="H1083" s="148" t="n"/>
      <c r="I1083" s="34" t="str"/>
      <c r="J1083" s="34" t="str"/>
      <c r="K1083" s="130" t="n">
        <v>79</v>
      </c>
      <c r="L1083" s="43">
        <f>IF(COUNTIF($F$5:$F$2407,F1083)=1,"OK","Дубликат")</f>
        <v/>
      </c>
    </row>
    <row r="1084" ht="38" customHeight="1">
      <c r="A1084" s="146" t="inlineStr">
        <is>
          <t>SUB-L3-12-30</t>
        </is>
      </c>
      <c r="B1084" s="39" t="inlineStr">
        <is>
          <t>3 уровень</t>
        </is>
      </c>
      <c r="C1084" s="34" t="inlineStr">
        <is>
          <t>Закрытые условия на абонементы</t>
        </is>
      </c>
      <c r="D1084" s="34" t="inlineStr">
        <is>
          <t>Скидка 30% на абонемент 12 занятий</t>
        </is>
      </c>
      <c r="E1084" s="34" t="inlineStr">
        <is>
          <t>При покупке абонемента на 12 занятий</t>
        </is>
      </c>
      <c r="F1084" s="147" t="inlineStr">
        <is>
          <t>FW-L3-9AQSZ-GJTGL</t>
        </is>
      </c>
      <c r="G1084" s="39" t="inlineStr">
        <is>
          <t>Не использован</t>
        </is>
      </c>
      <c r="H1084" s="148" t="n"/>
      <c r="I1084" s="34" t="str"/>
      <c r="J1084" s="34" t="str"/>
      <c r="K1084" s="130" t="n">
        <v>80</v>
      </c>
      <c r="L1084" s="43">
        <f>IF(COUNTIF($F$5:$F$2407,F1084)=1,"OK","Дубликат")</f>
        <v/>
      </c>
    </row>
    <row r="1085" ht="38" customHeight="1">
      <c r="A1085" s="146" t="inlineStr">
        <is>
          <t>SUB-L3-12-30</t>
        </is>
      </c>
      <c r="B1085" s="39" t="inlineStr">
        <is>
          <t>3 уровень</t>
        </is>
      </c>
      <c r="C1085" s="34" t="inlineStr">
        <is>
          <t>Закрытые условия на абонементы</t>
        </is>
      </c>
      <c r="D1085" s="34" t="inlineStr">
        <is>
          <t>Скидка 30% на абонемент 12 занятий</t>
        </is>
      </c>
      <c r="E1085" s="34" t="inlineStr">
        <is>
          <t>При покупке абонемента на 12 занятий</t>
        </is>
      </c>
      <c r="F1085" s="147" t="inlineStr">
        <is>
          <t>FW-L3-D88NA-9BNVC</t>
        </is>
      </c>
      <c r="G1085" s="39" t="inlineStr">
        <is>
          <t>Не использован</t>
        </is>
      </c>
      <c r="H1085" s="148" t="n"/>
      <c r="I1085" s="34" t="str"/>
      <c r="J1085" s="34" t="str"/>
      <c r="K1085" s="130" t="n">
        <v>81</v>
      </c>
      <c r="L1085" s="43">
        <f>IF(COUNTIF($F$5:$F$2407,F1085)=1,"OK","Дубликат")</f>
        <v/>
      </c>
    </row>
    <row r="1086" ht="38" customHeight="1">
      <c r="A1086" s="146" t="inlineStr">
        <is>
          <t>SUB-L3-12-30</t>
        </is>
      </c>
      <c r="B1086" s="39" t="inlineStr">
        <is>
          <t>3 уровень</t>
        </is>
      </c>
      <c r="C1086" s="34" t="inlineStr">
        <is>
          <t>Закрытые условия на абонементы</t>
        </is>
      </c>
      <c r="D1086" s="34" t="inlineStr">
        <is>
          <t>Скидка 30% на абонемент 12 занятий</t>
        </is>
      </c>
      <c r="E1086" s="34" t="inlineStr">
        <is>
          <t>При покупке абонемента на 12 занятий</t>
        </is>
      </c>
      <c r="F1086" s="147" t="inlineStr">
        <is>
          <t>FW-L3-H5GLE-GLHAV</t>
        </is>
      </c>
      <c r="G1086" s="39" t="inlineStr">
        <is>
          <t>Не использован</t>
        </is>
      </c>
      <c r="H1086" s="148" t="n"/>
      <c r="I1086" s="34" t="str"/>
      <c r="J1086" s="34" t="str"/>
      <c r="K1086" s="130" t="n">
        <v>82</v>
      </c>
      <c r="L1086" s="43">
        <f>IF(COUNTIF($F$5:$F$2407,F1086)=1,"OK","Дубликат")</f>
        <v/>
      </c>
    </row>
    <row r="1087" ht="38" customHeight="1">
      <c r="A1087" s="146" t="inlineStr">
        <is>
          <t>SUB-L3-12-30</t>
        </is>
      </c>
      <c r="B1087" s="39" t="inlineStr">
        <is>
          <t>3 уровень</t>
        </is>
      </c>
      <c r="C1087" s="34" t="inlineStr">
        <is>
          <t>Закрытые условия на абонементы</t>
        </is>
      </c>
      <c r="D1087" s="34" t="inlineStr">
        <is>
          <t>Скидка 30% на абонемент 12 занятий</t>
        </is>
      </c>
      <c r="E1087" s="34" t="inlineStr">
        <is>
          <t>При покупке абонемента на 12 занятий</t>
        </is>
      </c>
      <c r="F1087" s="147" t="inlineStr">
        <is>
          <t>FW-L3-CRXHG-YCU7L</t>
        </is>
      </c>
      <c r="G1087" s="39" t="inlineStr">
        <is>
          <t>Не использован</t>
        </is>
      </c>
      <c r="H1087" s="148" t="n"/>
      <c r="I1087" s="34" t="str"/>
      <c r="J1087" s="34" t="str"/>
      <c r="K1087" s="130" t="n">
        <v>83</v>
      </c>
      <c r="L1087" s="43">
        <f>IF(COUNTIF($F$5:$F$2407,F1087)=1,"OK","Дубликат")</f>
        <v/>
      </c>
    </row>
    <row r="1088" ht="38" customHeight="1">
      <c r="A1088" s="146" t="inlineStr">
        <is>
          <t>SUB-L3-12-30</t>
        </is>
      </c>
      <c r="B1088" s="39" t="inlineStr">
        <is>
          <t>3 уровень</t>
        </is>
      </c>
      <c r="C1088" s="34" t="inlineStr">
        <is>
          <t>Закрытые условия на абонементы</t>
        </is>
      </c>
      <c r="D1088" s="34" t="inlineStr">
        <is>
          <t>Скидка 30% на абонемент 12 занятий</t>
        </is>
      </c>
      <c r="E1088" s="34" t="inlineStr">
        <is>
          <t>При покупке абонемента на 12 занятий</t>
        </is>
      </c>
      <c r="F1088" s="147" t="inlineStr">
        <is>
          <t>FW-L3-UFLT7-5YC6A</t>
        </is>
      </c>
      <c r="G1088" s="39" t="inlineStr">
        <is>
          <t>Не использован</t>
        </is>
      </c>
      <c r="H1088" s="148" t="n"/>
      <c r="I1088" s="34" t="str"/>
      <c r="J1088" s="34" t="str"/>
      <c r="K1088" s="130" t="n">
        <v>84</v>
      </c>
      <c r="L1088" s="43">
        <f>IF(COUNTIF($F$5:$F$2407,F1088)=1,"OK","Дубликат")</f>
        <v/>
      </c>
    </row>
    <row r="1089" ht="38" customHeight="1">
      <c r="A1089" s="146" t="inlineStr">
        <is>
          <t>SUB-L3-12-30</t>
        </is>
      </c>
      <c r="B1089" s="39" t="inlineStr">
        <is>
          <t>3 уровень</t>
        </is>
      </c>
      <c r="C1089" s="34" t="inlineStr">
        <is>
          <t>Закрытые условия на абонементы</t>
        </is>
      </c>
      <c r="D1089" s="34" t="inlineStr">
        <is>
          <t>Скидка 30% на абонемент 12 занятий</t>
        </is>
      </c>
      <c r="E1089" s="34" t="inlineStr">
        <is>
          <t>При покупке абонемента на 12 занятий</t>
        </is>
      </c>
      <c r="F1089" s="147" t="inlineStr">
        <is>
          <t>FW-L3-YP6YX-RLCSR</t>
        </is>
      </c>
      <c r="G1089" s="39" t="inlineStr">
        <is>
          <t>Не использован</t>
        </is>
      </c>
      <c r="H1089" s="148" t="n"/>
      <c r="I1089" s="34" t="str"/>
      <c r="J1089" s="34" t="str"/>
      <c r="K1089" s="130" t="n">
        <v>85</v>
      </c>
      <c r="L1089" s="43">
        <f>IF(COUNTIF($F$5:$F$2407,F1089)=1,"OK","Дубликат")</f>
        <v/>
      </c>
    </row>
    <row r="1090" ht="38" customHeight="1">
      <c r="A1090" s="146" t="inlineStr">
        <is>
          <t>SUB-L3-12-30</t>
        </is>
      </c>
      <c r="B1090" s="39" t="inlineStr">
        <is>
          <t>3 уровень</t>
        </is>
      </c>
      <c r="C1090" s="34" t="inlineStr">
        <is>
          <t>Закрытые условия на абонементы</t>
        </is>
      </c>
      <c r="D1090" s="34" t="inlineStr">
        <is>
          <t>Скидка 30% на абонемент 12 занятий</t>
        </is>
      </c>
      <c r="E1090" s="34" t="inlineStr">
        <is>
          <t>При покупке абонемента на 12 занятий</t>
        </is>
      </c>
      <c r="F1090" s="147" t="inlineStr">
        <is>
          <t>FW-L3-NCYFU-62XEC</t>
        </is>
      </c>
      <c r="G1090" s="39" t="inlineStr">
        <is>
          <t>Не использован</t>
        </is>
      </c>
      <c r="H1090" s="148" t="n"/>
      <c r="I1090" s="34" t="str"/>
      <c r="J1090" s="34" t="str"/>
      <c r="K1090" s="130" t="n">
        <v>86</v>
      </c>
      <c r="L1090" s="43">
        <f>IF(COUNTIF($F$5:$F$2407,F1090)=1,"OK","Дубликат")</f>
        <v/>
      </c>
    </row>
    <row r="1091" ht="38" customHeight="1">
      <c r="A1091" s="146" t="inlineStr">
        <is>
          <t>SUB-L3-12-30</t>
        </is>
      </c>
      <c r="B1091" s="39" t="inlineStr">
        <is>
          <t>3 уровень</t>
        </is>
      </c>
      <c r="C1091" s="34" t="inlineStr">
        <is>
          <t>Закрытые условия на абонементы</t>
        </is>
      </c>
      <c r="D1091" s="34" t="inlineStr">
        <is>
          <t>Скидка 30% на абонемент 12 занятий</t>
        </is>
      </c>
      <c r="E1091" s="34" t="inlineStr">
        <is>
          <t>При покупке абонемента на 12 занятий</t>
        </is>
      </c>
      <c r="F1091" s="147" t="inlineStr">
        <is>
          <t>FW-L3-UWTNP-TUFPH</t>
        </is>
      </c>
      <c r="G1091" s="39" t="inlineStr">
        <is>
          <t>Не использован</t>
        </is>
      </c>
      <c r="H1091" s="148" t="n"/>
      <c r="I1091" s="34" t="str"/>
      <c r="J1091" s="34" t="str"/>
      <c r="K1091" s="130" t="n">
        <v>87</v>
      </c>
      <c r="L1091" s="43">
        <f>IF(COUNTIF($F$5:$F$2407,F1091)=1,"OK","Дубликат")</f>
        <v/>
      </c>
    </row>
    <row r="1092" ht="38" customHeight="1">
      <c r="A1092" s="146" t="inlineStr">
        <is>
          <t>SUB-L3-12-30</t>
        </is>
      </c>
      <c r="B1092" s="39" t="inlineStr">
        <is>
          <t>3 уровень</t>
        </is>
      </c>
      <c r="C1092" s="34" t="inlineStr">
        <is>
          <t>Закрытые условия на абонементы</t>
        </is>
      </c>
      <c r="D1092" s="34" t="inlineStr">
        <is>
          <t>Скидка 30% на абонемент 12 занятий</t>
        </is>
      </c>
      <c r="E1092" s="34" t="inlineStr">
        <is>
          <t>При покупке абонемента на 12 занятий</t>
        </is>
      </c>
      <c r="F1092" s="147" t="inlineStr">
        <is>
          <t>FW-L3-JDN46-KTLUL</t>
        </is>
      </c>
      <c r="G1092" s="39" t="inlineStr">
        <is>
          <t>Не использован</t>
        </is>
      </c>
      <c r="H1092" s="148" t="n"/>
      <c r="I1092" s="34" t="str"/>
      <c r="J1092" s="34" t="str"/>
      <c r="K1092" s="130" t="n">
        <v>88</v>
      </c>
      <c r="L1092" s="43">
        <f>IF(COUNTIF($F$5:$F$2407,F1092)=1,"OK","Дубликат")</f>
        <v/>
      </c>
    </row>
    <row r="1093" ht="38" customHeight="1">
      <c r="A1093" s="146" t="inlineStr">
        <is>
          <t>SUB-L3-12-30</t>
        </is>
      </c>
      <c r="B1093" s="39" t="inlineStr">
        <is>
          <t>3 уровень</t>
        </is>
      </c>
      <c r="C1093" s="34" t="inlineStr">
        <is>
          <t>Закрытые условия на абонементы</t>
        </is>
      </c>
      <c r="D1093" s="34" t="inlineStr">
        <is>
          <t>Скидка 30% на абонемент 12 занятий</t>
        </is>
      </c>
      <c r="E1093" s="34" t="inlineStr">
        <is>
          <t>При покупке абонемента на 12 занятий</t>
        </is>
      </c>
      <c r="F1093" s="147" t="inlineStr">
        <is>
          <t>FW-L3-YVXH8-FSK8B</t>
        </is>
      </c>
      <c r="G1093" s="39" t="inlineStr">
        <is>
          <t>Не использован</t>
        </is>
      </c>
      <c r="H1093" s="148" t="n"/>
      <c r="I1093" s="34" t="str"/>
      <c r="J1093" s="34" t="str"/>
      <c r="K1093" s="130" t="n">
        <v>89</v>
      </c>
      <c r="L1093" s="43">
        <f>IF(COUNTIF($F$5:$F$2407,F1093)=1,"OK","Дубликат")</f>
        <v/>
      </c>
    </row>
    <row r="1094" ht="38" customHeight="1">
      <c r="A1094" s="146" t="inlineStr">
        <is>
          <t>SUB-L3-12-30</t>
        </is>
      </c>
      <c r="B1094" s="39" t="inlineStr">
        <is>
          <t>3 уровень</t>
        </is>
      </c>
      <c r="C1094" s="34" t="inlineStr">
        <is>
          <t>Закрытые условия на абонементы</t>
        </is>
      </c>
      <c r="D1094" s="34" t="inlineStr">
        <is>
          <t>Скидка 30% на абонемент 12 занятий</t>
        </is>
      </c>
      <c r="E1094" s="34" t="inlineStr">
        <is>
          <t>При покупке абонемента на 12 занятий</t>
        </is>
      </c>
      <c r="F1094" s="147" t="inlineStr">
        <is>
          <t>FW-L3-7B33Q-36WT2</t>
        </is>
      </c>
      <c r="G1094" s="39" t="inlineStr">
        <is>
          <t>Не использован</t>
        </is>
      </c>
      <c r="H1094" s="148" t="n"/>
      <c r="I1094" s="34" t="str"/>
      <c r="J1094" s="34" t="str"/>
      <c r="K1094" s="130" t="n">
        <v>90</v>
      </c>
      <c r="L1094" s="43">
        <f>IF(COUNTIF($F$5:$F$2407,F1094)=1,"OK","Дубликат")</f>
        <v/>
      </c>
    </row>
    <row r="1095" ht="38" customHeight="1">
      <c r="A1095" s="146" t="inlineStr">
        <is>
          <t>SUB-L3-12-30</t>
        </is>
      </c>
      <c r="B1095" s="39" t="inlineStr">
        <is>
          <t>3 уровень</t>
        </is>
      </c>
      <c r="C1095" s="34" t="inlineStr">
        <is>
          <t>Закрытые условия на абонементы</t>
        </is>
      </c>
      <c r="D1095" s="34" t="inlineStr">
        <is>
          <t>Скидка 30% на абонемент 12 занятий</t>
        </is>
      </c>
      <c r="E1095" s="34" t="inlineStr">
        <is>
          <t>При покупке абонемента на 12 занятий</t>
        </is>
      </c>
      <c r="F1095" s="147" t="inlineStr">
        <is>
          <t>FW-L3-ET968-ZWYWS</t>
        </is>
      </c>
      <c r="G1095" s="39" t="inlineStr">
        <is>
          <t>Не использован</t>
        </is>
      </c>
      <c r="H1095" s="148" t="n"/>
      <c r="I1095" s="34" t="str"/>
      <c r="J1095" s="34" t="str"/>
      <c r="K1095" s="130" t="n">
        <v>91</v>
      </c>
      <c r="L1095" s="43">
        <f>IF(COUNTIF($F$5:$F$2407,F1095)=1,"OK","Дубликат")</f>
        <v/>
      </c>
    </row>
    <row r="1096" ht="38" customHeight="1">
      <c r="A1096" s="146" t="inlineStr">
        <is>
          <t>SUB-L3-12-30</t>
        </is>
      </c>
      <c r="B1096" s="39" t="inlineStr">
        <is>
          <t>3 уровень</t>
        </is>
      </c>
      <c r="C1096" s="34" t="inlineStr">
        <is>
          <t>Закрытые условия на абонементы</t>
        </is>
      </c>
      <c r="D1096" s="34" t="inlineStr">
        <is>
          <t>Скидка 30% на абонемент 12 занятий</t>
        </is>
      </c>
      <c r="E1096" s="34" t="inlineStr">
        <is>
          <t>При покупке абонемента на 12 занятий</t>
        </is>
      </c>
      <c r="F1096" s="147" t="inlineStr">
        <is>
          <t>FW-L3-GTPLT-JWWB6</t>
        </is>
      </c>
      <c r="G1096" s="39" t="inlineStr">
        <is>
          <t>Не использован</t>
        </is>
      </c>
      <c r="H1096" s="148" t="n"/>
      <c r="I1096" s="34" t="str"/>
      <c r="J1096" s="34" t="str"/>
      <c r="K1096" s="130" t="n">
        <v>92</v>
      </c>
      <c r="L1096" s="43">
        <f>IF(COUNTIF($F$5:$F$2407,F1096)=1,"OK","Дубликат")</f>
        <v/>
      </c>
    </row>
    <row r="1097" ht="38" customHeight="1">
      <c r="A1097" s="146" t="inlineStr">
        <is>
          <t>SUB-L3-12-30</t>
        </is>
      </c>
      <c r="B1097" s="39" t="inlineStr">
        <is>
          <t>3 уровень</t>
        </is>
      </c>
      <c r="C1097" s="34" t="inlineStr">
        <is>
          <t>Закрытые условия на абонементы</t>
        </is>
      </c>
      <c r="D1097" s="34" t="inlineStr">
        <is>
          <t>Скидка 30% на абонемент 12 занятий</t>
        </is>
      </c>
      <c r="E1097" s="34" t="inlineStr">
        <is>
          <t>При покупке абонемента на 12 занятий</t>
        </is>
      </c>
      <c r="F1097" s="147" t="inlineStr">
        <is>
          <t>FW-L3-5W3ZU-5VGSM</t>
        </is>
      </c>
      <c r="G1097" s="39" t="inlineStr">
        <is>
          <t>Не использован</t>
        </is>
      </c>
      <c r="H1097" s="148" t="n"/>
      <c r="I1097" s="34" t="str"/>
      <c r="J1097" s="34" t="str"/>
      <c r="K1097" s="130" t="n">
        <v>93</v>
      </c>
      <c r="L1097" s="43">
        <f>IF(COUNTIF($F$5:$F$2407,F1097)=1,"OK","Дубликат")</f>
        <v/>
      </c>
    </row>
    <row r="1098" ht="38" customHeight="1">
      <c r="A1098" s="146" t="inlineStr">
        <is>
          <t>SUB-L3-12-30</t>
        </is>
      </c>
      <c r="B1098" s="39" t="inlineStr">
        <is>
          <t>3 уровень</t>
        </is>
      </c>
      <c r="C1098" s="34" t="inlineStr">
        <is>
          <t>Закрытые условия на абонементы</t>
        </is>
      </c>
      <c r="D1098" s="34" t="inlineStr">
        <is>
          <t>Скидка 30% на абонемент 12 занятий</t>
        </is>
      </c>
      <c r="E1098" s="34" t="inlineStr">
        <is>
          <t>При покупке абонемента на 12 занятий</t>
        </is>
      </c>
      <c r="F1098" s="147" t="inlineStr">
        <is>
          <t>FW-L3-5AL7Z-R66UL</t>
        </is>
      </c>
      <c r="G1098" s="39" t="inlineStr">
        <is>
          <t>Не использован</t>
        </is>
      </c>
      <c r="H1098" s="148" t="n"/>
      <c r="I1098" s="34" t="str"/>
      <c r="J1098" s="34" t="str"/>
      <c r="K1098" s="130" t="n">
        <v>94</v>
      </c>
      <c r="L1098" s="43">
        <f>IF(COUNTIF($F$5:$F$2407,F1098)=1,"OK","Дубликат")</f>
        <v/>
      </c>
    </row>
    <row r="1099" ht="38" customHeight="1">
      <c r="A1099" s="146" t="inlineStr">
        <is>
          <t>SUB-L3-12-30</t>
        </is>
      </c>
      <c r="B1099" s="39" t="inlineStr">
        <is>
          <t>3 уровень</t>
        </is>
      </c>
      <c r="C1099" s="34" t="inlineStr">
        <is>
          <t>Закрытые условия на абонементы</t>
        </is>
      </c>
      <c r="D1099" s="34" t="inlineStr">
        <is>
          <t>Скидка 30% на абонемент 12 занятий</t>
        </is>
      </c>
      <c r="E1099" s="34" t="inlineStr">
        <is>
          <t>При покупке абонемента на 12 занятий</t>
        </is>
      </c>
      <c r="F1099" s="147" t="inlineStr">
        <is>
          <t>FW-L3-BNM58-FR5FV</t>
        </is>
      </c>
      <c r="G1099" s="39" t="inlineStr">
        <is>
          <t>Не использован</t>
        </is>
      </c>
      <c r="H1099" s="148" t="n"/>
      <c r="I1099" s="34" t="str"/>
      <c r="J1099" s="34" t="str"/>
      <c r="K1099" s="130" t="n">
        <v>95</v>
      </c>
      <c r="L1099" s="43">
        <f>IF(COUNTIF($F$5:$F$2407,F1099)=1,"OK","Дубликат")</f>
        <v/>
      </c>
    </row>
    <row r="1100" ht="38" customHeight="1">
      <c r="A1100" s="146" t="inlineStr">
        <is>
          <t>SUB-L3-12-30</t>
        </is>
      </c>
      <c r="B1100" s="39" t="inlineStr">
        <is>
          <t>3 уровень</t>
        </is>
      </c>
      <c r="C1100" s="34" t="inlineStr">
        <is>
          <t>Закрытые условия на абонементы</t>
        </is>
      </c>
      <c r="D1100" s="34" t="inlineStr">
        <is>
          <t>Скидка 30% на абонемент 12 занятий</t>
        </is>
      </c>
      <c r="E1100" s="34" t="inlineStr">
        <is>
          <t>При покупке абонемента на 12 занятий</t>
        </is>
      </c>
      <c r="F1100" s="147" t="inlineStr">
        <is>
          <t>FW-L3-JPT3Q-NLPE7</t>
        </is>
      </c>
      <c r="G1100" s="39" t="inlineStr">
        <is>
          <t>Не использован</t>
        </is>
      </c>
      <c r="H1100" s="148" t="n"/>
      <c r="I1100" s="34" t="str"/>
      <c r="J1100" s="34" t="str"/>
      <c r="K1100" s="130" t="n">
        <v>96</v>
      </c>
      <c r="L1100" s="43">
        <f>IF(COUNTIF($F$5:$F$2407,F1100)=1,"OK","Дубликат")</f>
        <v/>
      </c>
    </row>
    <row r="1101" ht="38" customHeight="1">
      <c r="A1101" s="146" t="inlineStr">
        <is>
          <t>SUB-L3-12-30</t>
        </is>
      </c>
      <c r="B1101" s="39" t="inlineStr">
        <is>
          <t>3 уровень</t>
        </is>
      </c>
      <c r="C1101" s="34" t="inlineStr">
        <is>
          <t>Закрытые условия на абонементы</t>
        </is>
      </c>
      <c r="D1101" s="34" t="inlineStr">
        <is>
          <t>Скидка 30% на абонемент 12 занятий</t>
        </is>
      </c>
      <c r="E1101" s="34" t="inlineStr">
        <is>
          <t>При покупке абонемента на 12 занятий</t>
        </is>
      </c>
      <c r="F1101" s="147" t="inlineStr">
        <is>
          <t>FW-L3-XM4LB-FNXB9</t>
        </is>
      </c>
      <c r="G1101" s="39" t="inlineStr">
        <is>
          <t>Не использован</t>
        </is>
      </c>
      <c r="H1101" s="148" t="n"/>
      <c r="I1101" s="34" t="str"/>
      <c r="J1101" s="34" t="str"/>
      <c r="K1101" s="130" t="n">
        <v>97</v>
      </c>
      <c r="L1101" s="43">
        <f>IF(COUNTIF($F$5:$F$2407,F1101)=1,"OK","Дубликат")</f>
        <v/>
      </c>
    </row>
    <row r="1102" ht="38" customHeight="1">
      <c r="A1102" s="146" t="inlineStr">
        <is>
          <t>SUB-L3-12-30</t>
        </is>
      </c>
      <c r="B1102" s="39" t="inlineStr">
        <is>
          <t>3 уровень</t>
        </is>
      </c>
      <c r="C1102" s="34" t="inlineStr">
        <is>
          <t>Закрытые условия на абонементы</t>
        </is>
      </c>
      <c r="D1102" s="34" t="inlineStr">
        <is>
          <t>Скидка 30% на абонемент 12 занятий</t>
        </is>
      </c>
      <c r="E1102" s="34" t="inlineStr">
        <is>
          <t>При покупке абонемента на 12 занятий</t>
        </is>
      </c>
      <c r="F1102" s="147" t="inlineStr">
        <is>
          <t>FW-L3-A586C-P5QLR</t>
        </is>
      </c>
      <c r="G1102" s="39" t="inlineStr">
        <is>
          <t>Не использован</t>
        </is>
      </c>
      <c r="H1102" s="148" t="n"/>
      <c r="I1102" s="34" t="str"/>
      <c r="J1102" s="34" t="str"/>
      <c r="K1102" s="130" t="n">
        <v>98</v>
      </c>
      <c r="L1102" s="43">
        <f>IF(COUNTIF($F$5:$F$2407,F1102)=1,"OK","Дубликат")</f>
        <v/>
      </c>
    </row>
    <row r="1103" ht="38" customHeight="1">
      <c r="A1103" s="146" t="inlineStr">
        <is>
          <t>SUB-L3-12-30</t>
        </is>
      </c>
      <c r="B1103" s="39" t="inlineStr">
        <is>
          <t>3 уровень</t>
        </is>
      </c>
      <c r="C1103" s="34" t="inlineStr">
        <is>
          <t>Закрытые условия на абонементы</t>
        </is>
      </c>
      <c r="D1103" s="34" t="inlineStr">
        <is>
          <t>Скидка 30% на абонемент 12 занятий</t>
        </is>
      </c>
      <c r="E1103" s="34" t="inlineStr">
        <is>
          <t>При покупке абонемента на 12 занятий</t>
        </is>
      </c>
      <c r="F1103" s="147" t="inlineStr">
        <is>
          <t>FW-L3-LVR7W-9L6KU</t>
        </is>
      </c>
      <c r="G1103" s="39" t="inlineStr">
        <is>
          <t>Не использован</t>
        </is>
      </c>
      <c r="H1103" s="148" t="n"/>
      <c r="I1103" s="34" t="str"/>
      <c r="J1103" s="34" t="str"/>
      <c r="K1103" s="130" t="n">
        <v>99</v>
      </c>
      <c r="L1103" s="43">
        <f>IF(COUNTIF($F$5:$F$2407,F1103)=1,"OK","Дубликат")</f>
        <v/>
      </c>
    </row>
    <row r="1104" ht="38" customHeight="1">
      <c r="A1104" s="146" t="inlineStr">
        <is>
          <t>SUB-L3-12-30</t>
        </is>
      </c>
      <c r="B1104" s="39" t="inlineStr">
        <is>
          <t>3 уровень</t>
        </is>
      </c>
      <c r="C1104" s="34" t="inlineStr">
        <is>
          <t>Закрытые условия на абонементы</t>
        </is>
      </c>
      <c r="D1104" s="34" t="inlineStr">
        <is>
          <t>Скидка 30% на абонемент 12 занятий</t>
        </is>
      </c>
      <c r="E1104" s="34" t="inlineStr">
        <is>
          <t>При покупке абонемента на 12 занятий</t>
        </is>
      </c>
      <c r="F1104" s="147" t="inlineStr">
        <is>
          <t>FW-L3-TN45Q-5WUXL</t>
        </is>
      </c>
      <c r="G1104" s="39" t="inlineStr">
        <is>
          <t>Не использован</t>
        </is>
      </c>
      <c r="H1104" s="148" t="n"/>
      <c r="I1104" s="34" t="str"/>
      <c r="J1104" s="34" t="str"/>
      <c r="K1104" s="130" t="n">
        <v>100</v>
      </c>
      <c r="L1104" s="43">
        <f>IF(COUNTIF($F$5:$F$2407,F1104)=1,"OK","Дубликат")</f>
        <v/>
      </c>
    </row>
    <row r="1105" ht="38" customHeight="1">
      <c r="A1105" s="146" t="inlineStr">
        <is>
          <t>SUB-L3-12-30</t>
        </is>
      </c>
      <c r="B1105" s="39" t="inlineStr">
        <is>
          <t>3 уровень</t>
        </is>
      </c>
      <c r="C1105" s="34" t="inlineStr">
        <is>
          <t>Закрытые условия на абонементы</t>
        </is>
      </c>
      <c r="D1105" s="34" t="inlineStr">
        <is>
          <t>Скидка 30% на абонемент 12 занятий</t>
        </is>
      </c>
      <c r="E1105" s="34" t="inlineStr">
        <is>
          <t>При покупке абонемента на 12 занятий</t>
        </is>
      </c>
      <c r="F1105" s="147" t="inlineStr">
        <is>
          <t>FW-L3-GUUML-23AKY</t>
        </is>
      </c>
      <c r="G1105" s="39" t="inlineStr">
        <is>
          <t>Не использован</t>
        </is>
      </c>
      <c r="H1105" s="148" t="n"/>
      <c r="I1105" s="34" t="str"/>
      <c r="J1105" s="34" t="str"/>
      <c r="K1105" s="130" t="n">
        <v>101</v>
      </c>
      <c r="L1105" s="43">
        <f>IF(COUNTIF($F$5:$F$2407,F1105)=1,"OK","Дубликат")</f>
        <v/>
      </c>
    </row>
    <row r="1106" ht="38" customHeight="1">
      <c r="A1106" s="146" t="inlineStr">
        <is>
          <t>SUB-L3-12-30</t>
        </is>
      </c>
      <c r="B1106" s="39" t="inlineStr">
        <is>
          <t>3 уровень</t>
        </is>
      </c>
      <c r="C1106" s="34" t="inlineStr">
        <is>
          <t>Закрытые условия на абонементы</t>
        </is>
      </c>
      <c r="D1106" s="34" t="inlineStr">
        <is>
          <t>Скидка 30% на абонемент 12 занятий</t>
        </is>
      </c>
      <c r="E1106" s="34" t="inlineStr">
        <is>
          <t>При покупке абонемента на 12 занятий</t>
        </is>
      </c>
      <c r="F1106" s="147" t="inlineStr">
        <is>
          <t>FW-L3-PWN9A-GJWMR</t>
        </is>
      </c>
      <c r="G1106" s="39" t="inlineStr">
        <is>
          <t>Не использован</t>
        </is>
      </c>
      <c r="H1106" s="148" t="n"/>
      <c r="I1106" s="34" t="str"/>
      <c r="J1106" s="34" t="str"/>
      <c r="K1106" s="130" t="n">
        <v>102</v>
      </c>
      <c r="L1106" s="43">
        <f>IF(COUNTIF($F$5:$F$2407,F1106)=1,"OK","Дубликат")</f>
        <v/>
      </c>
    </row>
    <row r="1107" ht="38" customHeight="1">
      <c r="A1107" s="146" t="inlineStr">
        <is>
          <t>SUB-L3-12-30</t>
        </is>
      </c>
      <c r="B1107" s="39" t="inlineStr">
        <is>
          <t>3 уровень</t>
        </is>
      </c>
      <c r="C1107" s="34" t="inlineStr">
        <is>
          <t>Закрытые условия на абонементы</t>
        </is>
      </c>
      <c r="D1107" s="34" t="inlineStr">
        <is>
          <t>Скидка 30% на абонемент 12 занятий</t>
        </is>
      </c>
      <c r="E1107" s="34" t="inlineStr">
        <is>
          <t>При покупке абонемента на 12 занятий</t>
        </is>
      </c>
      <c r="F1107" s="147" t="inlineStr">
        <is>
          <t>FW-L3-D6J3V-22HYZ</t>
        </is>
      </c>
      <c r="G1107" s="39" t="inlineStr">
        <is>
          <t>Не использован</t>
        </is>
      </c>
      <c r="H1107" s="148" t="n"/>
      <c r="I1107" s="34" t="str"/>
      <c r="J1107" s="34" t="str"/>
      <c r="K1107" s="130" t="n">
        <v>103</v>
      </c>
      <c r="L1107" s="43">
        <f>IF(COUNTIF($F$5:$F$2407,F1107)=1,"OK","Дубликат")</f>
        <v/>
      </c>
    </row>
    <row r="1108" ht="38" customHeight="1">
      <c r="A1108" s="146" t="inlineStr">
        <is>
          <t>SUB-L3-12-30</t>
        </is>
      </c>
      <c r="B1108" s="39" t="inlineStr">
        <is>
          <t>3 уровень</t>
        </is>
      </c>
      <c r="C1108" s="34" t="inlineStr">
        <is>
          <t>Закрытые условия на абонементы</t>
        </is>
      </c>
      <c r="D1108" s="34" t="inlineStr">
        <is>
          <t>Скидка 30% на абонемент 12 занятий</t>
        </is>
      </c>
      <c r="E1108" s="34" t="inlineStr">
        <is>
          <t>При покупке абонемента на 12 занятий</t>
        </is>
      </c>
      <c r="F1108" s="147" t="inlineStr">
        <is>
          <t>FW-L3-HY9ZH-3X8JQ</t>
        </is>
      </c>
      <c r="G1108" s="39" t="inlineStr">
        <is>
          <t>Не использован</t>
        </is>
      </c>
      <c r="H1108" s="148" t="n"/>
      <c r="I1108" s="34" t="str"/>
      <c r="J1108" s="34" t="str"/>
      <c r="K1108" s="130" t="n">
        <v>104</v>
      </c>
      <c r="L1108" s="43">
        <f>IF(COUNTIF($F$5:$F$2407,F1108)=1,"OK","Дубликат")</f>
        <v/>
      </c>
    </row>
    <row r="1109" ht="38" customHeight="1">
      <c r="A1109" s="146" t="inlineStr">
        <is>
          <t>SUB-L3-12-30</t>
        </is>
      </c>
      <c r="B1109" s="39" t="inlineStr">
        <is>
          <t>3 уровень</t>
        </is>
      </c>
      <c r="C1109" s="34" t="inlineStr">
        <is>
          <t>Закрытые условия на абонементы</t>
        </is>
      </c>
      <c r="D1109" s="34" t="inlineStr">
        <is>
          <t>Скидка 30% на абонемент 12 занятий</t>
        </is>
      </c>
      <c r="E1109" s="34" t="inlineStr">
        <is>
          <t>При покупке абонемента на 12 занятий</t>
        </is>
      </c>
      <c r="F1109" s="147" t="inlineStr">
        <is>
          <t>FW-L3-PRUHK-8NQ5U</t>
        </is>
      </c>
      <c r="G1109" s="39" t="inlineStr">
        <is>
          <t>Не использован</t>
        </is>
      </c>
      <c r="H1109" s="148" t="n"/>
      <c r="I1109" s="34" t="str"/>
      <c r="J1109" s="34" t="str"/>
      <c r="K1109" s="130" t="n">
        <v>105</v>
      </c>
      <c r="L1109" s="43">
        <f>IF(COUNTIF($F$5:$F$2407,F1109)=1,"OK","Дубликат")</f>
        <v/>
      </c>
    </row>
    <row r="1110" ht="38" customHeight="1">
      <c r="A1110" s="146" t="inlineStr">
        <is>
          <t>SUB-L3-12-30</t>
        </is>
      </c>
      <c r="B1110" s="39" t="inlineStr">
        <is>
          <t>3 уровень</t>
        </is>
      </c>
      <c r="C1110" s="34" t="inlineStr">
        <is>
          <t>Закрытые условия на абонементы</t>
        </is>
      </c>
      <c r="D1110" s="34" t="inlineStr">
        <is>
          <t>Скидка 30% на абонемент 12 занятий</t>
        </is>
      </c>
      <c r="E1110" s="34" t="inlineStr">
        <is>
          <t>При покупке абонемента на 12 занятий</t>
        </is>
      </c>
      <c r="F1110" s="147" t="inlineStr">
        <is>
          <t>FW-L3-RSM6D-HYGVD</t>
        </is>
      </c>
      <c r="G1110" s="39" t="inlineStr">
        <is>
          <t>Не использован</t>
        </is>
      </c>
      <c r="H1110" s="148" t="n"/>
      <c r="I1110" s="34" t="str"/>
      <c r="J1110" s="34" t="str"/>
      <c r="K1110" s="130" t="n">
        <v>106</v>
      </c>
      <c r="L1110" s="43">
        <f>IF(COUNTIF($F$5:$F$2407,F1110)=1,"OK","Дубликат")</f>
        <v/>
      </c>
    </row>
    <row r="1111" ht="38" customHeight="1">
      <c r="A1111" s="146" t="inlineStr">
        <is>
          <t>SUB-L3-12-30</t>
        </is>
      </c>
      <c r="B1111" s="39" t="inlineStr">
        <is>
          <t>3 уровень</t>
        </is>
      </c>
      <c r="C1111" s="34" t="inlineStr">
        <is>
          <t>Закрытые условия на абонементы</t>
        </is>
      </c>
      <c r="D1111" s="34" t="inlineStr">
        <is>
          <t>Скидка 30% на абонемент 12 занятий</t>
        </is>
      </c>
      <c r="E1111" s="34" t="inlineStr">
        <is>
          <t>При покупке абонемента на 12 занятий</t>
        </is>
      </c>
      <c r="F1111" s="147" t="inlineStr">
        <is>
          <t>FW-L3-EVJDL-6U7QA</t>
        </is>
      </c>
      <c r="G1111" s="39" t="inlineStr">
        <is>
          <t>Не использован</t>
        </is>
      </c>
      <c r="H1111" s="148" t="n"/>
      <c r="I1111" s="34" t="str"/>
      <c r="J1111" s="34" t="str"/>
      <c r="K1111" s="130" t="n">
        <v>107</v>
      </c>
      <c r="L1111" s="43">
        <f>IF(COUNTIF($F$5:$F$2407,F1111)=1,"OK","Дубликат")</f>
        <v/>
      </c>
    </row>
    <row r="1112" ht="38" customHeight="1">
      <c r="A1112" s="146" t="inlineStr">
        <is>
          <t>SUB-L3-12-30</t>
        </is>
      </c>
      <c r="B1112" s="39" t="inlineStr">
        <is>
          <t>3 уровень</t>
        </is>
      </c>
      <c r="C1112" s="34" t="inlineStr">
        <is>
          <t>Закрытые условия на абонементы</t>
        </is>
      </c>
      <c r="D1112" s="34" t="inlineStr">
        <is>
          <t>Скидка 30% на абонемент 12 занятий</t>
        </is>
      </c>
      <c r="E1112" s="34" t="inlineStr">
        <is>
          <t>При покупке абонемента на 12 занятий</t>
        </is>
      </c>
      <c r="F1112" s="147" t="inlineStr">
        <is>
          <t>FW-L3-8BZVX-WZEUB</t>
        </is>
      </c>
      <c r="G1112" s="39" t="inlineStr">
        <is>
          <t>Не использован</t>
        </is>
      </c>
      <c r="H1112" s="148" t="n"/>
      <c r="I1112" s="34" t="str"/>
      <c r="J1112" s="34" t="str"/>
      <c r="K1112" s="130" t="n">
        <v>108</v>
      </c>
      <c r="L1112" s="43">
        <f>IF(COUNTIF($F$5:$F$2407,F1112)=1,"OK","Дубликат")</f>
        <v/>
      </c>
    </row>
    <row r="1113" ht="38" customHeight="1">
      <c r="A1113" s="146" t="inlineStr">
        <is>
          <t>SUB-L3-12-30</t>
        </is>
      </c>
      <c r="B1113" s="39" t="inlineStr">
        <is>
          <t>3 уровень</t>
        </is>
      </c>
      <c r="C1113" s="34" t="inlineStr">
        <is>
          <t>Закрытые условия на абонементы</t>
        </is>
      </c>
      <c r="D1113" s="34" t="inlineStr">
        <is>
          <t>Скидка 30% на абонемент 12 занятий</t>
        </is>
      </c>
      <c r="E1113" s="34" t="inlineStr">
        <is>
          <t>При покупке абонемента на 12 занятий</t>
        </is>
      </c>
      <c r="F1113" s="147" t="inlineStr">
        <is>
          <t>FW-L3-V7K3P-4KJ92</t>
        </is>
      </c>
      <c r="G1113" s="39" t="inlineStr">
        <is>
          <t>Не использован</t>
        </is>
      </c>
      <c r="H1113" s="148" t="n"/>
      <c r="I1113" s="34" t="str"/>
      <c r="J1113" s="34" t="str"/>
      <c r="K1113" s="130" t="n">
        <v>109</v>
      </c>
      <c r="L1113" s="43">
        <f>IF(COUNTIF($F$5:$F$2407,F1113)=1,"OK","Дубликат")</f>
        <v/>
      </c>
    </row>
    <row r="1114" ht="38" customHeight="1">
      <c r="A1114" s="146" t="inlineStr">
        <is>
          <t>SUB-L3-12-30</t>
        </is>
      </c>
      <c r="B1114" s="39" t="inlineStr">
        <is>
          <t>3 уровень</t>
        </is>
      </c>
      <c r="C1114" s="34" t="inlineStr">
        <is>
          <t>Закрытые условия на абонементы</t>
        </is>
      </c>
      <c r="D1114" s="34" t="inlineStr">
        <is>
          <t>Скидка 30% на абонемент 12 занятий</t>
        </is>
      </c>
      <c r="E1114" s="34" t="inlineStr">
        <is>
          <t>При покупке абонемента на 12 занятий</t>
        </is>
      </c>
      <c r="F1114" s="147" t="inlineStr">
        <is>
          <t>FW-L3-8MCR6-VRZFK</t>
        </is>
      </c>
      <c r="G1114" s="39" t="inlineStr">
        <is>
          <t>Не использован</t>
        </is>
      </c>
      <c r="H1114" s="148" t="n"/>
      <c r="I1114" s="34" t="str"/>
      <c r="J1114" s="34" t="str"/>
      <c r="K1114" s="130" t="n">
        <v>110</v>
      </c>
      <c r="L1114" s="43">
        <f>IF(COUNTIF($F$5:$F$2407,F1114)=1,"OK","Дубликат")</f>
        <v/>
      </c>
    </row>
    <row r="1115" ht="38" customHeight="1">
      <c r="A1115" s="146" t="inlineStr">
        <is>
          <t>SUB-L3-12-30</t>
        </is>
      </c>
      <c r="B1115" s="39" t="inlineStr">
        <is>
          <t>3 уровень</t>
        </is>
      </c>
      <c r="C1115" s="34" t="inlineStr">
        <is>
          <t>Закрытые условия на абонементы</t>
        </is>
      </c>
      <c r="D1115" s="34" t="inlineStr">
        <is>
          <t>Скидка 30% на абонемент 12 занятий</t>
        </is>
      </c>
      <c r="E1115" s="34" t="inlineStr">
        <is>
          <t>При покупке абонемента на 12 занятий</t>
        </is>
      </c>
      <c r="F1115" s="147" t="inlineStr">
        <is>
          <t>FW-L3-YXXZM-YS498</t>
        </is>
      </c>
      <c r="G1115" s="39" t="inlineStr">
        <is>
          <t>Не использован</t>
        </is>
      </c>
      <c r="H1115" s="148" t="n"/>
      <c r="I1115" s="34" t="str"/>
      <c r="J1115" s="34" t="str"/>
      <c r="K1115" s="130" t="n">
        <v>111</v>
      </c>
      <c r="L1115" s="43">
        <f>IF(COUNTIF($F$5:$F$2407,F1115)=1,"OK","Дубликат")</f>
        <v/>
      </c>
    </row>
    <row r="1116" ht="38" customHeight="1">
      <c r="A1116" s="146" t="inlineStr">
        <is>
          <t>SUB-L3-12-30</t>
        </is>
      </c>
      <c r="B1116" s="39" t="inlineStr">
        <is>
          <t>3 уровень</t>
        </is>
      </c>
      <c r="C1116" s="34" t="inlineStr">
        <is>
          <t>Закрытые условия на абонементы</t>
        </is>
      </c>
      <c r="D1116" s="34" t="inlineStr">
        <is>
          <t>Скидка 30% на абонемент 12 занятий</t>
        </is>
      </c>
      <c r="E1116" s="34" t="inlineStr">
        <is>
          <t>При покупке абонемента на 12 занятий</t>
        </is>
      </c>
      <c r="F1116" s="147" t="inlineStr">
        <is>
          <t>FW-L3-HBCGZ-QWGFD</t>
        </is>
      </c>
      <c r="G1116" s="39" t="inlineStr">
        <is>
          <t>Не использован</t>
        </is>
      </c>
      <c r="H1116" s="148" t="n"/>
      <c r="I1116" s="34" t="str"/>
      <c r="J1116" s="34" t="str"/>
      <c r="K1116" s="130" t="n">
        <v>112</v>
      </c>
      <c r="L1116" s="43">
        <f>IF(COUNTIF($F$5:$F$2407,F1116)=1,"OK","Дубликат")</f>
        <v/>
      </c>
    </row>
    <row r="1117" ht="38" customHeight="1">
      <c r="A1117" s="146" t="inlineStr">
        <is>
          <t>SUB-L3-12-30</t>
        </is>
      </c>
      <c r="B1117" s="39" t="inlineStr">
        <is>
          <t>3 уровень</t>
        </is>
      </c>
      <c r="C1117" s="34" t="inlineStr">
        <is>
          <t>Закрытые условия на абонементы</t>
        </is>
      </c>
      <c r="D1117" s="34" t="inlineStr">
        <is>
          <t>Скидка 30% на абонемент 12 занятий</t>
        </is>
      </c>
      <c r="E1117" s="34" t="inlineStr">
        <is>
          <t>При покупке абонемента на 12 занятий</t>
        </is>
      </c>
      <c r="F1117" s="147" t="inlineStr">
        <is>
          <t>FW-L3-5E3JJ-59M4W</t>
        </is>
      </c>
      <c r="G1117" s="39" t="inlineStr">
        <is>
          <t>Не использован</t>
        </is>
      </c>
      <c r="H1117" s="148" t="n"/>
      <c r="I1117" s="34" t="str"/>
      <c r="J1117" s="34" t="str"/>
      <c r="K1117" s="130" t="n">
        <v>113</v>
      </c>
      <c r="L1117" s="43">
        <f>IF(COUNTIF($F$5:$F$2407,F1117)=1,"OK","Дубликат")</f>
        <v/>
      </c>
    </row>
    <row r="1118" ht="38" customHeight="1">
      <c r="A1118" s="146" t="inlineStr">
        <is>
          <t>SUB-L3-12-30</t>
        </is>
      </c>
      <c r="B1118" s="39" t="inlineStr">
        <is>
          <t>3 уровень</t>
        </is>
      </c>
      <c r="C1118" s="34" t="inlineStr">
        <is>
          <t>Закрытые условия на абонементы</t>
        </is>
      </c>
      <c r="D1118" s="34" t="inlineStr">
        <is>
          <t>Скидка 30% на абонемент 12 занятий</t>
        </is>
      </c>
      <c r="E1118" s="34" t="inlineStr">
        <is>
          <t>При покупке абонемента на 12 занятий</t>
        </is>
      </c>
      <c r="F1118" s="147" t="inlineStr">
        <is>
          <t>FW-L3-Q7PZT-9NXRD</t>
        </is>
      </c>
      <c r="G1118" s="39" t="inlineStr">
        <is>
          <t>Не использован</t>
        </is>
      </c>
      <c r="H1118" s="148" t="n"/>
      <c r="I1118" s="34" t="str"/>
      <c r="J1118" s="34" t="str"/>
      <c r="K1118" s="130" t="n">
        <v>114</v>
      </c>
      <c r="L1118" s="43">
        <f>IF(COUNTIF($F$5:$F$2407,F1118)=1,"OK","Дубликат")</f>
        <v/>
      </c>
    </row>
    <row r="1119" ht="38" customHeight="1">
      <c r="A1119" s="146" t="inlineStr">
        <is>
          <t>SUB-L3-12-30</t>
        </is>
      </c>
      <c r="B1119" s="39" t="inlineStr">
        <is>
          <t>3 уровень</t>
        </is>
      </c>
      <c r="C1119" s="34" t="inlineStr">
        <is>
          <t>Закрытые условия на абонементы</t>
        </is>
      </c>
      <c r="D1119" s="34" t="inlineStr">
        <is>
          <t>Скидка 30% на абонемент 12 занятий</t>
        </is>
      </c>
      <c r="E1119" s="34" t="inlineStr">
        <is>
          <t>При покупке абонемента на 12 занятий</t>
        </is>
      </c>
      <c r="F1119" s="147" t="inlineStr">
        <is>
          <t>FW-L3-2FJSK-TXRX2</t>
        </is>
      </c>
      <c r="G1119" s="39" t="inlineStr">
        <is>
          <t>Не использован</t>
        </is>
      </c>
      <c r="H1119" s="148" t="n"/>
      <c r="I1119" s="34" t="str"/>
      <c r="J1119" s="34" t="str"/>
      <c r="K1119" s="130" t="n">
        <v>115</v>
      </c>
      <c r="L1119" s="43">
        <f>IF(COUNTIF($F$5:$F$2407,F1119)=1,"OK","Дубликат")</f>
        <v/>
      </c>
    </row>
    <row r="1120" ht="38" customHeight="1">
      <c r="A1120" s="146" t="inlineStr">
        <is>
          <t>SUB-L3-12-30</t>
        </is>
      </c>
      <c r="B1120" s="39" t="inlineStr">
        <is>
          <t>3 уровень</t>
        </is>
      </c>
      <c r="C1120" s="34" t="inlineStr">
        <is>
          <t>Закрытые условия на абонементы</t>
        </is>
      </c>
      <c r="D1120" s="34" t="inlineStr">
        <is>
          <t>Скидка 30% на абонемент 12 занятий</t>
        </is>
      </c>
      <c r="E1120" s="34" t="inlineStr">
        <is>
          <t>При покупке абонемента на 12 занятий</t>
        </is>
      </c>
      <c r="F1120" s="147" t="inlineStr">
        <is>
          <t>FW-L3-VMVWR-KXWFX</t>
        </is>
      </c>
      <c r="G1120" s="39" t="inlineStr">
        <is>
          <t>Не использован</t>
        </is>
      </c>
      <c r="H1120" s="148" t="n"/>
      <c r="I1120" s="34" t="str"/>
      <c r="J1120" s="34" t="str"/>
      <c r="K1120" s="130" t="n">
        <v>116</v>
      </c>
      <c r="L1120" s="43">
        <f>IF(COUNTIF($F$5:$F$2407,F1120)=1,"OK","Дубликат")</f>
        <v/>
      </c>
    </row>
    <row r="1121" ht="38" customHeight="1">
      <c r="A1121" s="146" t="inlineStr">
        <is>
          <t>SUB-L3-12-30</t>
        </is>
      </c>
      <c r="B1121" s="39" t="inlineStr">
        <is>
          <t>3 уровень</t>
        </is>
      </c>
      <c r="C1121" s="34" t="inlineStr">
        <is>
          <t>Закрытые условия на абонементы</t>
        </is>
      </c>
      <c r="D1121" s="34" t="inlineStr">
        <is>
          <t>Скидка 30% на абонемент 12 занятий</t>
        </is>
      </c>
      <c r="E1121" s="34" t="inlineStr">
        <is>
          <t>При покупке абонемента на 12 занятий</t>
        </is>
      </c>
      <c r="F1121" s="147" t="inlineStr">
        <is>
          <t>FW-L3-YHZLL-H6N8W</t>
        </is>
      </c>
      <c r="G1121" s="39" t="inlineStr">
        <is>
          <t>Не использован</t>
        </is>
      </c>
      <c r="H1121" s="148" t="n"/>
      <c r="I1121" s="34" t="str"/>
      <c r="J1121" s="34" t="str"/>
      <c r="K1121" s="130" t="n">
        <v>117</v>
      </c>
      <c r="L1121" s="43">
        <f>IF(COUNTIF($F$5:$F$2407,F1121)=1,"OK","Дубликат")</f>
        <v/>
      </c>
    </row>
    <row r="1122" ht="38" customHeight="1">
      <c r="A1122" s="146" t="inlineStr">
        <is>
          <t>SUB-L3-12-30</t>
        </is>
      </c>
      <c r="B1122" s="39" t="inlineStr">
        <is>
          <t>3 уровень</t>
        </is>
      </c>
      <c r="C1122" s="34" t="inlineStr">
        <is>
          <t>Закрытые условия на абонементы</t>
        </is>
      </c>
      <c r="D1122" s="34" t="inlineStr">
        <is>
          <t>Скидка 30% на абонемент 12 занятий</t>
        </is>
      </c>
      <c r="E1122" s="34" t="inlineStr">
        <is>
          <t>При покупке абонемента на 12 занятий</t>
        </is>
      </c>
      <c r="F1122" s="147" t="inlineStr">
        <is>
          <t>FW-L3-GRZPQ-2DFUE</t>
        </is>
      </c>
      <c r="G1122" s="39" t="inlineStr">
        <is>
          <t>Не использован</t>
        </is>
      </c>
      <c r="H1122" s="148" t="n"/>
      <c r="I1122" s="34" t="str"/>
      <c r="J1122" s="34" t="str"/>
      <c r="K1122" s="130" t="n">
        <v>118</v>
      </c>
      <c r="L1122" s="43">
        <f>IF(COUNTIF($F$5:$F$2407,F1122)=1,"OK","Дубликат")</f>
        <v/>
      </c>
    </row>
    <row r="1123" ht="38" customHeight="1">
      <c r="A1123" s="146" t="inlineStr">
        <is>
          <t>SUB-L3-12-30</t>
        </is>
      </c>
      <c r="B1123" s="39" t="inlineStr">
        <is>
          <t>3 уровень</t>
        </is>
      </c>
      <c r="C1123" s="34" t="inlineStr">
        <is>
          <t>Закрытые условия на абонементы</t>
        </is>
      </c>
      <c r="D1123" s="34" t="inlineStr">
        <is>
          <t>Скидка 30% на абонемент 12 занятий</t>
        </is>
      </c>
      <c r="E1123" s="34" t="inlineStr">
        <is>
          <t>При покупке абонемента на 12 занятий</t>
        </is>
      </c>
      <c r="F1123" s="147" t="inlineStr">
        <is>
          <t>FW-L3-DA8LB-D6D66</t>
        </is>
      </c>
      <c r="G1123" s="39" t="inlineStr">
        <is>
          <t>Не использован</t>
        </is>
      </c>
      <c r="H1123" s="148" t="n"/>
      <c r="I1123" s="34" t="str"/>
      <c r="J1123" s="34" t="str"/>
      <c r="K1123" s="130" t="n">
        <v>119</v>
      </c>
      <c r="L1123" s="43">
        <f>IF(COUNTIF($F$5:$F$2407,F1123)=1,"OK","Дубликат")</f>
        <v/>
      </c>
    </row>
    <row r="1124" ht="38" customHeight="1">
      <c r="A1124" s="146" t="inlineStr">
        <is>
          <t>SUB-L3-12-30</t>
        </is>
      </c>
      <c r="B1124" s="39" t="inlineStr">
        <is>
          <t>3 уровень</t>
        </is>
      </c>
      <c r="C1124" s="34" t="inlineStr">
        <is>
          <t>Закрытые условия на абонементы</t>
        </is>
      </c>
      <c r="D1124" s="34" t="inlineStr">
        <is>
          <t>Скидка 30% на абонемент 12 занятий</t>
        </is>
      </c>
      <c r="E1124" s="34" t="inlineStr">
        <is>
          <t>При покупке абонемента на 12 занятий</t>
        </is>
      </c>
      <c r="F1124" s="147" t="inlineStr">
        <is>
          <t>FW-L3-W7TRD-LQEX4</t>
        </is>
      </c>
      <c r="G1124" s="39" t="inlineStr">
        <is>
          <t>Не использован</t>
        </is>
      </c>
      <c r="H1124" s="148" t="n"/>
      <c r="I1124" s="34" t="str"/>
      <c r="J1124" s="34" t="str"/>
      <c r="K1124" s="130" t="n">
        <v>120</v>
      </c>
      <c r="L1124" s="43">
        <f>IF(COUNTIF($F$5:$F$2407,F1124)=1,"OK","Дубликат")</f>
        <v/>
      </c>
    </row>
    <row r="1125" ht="38" customHeight="1">
      <c r="A1125" s="146" t="inlineStr">
        <is>
          <t>SUB-L3-12-30</t>
        </is>
      </c>
      <c r="B1125" s="39" t="inlineStr">
        <is>
          <t>3 уровень</t>
        </is>
      </c>
      <c r="C1125" s="34" t="inlineStr">
        <is>
          <t>Закрытые условия на абонементы</t>
        </is>
      </c>
      <c r="D1125" s="34" t="inlineStr">
        <is>
          <t>Скидка 30% на абонемент 12 занятий</t>
        </is>
      </c>
      <c r="E1125" s="34" t="inlineStr">
        <is>
          <t>При покупке абонемента на 12 занятий</t>
        </is>
      </c>
      <c r="F1125" s="147" t="inlineStr">
        <is>
          <t>FW-L3-Q3PW8-28XZY</t>
        </is>
      </c>
      <c r="G1125" s="39" t="inlineStr">
        <is>
          <t>Не использован</t>
        </is>
      </c>
      <c r="H1125" s="148" t="n"/>
      <c r="I1125" s="34" t="str"/>
      <c r="J1125" s="34" t="str"/>
      <c r="K1125" s="130" t="n">
        <v>121</v>
      </c>
      <c r="L1125" s="43">
        <f>IF(COUNTIF($F$5:$F$2407,F1125)=1,"OK","Дубликат")</f>
        <v/>
      </c>
    </row>
    <row r="1126" ht="38" customHeight="1">
      <c r="A1126" s="146" t="inlineStr">
        <is>
          <t>SUB-L3-12-30</t>
        </is>
      </c>
      <c r="B1126" s="39" t="inlineStr">
        <is>
          <t>3 уровень</t>
        </is>
      </c>
      <c r="C1126" s="34" t="inlineStr">
        <is>
          <t>Закрытые условия на абонементы</t>
        </is>
      </c>
      <c r="D1126" s="34" t="inlineStr">
        <is>
          <t>Скидка 30% на абонемент 12 занятий</t>
        </is>
      </c>
      <c r="E1126" s="34" t="inlineStr">
        <is>
          <t>При покупке абонемента на 12 занятий</t>
        </is>
      </c>
      <c r="F1126" s="147" t="inlineStr">
        <is>
          <t>FW-L3-Q6X9L-F8D5A</t>
        </is>
      </c>
      <c r="G1126" s="39" t="inlineStr">
        <is>
          <t>Не использован</t>
        </is>
      </c>
      <c r="H1126" s="148" t="n"/>
      <c r="I1126" s="34" t="str"/>
      <c r="J1126" s="34" t="str"/>
      <c r="K1126" s="130" t="n">
        <v>122</v>
      </c>
      <c r="L1126" s="43">
        <f>IF(COUNTIF($F$5:$F$2407,F1126)=1,"OK","Дубликат")</f>
        <v/>
      </c>
    </row>
    <row r="1127" ht="38" customHeight="1">
      <c r="A1127" s="146" t="inlineStr">
        <is>
          <t>SUB-L3-12-30</t>
        </is>
      </c>
      <c r="B1127" s="39" t="inlineStr">
        <is>
          <t>3 уровень</t>
        </is>
      </c>
      <c r="C1127" s="34" t="inlineStr">
        <is>
          <t>Закрытые условия на абонементы</t>
        </is>
      </c>
      <c r="D1127" s="34" t="inlineStr">
        <is>
          <t>Скидка 30% на абонемент 12 занятий</t>
        </is>
      </c>
      <c r="E1127" s="34" t="inlineStr">
        <is>
          <t>При покупке абонемента на 12 занятий</t>
        </is>
      </c>
      <c r="F1127" s="147" t="inlineStr">
        <is>
          <t>FW-L3-MYA2J-XVPCZ</t>
        </is>
      </c>
      <c r="G1127" s="39" t="inlineStr">
        <is>
          <t>Не использован</t>
        </is>
      </c>
      <c r="H1127" s="148" t="n"/>
      <c r="I1127" s="34" t="str"/>
      <c r="J1127" s="34" t="str"/>
      <c r="K1127" s="130" t="n">
        <v>123</v>
      </c>
      <c r="L1127" s="43">
        <f>IF(COUNTIF($F$5:$F$2407,F1127)=1,"OK","Дубликат")</f>
        <v/>
      </c>
    </row>
    <row r="1128" ht="38" customHeight="1">
      <c r="A1128" s="146" t="inlineStr">
        <is>
          <t>SUB-L3-12-30</t>
        </is>
      </c>
      <c r="B1128" s="39" t="inlineStr">
        <is>
          <t>3 уровень</t>
        </is>
      </c>
      <c r="C1128" s="34" t="inlineStr">
        <is>
          <t>Закрытые условия на абонементы</t>
        </is>
      </c>
      <c r="D1128" s="34" t="inlineStr">
        <is>
          <t>Скидка 30% на абонемент 12 занятий</t>
        </is>
      </c>
      <c r="E1128" s="34" t="inlineStr">
        <is>
          <t>При покупке абонемента на 12 занятий</t>
        </is>
      </c>
      <c r="F1128" s="147" t="inlineStr">
        <is>
          <t>FW-L3-3SMYD-8SBJT</t>
        </is>
      </c>
      <c r="G1128" s="39" t="inlineStr">
        <is>
          <t>Не использован</t>
        </is>
      </c>
      <c r="H1128" s="148" t="n"/>
      <c r="I1128" s="34" t="str"/>
      <c r="J1128" s="34" t="str"/>
      <c r="K1128" s="130" t="n">
        <v>124</v>
      </c>
      <c r="L1128" s="43">
        <f>IF(COUNTIF($F$5:$F$2407,F1128)=1,"OK","Дубликат")</f>
        <v/>
      </c>
    </row>
    <row r="1129" ht="38" customHeight="1">
      <c r="A1129" s="146" t="inlineStr">
        <is>
          <t>SUB-L3-12-30</t>
        </is>
      </c>
      <c r="B1129" s="39" t="inlineStr">
        <is>
          <t>3 уровень</t>
        </is>
      </c>
      <c r="C1129" s="34" t="inlineStr">
        <is>
          <t>Закрытые условия на абонементы</t>
        </is>
      </c>
      <c r="D1129" s="34" t="inlineStr">
        <is>
          <t>Скидка 30% на абонемент 12 занятий</t>
        </is>
      </c>
      <c r="E1129" s="34" t="inlineStr">
        <is>
          <t>При покупке абонемента на 12 занятий</t>
        </is>
      </c>
      <c r="F1129" s="147" t="inlineStr">
        <is>
          <t>FW-L3-Y4WXE-TJMMC</t>
        </is>
      </c>
      <c r="G1129" s="39" t="inlineStr">
        <is>
          <t>Не использован</t>
        </is>
      </c>
      <c r="H1129" s="148" t="n"/>
      <c r="I1129" s="34" t="str"/>
      <c r="J1129" s="34" t="str"/>
      <c r="K1129" s="130" t="n">
        <v>125</v>
      </c>
      <c r="L1129" s="43">
        <f>IF(COUNTIF($F$5:$F$2407,F1129)=1,"OK","Дубликат")</f>
        <v/>
      </c>
    </row>
    <row r="1130" ht="38" customHeight="1">
      <c r="A1130" s="146" t="inlineStr">
        <is>
          <t>SUB-L3-12-30</t>
        </is>
      </c>
      <c r="B1130" s="39" t="inlineStr">
        <is>
          <t>3 уровень</t>
        </is>
      </c>
      <c r="C1130" s="34" t="inlineStr">
        <is>
          <t>Закрытые условия на абонементы</t>
        </is>
      </c>
      <c r="D1130" s="34" t="inlineStr">
        <is>
          <t>Скидка 30% на абонемент 12 занятий</t>
        </is>
      </c>
      <c r="E1130" s="34" t="inlineStr">
        <is>
          <t>При покупке абонемента на 12 занятий</t>
        </is>
      </c>
      <c r="F1130" s="147" t="inlineStr">
        <is>
          <t>FW-L3-4EBQC-PBJBU</t>
        </is>
      </c>
      <c r="G1130" s="39" t="inlineStr">
        <is>
          <t>Не использован</t>
        </is>
      </c>
      <c r="H1130" s="148" t="n"/>
      <c r="I1130" s="34" t="str"/>
      <c r="J1130" s="34" t="str"/>
      <c r="K1130" s="130" t="n">
        <v>126</v>
      </c>
      <c r="L1130" s="43">
        <f>IF(COUNTIF($F$5:$F$2407,F1130)=1,"OK","Дубликат")</f>
        <v/>
      </c>
    </row>
    <row r="1131" ht="38" customHeight="1">
      <c r="A1131" s="146" t="inlineStr">
        <is>
          <t>SUB-L3-12-30</t>
        </is>
      </c>
      <c r="B1131" s="39" t="inlineStr">
        <is>
          <t>3 уровень</t>
        </is>
      </c>
      <c r="C1131" s="34" t="inlineStr">
        <is>
          <t>Закрытые условия на абонементы</t>
        </is>
      </c>
      <c r="D1131" s="34" t="inlineStr">
        <is>
          <t>Скидка 30% на абонемент 12 занятий</t>
        </is>
      </c>
      <c r="E1131" s="34" t="inlineStr">
        <is>
          <t>При покупке абонемента на 12 занятий</t>
        </is>
      </c>
      <c r="F1131" s="147" t="inlineStr">
        <is>
          <t>FW-L3-ETMX6-EM4VY</t>
        </is>
      </c>
      <c r="G1131" s="39" t="inlineStr">
        <is>
          <t>Не использован</t>
        </is>
      </c>
      <c r="H1131" s="148" t="n"/>
      <c r="I1131" s="34" t="str"/>
      <c r="J1131" s="34" t="str"/>
      <c r="K1131" s="130" t="n">
        <v>127</v>
      </c>
      <c r="L1131" s="43">
        <f>IF(COUNTIF($F$5:$F$2407,F1131)=1,"OK","Дубликат")</f>
        <v/>
      </c>
    </row>
    <row r="1132" ht="38" customHeight="1">
      <c r="A1132" s="146" t="inlineStr">
        <is>
          <t>SUB-L3-12-30</t>
        </is>
      </c>
      <c r="B1132" s="39" t="inlineStr">
        <is>
          <t>3 уровень</t>
        </is>
      </c>
      <c r="C1132" s="34" t="inlineStr">
        <is>
          <t>Закрытые условия на абонементы</t>
        </is>
      </c>
      <c r="D1132" s="34" t="inlineStr">
        <is>
          <t>Скидка 30% на абонемент 12 занятий</t>
        </is>
      </c>
      <c r="E1132" s="34" t="inlineStr">
        <is>
          <t>При покупке абонемента на 12 занятий</t>
        </is>
      </c>
      <c r="F1132" s="147" t="inlineStr">
        <is>
          <t>FW-L3-WFRJT-RZ8VU</t>
        </is>
      </c>
      <c r="G1132" s="39" t="inlineStr">
        <is>
          <t>Не использован</t>
        </is>
      </c>
      <c r="H1132" s="148" t="n"/>
      <c r="I1132" s="34" t="str"/>
      <c r="J1132" s="34" t="str"/>
      <c r="K1132" s="130" t="n">
        <v>128</v>
      </c>
      <c r="L1132" s="43">
        <f>IF(COUNTIF($F$5:$F$2407,F1132)=1,"OK","Дубликат")</f>
        <v/>
      </c>
    </row>
    <row r="1133" ht="38" customHeight="1">
      <c r="A1133" s="146" t="inlineStr">
        <is>
          <t>SUB-L3-12-30</t>
        </is>
      </c>
      <c r="B1133" s="39" t="inlineStr">
        <is>
          <t>3 уровень</t>
        </is>
      </c>
      <c r="C1133" s="34" t="inlineStr">
        <is>
          <t>Закрытые условия на абонементы</t>
        </is>
      </c>
      <c r="D1133" s="34" t="inlineStr">
        <is>
          <t>Скидка 30% на абонемент 12 занятий</t>
        </is>
      </c>
      <c r="E1133" s="34" t="inlineStr">
        <is>
          <t>При покупке абонемента на 12 занятий</t>
        </is>
      </c>
      <c r="F1133" s="147" t="inlineStr">
        <is>
          <t>FW-L3-VTSVB-RF8DX</t>
        </is>
      </c>
      <c r="G1133" s="39" t="inlineStr">
        <is>
          <t>Не использован</t>
        </is>
      </c>
      <c r="H1133" s="148" t="n"/>
      <c r="I1133" s="34" t="str"/>
      <c r="J1133" s="34" t="str"/>
      <c r="K1133" s="130" t="n">
        <v>129</v>
      </c>
      <c r="L1133" s="43">
        <f>IF(COUNTIF($F$5:$F$2407,F1133)=1,"OK","Дубликат")</f>
        <v/>
      </c>
    </row>
    <row r="1134" ht="38" customHeight="1">
      <c r="A1134" s="146" t="inlineStr">
        <is>
          <t>SUB-L3-12-30</t>
        </is>
      </c>
      <c r="B1134" s="39" t="inlineStr">
        <is>
          <t>3 уровень</t>
        </is>
      </c>
      <c r="C1134" s="34" t="inlineStr">
        <is>
          <t>Закрытые условия на абонементы</t>
        </is>
      </c>
      <c r="D1134" s="34" t="inlineStr">
        <is>
          <t>Скидка 30% на абонемент 12 занятий</t>
        </is>
      </c>
      <c r="E1134" s="34" t="inlineStr">
        <is>
          <t>При покупке абонемента на 12 занятий</t>
        </is>
      </c>
      <c r="F1134" s="147" t="inlineStr">
        <is>
          <t>FW-L3-4GV6D-N8AHB</t>
        </is>
      </c>
      <c r="G1134" s="39" t="inlineStr">
        <is>
          <t>Не использован</t>
        </is>
      </c>
      <c r="H1134" s="148" t="n"/>
      <c r="I1134" s="34" t="str"/>
      <c r="J1134" s="34" t="str"/>
      <c r="K1134" s="130" t="n">
        <v>130</v>
      </c>
      <c r="L1134" s="43">
        <f>IF(COUNTIF($F$5:$F$2407,F1134)=1,"OK","Дубликат")</f>
        <v/>
      </c>
    </row>
    <row r="1135" ht="38" customHeight="1">
      <c r="A1135" s="146" t="inlineStr">
        <is>
          <t>SUB-L3-12-30</t>
        </is>
      </c>
      <c r="B1135" s="39" t="inlineStr">
        <is>
          <t>3 уровень</t>
        </is>
      </c>
      <c r="C1135" s="34" t="inlineStr">
        <is>
          <t>Закрытые условия на абонементы</t>
        </is>
      </c>
      <c r="D1135" s="34" t="inlineStr">
        <is>
          <t>Скидка 30% на абонемент 12 занятий</t>
        </is>
      </c>
      <c r="E1135" s="34" t="inlineStr">
        <is>
          <t>При покупке абонемента на 12 занятий</t>
        </is>
      </c>
      <c r="F1135" s="147" t="inlineStr">
        <is>
          <t>FW-L3-5PUMN-HERDB</t>
        </is>
      </c>
      <c r="G1135" s="39" t="inlineStr">
        <is>
          <t>Не использован</t>
        </is>
      </c>
      <c r="H1135" s="148" t="n"/>
      <c r="I1135" s="34" t="str"/>
      <c r="J1135" s="34" t="str"/>
      <c r="K1135" s="130" t="n">
        <v>131</v>
      </c>
      <c r="L1135" s="43">
        <f>IF(COUNTIF($F$5:$F$2407,F1135)=1,"OK","Дубликат")</f>
        <v/>
      </c>
    </row>
    <row r="1136" ht="38" customHeight="1">
      <c r="A1136" s="146" t="inlineStr">
        <is>
          <t>SUB-L3-12-30</t>
        </is>
      </c>
      <c r="B1136" s="39" t="inlineStr">
        <is>
          <t>3 уровень</t>
        </is>
      </c>
      <c r="C1136" s="34" t="inlineStr">
        <is>
          <t>Закрытые условия на абонементы</t>
        </is>
      </c>
      <c r="D1136" s="34" t="inlineStr">
        <is>
          <t>Скидка 30% на абонемент 12 занятий</t>
        </is>
      </c>
      <c r="E1136" s="34" t="inlineStr">
        <is>
          <t>При покупке абонемента на 12 занятий</t>
        </is>
      </c>
      <c r="F1136" s="147" t="inlineStr">
        <is>
          <t>FW-L3-SFFX8-PNYFL</t>
        </is>
      </c>
      <c r="G1136" s="39" t="inlineStr">
        <is>
          <t>Не использован</t>
        </is>
      </c>
      <c r="H1136" s="148" t="n"/>
      <c r="I1136" s="34" t="str"/>
      <c r="J1136" s="34" t="str"/>
      <c r="K1136" s="130" t="n">
        <v>132</v>
      </c>
      <c r="L1136" s="43">
        <f>IF(COUNTIF($F$5:$F$2407,F1136)=1,"OK","Дубликат")</f>
        <v/>
      </c>
    </row>
    <row r="1137" ht="38" customHeight="1">
      <c r="A1137" s="146" t="inlineStr">
        <is>
          <t>SUB-L3-12-30</t>
        </is>
      </c>
      <c r="B1137" s="39" t="inlineStr">
        <is>
          <t>3 уровень</t>
        </is>
      </c>
      <c r="C1137" s="34" t="inlineStr">
        <is>
          <t>Закрытые условия на абонементы</t>
        </is>
      </c>
      <c r="D1137" s="34" t="inlineStr">
        <is>
          <t>Скидка 30% на абонемент 12 занятий</t>
        </is>
      </c>
      <c r="E1137" s="34" t="inlineStr">
        <is>
          <t>При покупке абонемента на 12 занятий</t>
        </is>
      </c>
      <c r="F1137" s="147" t="inlineStr">
        <is>
          <t>FW-L3-L3E6Z-NQJRQ</t>
        </is>
      </c>
      <c r="G1137" s="39" t="inlineStr">
        <is>
          <t>Не использован</t>
        </is>
      </c>
      <c r="H1137" s="148" t="n"/>
      <c r="I1137" s="34" t="str"/>
      <c r="J1137" s="34" t="str"/>
      <c r="K1137" s="130" t="n">
        <v>133</v>
      </c>
      <c r="L1137" s="43">
        <f>IF(COUNTIF($F$5:$F$2407,F1137)=1,"OK","Дубликат")</f>
        <v/>
      </c>
    </row>
    <row r="1138" ht="38" customHeight="1">
      <c r="A1138" s="146" t="inlineStr">
        <is>
          <t>SUB-L3-12-30</t>
        </is>
      </c>
      <c r="B1138" s="39" t="inlineStr">
        <is>
          <t>3 уровень</t>
        </is>
      </c>
      <c r="C1138" s="34" t="inlineStr">
        <is>
          <t>Закрытые условия на абонементы</t>
        </is>
      </c>
      <c r="D1138" s="34" t="inlineStr">
        <is>
          <t>Скидка 30% на абонемент 12 занятий</t>
        </is>
      </c>
      <c r="E1138" s="34" t="inlineStr">
        <is>
          <t>При покупке абонемента на 12 занятий</t>
        </is>
      </c>
      <c r="F1138" s="147" t="inlineStr">
        <is>
          <t>FW-L3-P4589-YWXCG</t>
        </is>
      </c>
      <c r="G1138" s="39" t="inlineStr">
        <is>
          <t>Не использован</t>
        </is>
      </c>
      <c r="H1138" s="148" t="n"/>
      <c r="I1138" s="34" t="str"/>
      <c r="J1138" s="34" t="str"/>
      <c r="K1138" s="130" t="n">
        <v>134</v>
      </c>
      <c r="L1138" s="43">
        <f>IF(COUNTIF($F$5:$F$2407,F1138)=1,"OK","Дубликат")</f>
        <v/>
      </c>
    </row>
    <row r="1139" ht="38" customHeight="1">
      <c r="A1139" s="146" t="inlineStr">
        <is>
          <t>SUB-L3-12-30</t>
        </is>
      </c>
      <c r="B1139" s="39" t="inlineStr">
        <is>
          <t>3 уровень</t>
        </is>
      </c>
      <c r="C1139" s="34" t="inlineStr">
        <is>
          <t>Закрытые условия на абонементы</t>
        </is>
      </c>
      <c r="D1139" s="34" t="inlineStr">
        <is>
          <t>Скидка 30% на абонемент 12 занятий</t>
        </is>
      </c>
      <c r="E1139" s="34" t="inlineStr">
        <is>
          <t>При покупке абонемента на 12 занятий</t>
        </is>
      </c>
      <c r="F1139" s="147" t="inlineStr">
        <is>
          <t>FW-L3-TMQSQ-VJYUN</t>
        </is>
      </c>
      <c r="G1139" s="39" t="inlineStr">
        <is>
          <t>Не использован</t>
        </is>
      </c>
      <c r="H1139" s="148" t="n"/>
      <c r="I1139" s="34" t="str"/>
      <c r="J1139" s="34" t="str"/>
      <c r="K1139" s="130" t="n">
        <v>135</v>
      </c>
      <c r="L1139" s="43">
        <f>IF(COUNTIF($F$5:$F$2407,F1139)=1,"OK","Дубликат")</f>
        <v/>
      </c>
    </row>
    <row r="1140" ht="38" customHeight="1">
      <c r="A1140" s="146" t="inlineStr">
        <is>
          <t>SUB-L3-12-30</t>
        </is>
      </c>
      <c r="B1140" s="39" t="inlineStr">
        <is>
          <t>3 уровень</t>
        </is>
      </c>
      <c r="C1140" s="34" t="inlineStr">
        <is>
          <t>Закрытые условия на абонементы</t>
        </is>
      </c>
      <c r="D1140" s="34" t="inlineStr">
        <is>
          <t>Скидка 30% на абонемент 12 занятий</t>
        </is>
      </c>
      <c r="E1140" s="34" t="inlineStr">
        <is>
          <t>При покупке абонемента на 12 занятий</t>
        </is>
      </c>
      <c r="F1140" s="147" t="inlineStr">
        <is>
          <t>FW-L3-XA34C-CDL7Z</t>
        </is>
      </c>
      <c r="G1140" s="39" t="inlineStr">
        <is>
          <t>Не использован</t>
        </is>
      </c>
      <c r="H1140" s="148" t="n"/>
      <c r="I1140" s="34" t="str"/>
      <c r="J1140" s="34" t="str"/>
      <c r="K1140" s="130" t="n">
        <v>136</v>
      </c>
      <c r="L1140" s="43">
        <f>IF(COUNTIF($F$5:$F$2407,F1140)=1,"OK","Дубликат")</f>
        <v/>
      </c>
    </row>
    <row r="1141" ht="38" customHeight="1">
      <c r="A1141" s="146" t="inlineStr">
        <is>
          <t>SUB-L3-12-30</t>
        </is>
      </c>
      <c r="B1141" s="39" t="inlineStr">
        <is>
          <t>3 уровень</t>
        </is>
      </c>
      <c r="C1141" s="34" t="inlineStr">
        <is>
          <t>Закрытые условия на абонементы</t>
        </is>
      </c>
      <c r="D1141" s="34" t="inlineStr">
        <is>
          <t>Скидка 30% на абонемент 12 занятий</t>
        </is>
      </c>
      <c r="E1141" s="34" t="inlineStr">
        <is>
          <t>При покупке абонемента на 12 занятий</t>
        </is>
      </c>
      <c r="F1141" s="147" t="inlineStr">
        <is>
          <t>FW-L3-SDH33-78QNY</t>
        </is>
      </c>
      <c r="G1141" s="39" t="inlineStr">
        <is>
          <t>Не использован</t>
        </is>
      </c>
      <c r="H1141" s="148" t="n"/>
      <c r="I1141" s="34" t="str"/>
      <c r="J1141" s="34" t="str"/>
      <c r="K1141" s="130" t="n">
        <v>137</v>
      </c>
      <c r="L1141" s="43">
        <f>IF(COUNTIF($F$5:$F$2407,F1141)=1,"OK","Дубликат")</f>
        <v/>
      </c>
    </row>
    <row r="1142" ht="38" customHeight="1">
      <c r="A1142" s="146" t="inlineStr">
        <is>
          <t>SUB-L3-12-30</t>
        </is>
      </c>
      <c r="B1142" s="39" t="inlineStr">
        <is>
          <t>3 уровень</t>
        </is>
      </c>
      <c r="C1142" s="34" t="inlineStr">
        <is>
          <t>Закрытые условия на абонементы</t>
        </is>
      </c>
      <c r="D1142" s="34" t="inlineStr">
        <is>
          <t>Скидка 30% на абонемент 12 занятий</t>
        </is>
      </c>
      <c r="E1142" s="34" t="inlineStr">
        <is>
          <t>При покупке абонемента на 12 занятий</t>
        </is>
      </c>
      <c r="F1142" s="147" t="inlineStr">
        <is>
          <t>FW-L3-UFSMT-F7DDD</t>
        </is>
      </c>
      <c r="G1142" s="39" t="inlineStr">
        <is>
          <t>Не использован</t>
        </is>
      </c>
      <c r="H1142" s="148" t="n"/>
      <c r="I1142" s="34" t="str"/>
      <c r="J1142" s="34" t="str"/>
      <c r="K1142" s="130" t="n">
        <v>138</v>
      </c>
      <c r="L1142" s="43">
        <f>IF(COUNTIF($F$5:$F$2407,F1142)=1,"OK","Дубликат")</f>
        <v/>
      </c>
    </row>
    <row r="1143" ht="38" customHeight="1">
      <c r="A1143" s="146" t="inlineStr">
        <is>
          <t>SUB-L3-12-30</t>
        </is>
      </c>
      <c r="B1143" s="39" t="inlineStr">
        <is>
          <t>3 уровень</t>
        </is>
      </c>
      <c r="C1143" s="34" t="inlineStr">
        <is>
          <t>Закрытые условия на абонементы</t>
        </is>
      </c>
      <c r="D1143" s="34" t="inlineStr">
        <is>
          <t>Скидка 30% на абонемент 12 занятий</t>
        </is>
      </c>
      <c r="E1143" s="34" t="inlineStr">
        <is>
          <t>При покупке абонемента на 12 занятий</t>
        </is>
      </c>
      <c r="F1143" s="147" t="inlineStr">
        <is>
          <t>FW-L3-W7QF4-23SJQ</t>
        </is>
      </c>
      <c r="G1143" s="39" t="inlineStr">
        <is>
          <t>Не использован</t>
        </is>
      </c>
      <c r="H1143" s="148" t="n"/>
      <c r="I1143" s="34" t="str"/>
      <c r="J1143" s="34" t="str"/>
      <c r="K1143" s="130" t="n">
        <v>139</v>
      </c>
      <c r="L1143" s="43">
        <f>IF(COUNTIF($F$5:$F$2407,F1143)=1,"OK","Дубликат")</f>
        <v/>
      </c>
    </row>
    <row r="1144" ht="38" customHeight="1">
      <c r="A1144" s="146" t="inlineStr">
        <is>
          <t>SUB-L3-12-30</t>
        </is>
      </c>
      <c r="B1144" s="39" t="inlineStr">
        <is>
          <t>3 уровень</t>
        </is>
      </c>
      <c r="C1144" s="34" t="inlineStr">
        <is>
          <t>Закрытые условия на абонементы</t>
        </is>
      </c>
      <c r="D1144" s="34" t="inlineStr">
        <is>
          <t>Скидка 30% на абонемент 12 занятий</t>
        </is>
      </c>
      <c r="E1144" s="34" t="inlineStr">
        <is>
          <t>При покупке абонемента на 12 занятий</t>
        </is>
      </c>
      <c r="F1144" s="147" t="inlineStr">
        <is>
          <t>FW-L3-L2BDF-R5GYH</t>
        </is>
      </c>
      <c r="G1144" s="39" t="inlineStr">
        <is>
          <t>Не использован</t>
        </is>
      </c>
      <c r="H1144" s="148" t="n"/>
      <c r="I1144" s="34" t="str"/>
      <c r="J1144" s="34" t="str"/>
      <c r="K1144" s="130" t="n">
        <v>140</v>
      </c>
      <c r="L1144" s="43">
        <f>IF(COUNTIF($F$5:$F$2407,F1144)=1,"OK","Дубликат")</f>
        <v/>
      </c>
    </row>
    <row r="1145" ht="38" customHeight="1">
      <c r="A1145" s="146" t="inlineStr">
        <is>
          <t>SUB-L3-12-30</t>
        </is>
      </c>
      <c r="B1145" s="39" t="inlineStr">
        <is>
          <t>3 уровень</t>
        </is>
      </c>
      <c r="C1145" s="34" t="inlineStr">
        <is>
          <t>Закрытые условия на абонементы</t>
        </is>
      </c>
      <c r="D1145" s="34" t="inlineStr">
        <is>
          <t>Скидка 30% на абонемент 12 занятий</t>
        </is>
      </c>
      <c r="E1145" s="34" t="inlineStr">
        <is>
          <t>При покупке абонемента на 12 занятий</t>
        </is>
      </c>
      <c r="F1145" s="147" t="inlineStr">
        <is>
          <t>FW-L3-CXNDZ-GUJG7</t>
        </is>
      </c>
      <c r="G1145" s="39" t="inlineStr">
        <is>
          <t>Не использован</t>
        </is>
      </c>
      <c r="H1145" s="148" t="n"/>
      <c r="I1145" s="34" t="str"/>
      <c r="J1145" s="34" t="str"/>
      <c r="K1145" s="130" t="n">
        <v>141</v>
      </c>
      <c r="L1145" s="43">
        <f>IF(COUNTIF($F$5:$F$2407,F1145)=1,"OK","Дубликат")</f>
        <v/>
      </c>
    </row>
    <row r="1146" ht="38" customHeight="1">
      <c r="A1146" s="146" t="inlineStr">
        <is>
          <t>SUB-L3-12-30</t>
        </is>
      </c>
      <c r="B1146" s="39" t="inlineStr">
        <is>
          <t>3 уровень</t>
        </is>
      </c>
      <c r="C1146" s="34" t="inlineStr">
        <is>
          <t>Закрытые условия на абонементы</t>
        </is>
      </c>
      <c r="D1146" s="34" t="inlineStr">
        <is>
          <t>Скидка 30% на абонемент 12 занятий</t>
        </is>
      </c>
      <c r="E1146" s="34" t="inlineStr">
        <is>
          <t>При покупке абонемента на 12 занятий</t>
        </is>
      </c>
      <c r="F1146" s="147" t="inlineStr">
        <is>
          <t>FW-L3-2JM2Z-65U8R</t>
        </is>
      </c>
      <c r="G1146" s="39" t="inlineStr">
        <is>
          <t>Не использован</t>
        </is>
      </c>
      <c r="H1146" s="148" t="n"/>
      <c r="I1146" s="34" t="str"/>
      <c r="J1146" s="34" t="str"/>
      <c r="K1146" s="130" t="n">
        <v>142</v>
      </c>
      <c r="L1146" s="43">
        <f>IF(COUNTIF($F$5:$F$2407,F1146)=1,"OK","Дубликат")</f>
        <v/>
      </c>
    </row>
    <row r="1147" ht="38" customHeight="1">
      <c r="A1147" s="146" t="inlineStr">
        <is>
          <t>SUB-L3-12-30</t>
        </is>
      </c>
      <c r="B1147" s="39" t="inlineStr">
        <is>
          <t>3 уровень</t>
        </is>
      </c>
      <c r="C1147" s="34" t="inlineStr">
        <is>
          <t>Закрытые условия на абонементы</t>
        </is>
      </c>
      <c r="D1147" s="34" t="inlineStr">
        <is>
          <t>Скидка 30% на абонемент 12 занятий</t>
        </is>
      </c>
      <c r="E1147" s="34" t="inlineStr">
        <is>
          <t>При покупке абонемента на 12 занятий</t>
        </is>
      </c>
      <c r="F1147" s="147" t="inlineStr">
        <is>
          <t>FW-L3-NFSLM-YEHZZ</t>
        </is>
      </c>
      <c r="G1147" s="39" t="inlineStr">
        <is>
          <t>Не использован</t>
        </is>
      </c>
      <c r="H1147" s="148" t="n"/>
      <c r="I1147" s="34" t="str"/>
      <c r="J1147" s="34" t="str"/>
      <c r="K1147" s="130" t="n">
        <v>143</v>
      </c>
      <c r="L1147" s="43">
        <f>IF(COUNTIF($F$5:$F$2407,F1147)=1,"OK","Дубликат")</f>
        <v/>
      </c>
    </row>
    <row r="1148" ht="38" customHeight="1">
      <c r="A1148" s="146" t="inlineStr">
        <is>
          <t>SUB-L3-12-30</t>
        </is>
      </c>
      <c r="B1148" s="39" t="inlineStr">
        <is>
          <t>3 уровень</t>
        </is>
      </c>
      <c r="C1148" s="34" t="inlineStr">
        <is>
          <t>Закрытые условия на абонементы</t>
        </is>
      </c>
      <c r="D1148" s="34" t="inlineStr">
        <is>
          <t>Скидка 30% на абонемент 12 занятий</t>
        </is>
      </c>
      <c r="E1148" s="34" t="inlineStr">
        <is>
          <t>При покупке абонемента на 12 занятий</t>
        </is>
      </c>
      <c r="F1148" s="147" t="inlineStr">
        <is>
          <t>FW-L3-HG9MG-B8BRQ</t>
        </is>
      </c>
      <c r="G1148" s="39" t="inlineStr">
        <is>
          <t>Не использован</t>
        </is>
      </c>
      <c r="H1148" s="148" t="n"/>
      <c r="I1148" s="34" t="str"/>
      <c r="J1148" s="34" t="str"/>
      <c r="K1148" s="130" t="n">
        <v>144</v>
      </c>
      <c r="L1148" s="43">
        <f>IF(COUNTIF($F$5:$F$2407,F1148)=1,"OK","Дубликат")</f>
        <v/>
      </c>
    </row>
    <row r="1149" ht="38" customHeight="1">
      <c r="A1149" s="146" t="inlineStr">
        <is>
          <t>SUB-L3-12-30</t>
        </is>
      </c>
      <c r="B1149" s="39" t="inlineStr">
        <is>
          <t>3 уровень</t>
        </is>
      </c>
      <c r="C1149" s="34" t="inlineStr">
        <is>
          <t>Закрытые условия на абонементы</t>
        </is>
      </c>
      <c r="D1149" s="34" t="inlineStr">
        <is>
          <t>Скидка 30% на абонемент 12 занятий</t>
        </is>
      </c>
      <c r="E1149" s="34" t="inlineStr">
        <is>
          <t>При покупке абонемента на 12 занятий</t>
        </is>
      </c>
      <c r="F1149" s="147" t="inlineStr">
        <is>
          <t>FW-L3-K6P4D-BTTFA</t>
        </is>
      </c>
      <c r="G1149" s="39" t="inlineStr">
        <is>
          <t>Не использован</t>
        </is>
      </c>
      <c r="H1149" s="148" t="n"/>
      <c r="I1149" s="34" t="str"/>
      <c r="J1149" s="34" t="str"/>
      <c r="K1149" s="130" t="n">
        <v>145</v>
      </c>
      <c r="L1149" s="43">
        <f>IF(COUNTIF($F$5:$F$2407,F1149)=1,"OK","Дубликат")</f>
        <v/>
      </c>
    </row>
    <row r="1150" ht="38" customHeight="1">
      <c r="A1150" s="146" t="inlineStr">
        <is>
          <t>SUB-L3-12-30</t>
        </is>
      </c>
      <c r="B1150" s="39" t="inlineStr">
        <is>
          <t>3 уровень</t>
        </is>
      </c>
      <c r="C1150" s="34" t="inlineStr">
        <is>
          <t>Закрытые условия на абонементы</t>
        </is>
      </c>
      <c r="D1150" s="34" t="inlineStr">
        <is>
          <t>Скидка 30% на абонемент 12 занятий</t>
        </is>
      </c>
      <c r="E1150" s="34" t="inlineStr">
        <is>
          <t>При покупке абонемента на 12 занятий</t>
        </is>
      </c>
      <c r="F1150" s="147" t="inlineStr">
        <is>
          <t>FW-L3-EBBD5-QCF3V</t>
        </is>
      </c>
      <c r="G1150" s="39" t="inlineStr">
        <is>
          <t>Не использован</t>
        </is>
      </c>
      <c r="H1150" s="148" t="n"/>
      <c r="I1150" s="34" t="str"/>
      <c r="J1150" s="34" t="str"/>
      <c r="K1150" s="130" t="n">
        <v>146</v>
      </c>
      <c r="L1150" s="43">
        <f>IF(COUNTIF($F$5:$F$2407,F1150)=1,"OK","Дубликат")</f>
        <v/>
      </c>
    </row>
    <row r="1151" ht="38" customHeight="1">
      <c r="A1151" s="146" t="inlineStr">
        <is>
          <t>SUB-L3-12-30</t>
        </is>
      </c>
      <c r="B1151" s="39" t="inlineStr">
        <is>
          <t>3 уровень</t>
        </is>
      </c>
      <c r="C1151" s="34" t="inlineStr">
        <is>
          <t>Закрытые условия на абонементы</t>
        </is>
      </c>
      <c r="D1151" s="34" t="inlineStr">
        <is>
          <t>Скидка 30% на абонемент 12 занятий</t>
        </is>
      </c>
      <c r="E1151" s="34" t="inlineStr">
        <is>
          <t>При покупке абонемента на 12 занятий</t>
        </is>
      </c>
      <c r="F1151" s="147" t="inlineStr">
        <is>
          <t>FW-L3-QTG37-SNW9V</t>
        </is>
      </c>
      <c r="G1151" s="39" t="inlineStr">
        <is>
          <t>Не использован</t>
        </is>
      </c>
      <c r="H1151" s="148" t="n"/>
      <c r="I1151" s="34" t="str"/>
      <c r="J1151" s="34" t="str"/>
      <c r="K1151" s="130" t="n">
        <v>147</v>
      </c>
      <c r="L1151" s="43">
        <f>IF(COUNTIF($F$5:$F$2407,F1151)=1,"OK","Дубликат")</f>
        <v/>
      </c>
    </row>
    <row r="1152" ht="38" customHeight="1">
      <c r="A1152" s="146" t="inlineStr">
        <is>
          <t>SUB-L3-12-30</t>
        </is>
      </c>
      <c r="B1152" s="39" t="inlineStr">
        <is>
          <t>3 уровень</t>
        </is>
      </c>
      <c r="C1152" s="34" t="inlineStr">
        <is>
          <t>Закрытые условия на абонементы</t>
        </is>
      </c>
      <c r="D1152" s="34" t="inlineStr">
        <is>
          <t>Скидка 30% на абонемент 12 занятий</t>
        </is>
      </c>
      <c r="E1152" s="34" t="inlineStr">
        <is>
          <t>При покупке абонемента на 12 занятий</t>
        </is>
      </c>
      <c r="F1152" s="147" t="inlineStr">
        <is>
          <t>FW-L3-NS9LZ-D27DE</t>
        </is>
      </c>
      <c r="G1152" s="39" t="inlineStr">
        <is>
          <t>Не использован</t>
        </is>
      </c>
      <c r="H1152" s="148" t="n"/>
      <c r="I1152" s="34" t="str"/>
      <c r="J1152" s="34" t="str"/>
      <c r="K1152" s="130" t="n">
        <v>148</v>
      </c>
      <c r="L1152" s="43">
        <f>IF(COUNTIF($F$5:$F$2407,F1152)=1,"OK","Дубликат")</f>
        <v/>
      </c>
    </row>
    <row r="1153" ht="38" customHeight="1">
      <c r="A1153" s="146" t="inlineStr">
        <is>
          <t>SUB-L3-12-30</t>
        </is>
      </c>
      <c r="B1153" s="39" t="inlineStr">
        <is>
          <t>3 уровень</t>
        </is>
      </c>
      <c r="C1153" s="34" t="inlineStr">
        <is>
          <t>Закрытые условия на абонементы</t>
        </is>
      </c>
      <c r="D1153" s="34" t="inlineStr">
        <is>
          <t>Скидка 30% на абонемент 12 занятий</t>
        </is>
      </c>
      <c r="E1153" s="34" t="inlineStr">
        <is>
          <t>При покупке абонемента на 12 занятий</t>
        </is>
      </c>
      <c r="F1153" s="147" t="inlineStr">
        <is>
          <t>FW-L3-GDZCU-6Y4H7</t>
        </is>
      </c>
      <c r="G1153" s="39" t="inlineStr">
        <is>
          <t>Не использован</t>
        </is>
      </c>
      <c r="H1153" s="148" t="n"/>
      <c r="I1153" s="34" t="str"/>
      <c r="J1153" s="34" t="str"/>
      <c r="K1153" s="130" t="n">
        <v>149</v>
      </c>
      <c r="L1153" s="43">
        <f>IF(COUNTIF($F$5:$F$2407,F1153)=1,"OK","Дубликат")</f>
        <v/>
      </c>
    </row>
    <row r="1154" ht="38" customHeight="1">
      <c r="A1154" s="146" t="inlineStr">
        <is>
          <t>SUB-L3-12-30</t>
        </is>
      </c>
      <c r="B1154" s="39" t="inlineStr">
        <is>
          <t>3 уровень</t>
        </is>
      </c>
      <c r="C1154" s="34" t="inlineStr">
        <is>
          <t>Закрытые условия на абонементы</t>
        </is>
      </c>
      <c r="D1154" s="34" t="inlineStr">
        <is>
          <t>Скидка 30% на абонемент 12 занятий</t>
        </is>
      </c>
      <c r="E1154" s="34" t="inlineStr">
        <is>
          <t>При покупке абонемента на 12 занятий</t>
        </is>
      </c>
      <c r="F1154" s="147" t="inlineStr">
        <is>
          <t>FW-L3-JR5QU-NY3H7</t>
        </is>
      </c>
      <c r="G1154" s="39" t="inlineStr">
        <is>
          <t>Не использован</t>
        </is>
      </c>
      <c r="H1154" s="148" t="n"/>
      <c r="I1154" s="34" t="str"/>
      <c r="J1154" s="34" t="str"/>
      <c r="K1154" s="130" t="n">
        <v>150</v>
      </c>
      <c r="L1154" s="43">
        <f>IF(COUNTIF($F$5:$F$2407,F1154)=1,"OK","Дубликат")</f>
        <v/>
      </c>
    </row>
    <row r="1155" ht="38" customHeight="1">
      <c r="A1155" s="146" t="inlineStr">
        <is>
          <t>SUB-L3-12-30</t>
        </is>
      </c>
      <c r="B1155" s="39" t="inlineStr">
        <is>
          <t>3 уровень</t>
        </is>
      </c>
      <c r="C1155" s="34" t="inlineStr">
        <is>
          <t>Закрытые условия на абонементы</t>
        </is>
      </c>
      <c r="D1155" s="34" t="inlineStr">
        <is>
          <t>Скидка 30% на абонемент 12 занятий</t>
        </is>
      </c>
      <c r="E1155" s="34" t="inlineStr">
        <is>
          <t>При покупке абонемента на 12 занятий</t>
        </is>
      </c>
      <c r="F1155" s="147" t="inlineStr">
        <is>
          <t>FW-L3-LB847-YJ8HZ</t>
        </is>
      </c>
      <c r="G1155" s="39" t="inlineStr">
        <is>
          <t>Не использован</t>
        </is>
      </c>
      <c r="H1155" s="148" t="n"/>
      <c r="I1155" s="34" t="str"/>
      <c r="J1155" s="34" t="str"/>
      <c r="K1155" s="130" t="n">
        <v>151</v>
      </c>
      <c r="L1155" s="43">
        <f>IF(COUNTIF($F$5:$F$2407,F1155)=1,"OK","Дубликат")</f>
        <v/>
      </c>
    </row>
    <row r="1156" ht="38" customHeight="1">
      <c r="A1156" s="146" t="inlineStr">
        <is>
          <t>SUB-L3-12-30</t>
        </is>
      </c>
      <c r="B1156" s="39" t="inlineStr">
        <is>
          <t>3 уровень</t>
        </is>
      </c>
      <c r="C1156" s="34" t="inlineStr">
        <is>
          <t>Закрытые условия на абонементы</t>
        </is>
      </c>
      <c r="D1156" s="34" t="inlineStr">
        <is>
          <t>Скидка 30% на абонемент 12 занятий</t>
        </is>
      </c>
      <c r="E1156" s="34" t="inlineStr">
        <is>
          <t>При покупке абонемента на 12 занятий</t>
        </is>
      </c>
      <c r="F1156" s="147" t="inlineStr">
        <is>
          <t>FW-L3-NWYKL-KGPSU</t>
        </is>
      </c>
      <c r="G1156" s="39" t="inlineStr">
        <is>
          <t>Не использован</t>
        </is>
      </c>
      <c r="H1156" s="148" t="n"/>
      <c r="I1156" s="34" t="str"/>
      <c r="J1156" s="34" t="str"/>
      <c r="K1156" s="130" t="n">
        <v>152</v>
      </c>
      <c r="L1156" s="43">
        <f>IF(COUNTIF($F$5:$F$2407,F1156)=1,"OK","Дубликат")</f>
        <v/>
      </c>
    </row>
    <row r="1157" ht="38" customHeight="1">
      <c r="A1157" s="146" t="inlineStr">
        <is>
          <t>SUB-L3-12-30</t>
        </is>
      </c>
      <c r="B1157" s="39" t="inlineStr">
        <is>
          <t>3 уровень</t>
        </is>
      </c>
      <c r="C1157" s="34" t="inlineStr">
        <is>
          <t>Закрытые условия на абонементы</t>
        </is>
      </c>
      <c r="D1157" s="34" t="inlineStr">
        <is>
          <t>Скидка 30% на абонемент 12 занятий</t>
        </is>
      </c>
      <c r="E1157" s="34" t="inlineStr">
        <is>
          <t>При покупке абонемента на 12 занятий</t>
        </is>
      </c>
      <c r="F1157" s="147" t="inlineStr">
        <is>
          <t>FW-L3-ASVHR-QGBCL</t>
        </is>
      </c>
      <c r="G1157" s="39" t="inlineStr">
        <is>
          <t>Не использован</t>
        </is>
      </c>
      <c r="H1157" s="148" t="n"/>
      <c r="I1157" s="34" t="str"/>
      <c r="J1157" s="34" t="str"/>
      <c r="K1157" s="130" t="n">
        <v>153</v>
      </c>
      <c r="L1157" s="43">
        <f>IF(COUNTIF($F$5:$F$2407,F1157)=1,"OK","Дубликат")</f>
        <v/>
      </c>
    </row>
    <row r="1158" ht="38" customHeight="1">
      <c r="A1158" s="146" t="inlineStr">
        <is>
          <t>SUB-L3-12-30</t>
        </is>
      </c>
      <c r="B1158" s="39" t="inlineStr">
        <is>
          <t>3 уровень</t>
        </is>
      </c>
      <c r="C1158" s="34" t="inlineStr">
        <is>
          <t>Закрытые условия на абонементы</t>
        </is>
      </c>
      <c r="D1158" s="34" t="inlineStr">
        <is>
          <t>Скидка 30% на абонемент 12 занятий</t>
        </is>
      </c>
      <c r="E1158" s="34" t="inlineStr">
        <is>
          <t>При покупке абонемента на 12 занятий</t>
        </is>
      </c>
      <c r="F1158" s="147" t="inlineStr">
        <is>
          <t>FW-L3-6GF5D-QGZKA</t>
        </is>
      </c>
      <c r="G1158" s="39" t="inlineStr">
        <is>
          <t>Не использован</t>
        </is>
      </c>
      <c r="H1158" s="148" t="n"/>
      <c r="I1158" s="34" t="str"/>
      <c r="J1158" s="34" t="str"/>
      <c r="K1158" s="130" t="n">
        <v>154</v>
      </c>
      <c r="L1158" s="43">
        <f>IF(COUNTIF($F$5:$F$2407,F1158)=1,"OK","Дубликат")</f>
        <v/>
      </c>
    </row>
    <row r="1159" ht="38" customHeight="1">
      <c r="A1159" s="146" t="inlineStr">
        <is>
          <t>SUB-L3-12-30</t>
        </is>
      </c>
      <c r="B1159" s="39" t="inlineStr">
        <is>
          <t>3 уровень</t>
        </is>
      </c>
      <c r="C1159" s="34" t="inlineStr">
        <is>
          <t>Закрытые условия на абонементы</t>
        </is>
      </c>
      <c r="D1159" s="34" t="inlineStr">
        <is>
          <t>Скидка 30% на абонемент 12 занятий</t>
        </is>
      </c>
      <c r="E1159" s="34" t="inlineStr">
        <is>
          <t>При покупке абонемента на 12 занятий</t>
        </is>
      </c>
      <c r="F1159" s="147" t="inlineStr">
        <is>
          <t>FW-L3-A8CRX-4QJXW</t>
        </is>
      </c>
      <c r="G1159" s="39" t="inlineStr">
        <is>
          <t>Не использован</t>
        </is>
      </c>
      <c r="H1159" s="148" t="n"/>
      <c r="I1159" s="34" t="str"/>
      <c r="J1159" s="34" t="str"/>
      <c r="K1159" s="130" t="n">
        <v>155</v>
      </c>
      <c r="L1159" s="43">
        <f>IF(COUNTIF($F$5:$F$2407,F1159)=1,"OK","Дубликат")</f>
        <v/>
      </c>
    </row>
    <row r="1160" ht="38" customHeight="1">
      <c r="A1160" s="146" t="inlineStr">
        <is>
          <t>SUB-L3-12-30</t>
        </is>
      </c>
      <c r="B1160" s="39" t="inlineStr">
        <is>
          <t>3 уровень</t>
        </is>
      </c>
      <c r="C1160" s="34" t="inlineStr">
        <is>
          <t>Закрытые условия на абонементы</t>
        </is>
      </c>
      <c r="D1160" s="34" t="inlineStr">
        <is>
          <t>Скидка 30% на абонемент 12 занятий</t>
        </is>
      </c>
      <c r="E1160" s="34" t="inlineStr">
        <is>
          <t>При покупке абонемента на 12 занятий</t>
        </is>
      </c>
      <c r="F1160" s="147" t="inlineStr">
        <is>
          <t>FW-L3-BG2Y5-VRZJ8</t>
        </is>
      </c>
      <c r="G1160" s="39" t="inlineStr">
        <is>
          <t>Не использован</t>
        </is>
      </c>
      <c r="H1160" s="148" t="n"/>
      <c r="I1160" s="34" t="str"/>
      <c r="J1160" s="34" t="str"/>
      <c r="K1160" s="130" t="n">
        <v>156</v>
      </c>
      <c r="L1160" s="43">
        <f>IF(COUNTIF($F$5:$F$2407,F1160)=1,"OK","Дубликат")</f>
        <v/>
      </c>
    </row>
    <row r="1161" ht="38" customHeight="1">
      <c r="A1161" s="146" t="inlineStr">
        <is>
          <t>SUB-L3-12-30</t>
        </is>
      </c>
      <c r="B1161" s="39" t="inlineStr">
        <is>
          <t>3 уровень</t>
        </is>
      </c>
      <c r="C1161" s="34" t="inlineStr">
        <is>
          <t>Закрытые условия на абонементы</t>
        </is>
      </c>
      <c r="D1161" s="34" t="inlineStr">
        <is>
          <t>Скидка 30% на абонемент 12 занятий</t>
        </is>
      </c>
      <c r="E1161" s="34" t="inlineStr">
        <is>
          <t>При покупке абонемента на 12 занятий</t>
        </is>
      </c>
      <c r="F1161" s="147" t="inlineStr">
        <is>
          <t>FW-L3-HA7KF-J5BXG</t>
        </is>
      </c>
      <c r="G1161" s="39" t="inlineStr">
        <is>
          <t>Не использован</t>
        </is>
      </c>
      <c r="H1161" s="148" t="n"/>
      <c r="I1161" s="34" t="str"/>
      <c r="J1161" s="34" t="str"/>
      <c r="K1161" s="130" t="n">
        <v>157</v>
      </c>
      <c r="L1161" s="43">
        <f>IF(COUNTIF($F$5:$F$2407,F1161)=1,"OK","Дубликат")</f>
        <v/>
      </c>
    </row>
    <row r="1162" ht="38" customHeight="1">
      <c r="A1162" s="146" t="inlineStr">
        <is>
          <t>SUB-L3-12-30</t>
        </is>
      </c>
      <c r="B1162" s="39" t="inlineStr">
        <is>
          <t>3 уровень</t>
        </is>
      </c>
      <c r="C1162" s="34" t="inlineStr">
        <is>
          <t>Закрытые условия на абонементы</t>
        </is>
      </c>
      <c r="D1162" s="34" t="inlineStr">
        <is>
          <t>Скидка 30% на абонемент 12 занятий</t>
        </is>
      </c>
      <c r="E1162" s="34" t="inlineStr">
        <is>
          <t>При покупке абонемента на 12 занятий</t>
        </is>
      </c>
      <c r="F1162" s="147" t="inlineStr">
        <is>
          <t>FW-L3-4EWEU-QZQRU</t>
        </is>
      </c>
      <c r="G1162" s="39" t="inlineStr">
        <is>
          <t>Не использован</t>
        </is>
      </c>
      <c r="H1162" s="148" t="n"/>
      <c r="I1162" s="34" t="str"/>
      <c r="J1162" s="34" t="str"/>
      <c r="K1162" s="130" t="n">
        <v>158</v>
      </c>
      <c r="L1162" s="43">
        <f>IF(COUNTIF($F$5:$F$2407,F1162)=1,"OK","Дубликат")</f>
        <v/>
      </c>
    </row>
    <row r="1163" ht="38" customHeight="1">
      <c r="A1163" s="146" t="inlineStr">
        <is>
          <t>SUB-L3-12-30</t>
        </is>
      </c>
      <c r="B1163" s="39" t="inlineStr">
        <is>
          <t>3 уровень</t>
        </is>
      </c>
      <c r="C1163" s="34" t="inlineStr">
        <is>
          <t>Закрытые условия на абонементы</t>
        </is>
      </c>
      <c r="D1163" s="34" t="inlineStr">
        <is>
          <t>Скидка 30% на абонемент 12 занятий</t>
        </is>
      </c>
      <c r="E1163" s="34" t="inlineStr">
        <is>
          <t>При покупке абонемента на 12 занятий</t>
        </is>
      </c>
      <c r="F1163" s="147" t="inlineStr">
        <is>
          <t>FW-L3-8ZY5B-W755H</t>
        </is>
      </c>
      <c r="G1163" s="39" t="inlineStr">
        <is>
          <t>Не использован</t>
        </is>
      </c>
      <c r="H1163" s="148" t="n"/>
      <c r="I1163" s="34" t="str"/>
      <c r="J1163" s="34" t="str"/>
      <c r="K1163" s="130" t="n">
        <v>159</v>
      </c>
      <c r="L1163" s="43">
        <f>IF(COUNTIF($F$5:$F$2407,F1163)=1,"OK","Дубликат")</f>
        <v/>
      </c>
    </row>
    <row r="1164" ht="38" customHeight="1">
      <c r="A1164" s="146" t="inlineStr">
        <is>
          <t>SUB-L3-12-30</t>
        </is>
      </c>
      <c r="B1164" s="39" t="inlineStr">
        <is>
          <t>3 уровень</t>
        </is>
      </c>
      <c r="C1164" s="34" t="inlineStr">
        <is>
          <t>Закрытые условия на абонементы</t>
        </is>
      </c>
      <c r="D1164" s="34" t="inlineStr">
        <is>
          <t>Скидка 30% на абонемент 12 занятий</t>
        </is>
      </c>
      <c r="E1164" s="34" t="inlineStr">
        <is>
          <t>При покупке абонемента на 12 занятий</t>
        </is>
      </c>
      <c r="F1164" s="147" t="inlineStr">
        <is>
          <t>FW-L3-AX3MZ-UVQET</t>
        </is>
      </c>
      <c r="G1164" s="39" t="inlineStr">
        <is>
          <t>Не использован</t>
        </is>
      </c>
      <c r="H1164" s="148" t="n"/>
      <c r="I1164" s="34" t="str"/>
      <c r="J1164" s="34" t="str"/>
      <c r="K1164" s="130" t="n">
        <v>160</v>
      </c>
      <c r="L1164" s="43">
        <f>IF(COUNTIF($F$5:$F$2407,F1164)=1,"OK","Дубликат")</f>
        <v/>
      </c>
    </row>
    <row r="1165" ht="38" customHeight="1">
      <c r="A1165" s="146" t="inlineStr">
        <is>
          <t>SUB-L3-12-30</t>
        </is>
      </c>
      <c r="B1165" s="39" t="inlineStr">
        <is>
          <t>3 уровень</t>
        </is>
      </c>
      <c r="C1165" s="34" t="inlineStr">
        <is>
          <t>Закрытые условия на абонементы</t>
        </is>
      </c>
      <c r="D1165" s="34" t="inlineStr">
        <is>
          <t>Скидка 30% на абонемент 12 занятий</t>
        </is>
      </c>
      <c r="E1165" s="34" t="inlineStr">
        <is>
          <t>При покупке абонемента на 12 занятий</t>
        </is>
      </c>
      <c r="F1165" s="147" t="inlineStr">
        <is>
          <t>FW-L3-SADDR-6RDXD</t>
        </is>
      </c>
      <c r="G1165" s="39" t="inlineStr">
        <is>
          <t>Не использован</t>
        </is>
      </c>
      <c r="H1165" s="148" t="n"/>
      <c r="I1165" s="34" t="str"/>
      <c r="J1165" s="34" t="str"/>
      <c r="K1165" s="130" t="n">
        <v>161</v>
      </c>
      <c r="L1165" s="43">
        <f>IF(COUNTIF($F$5:$F$2407,F1165)=1,"OK","Дубликат")</f>
        <v/>
      </c>
    </row>
    <row r="1166" ht="38" customHeight="1">
      <c r="A1166" s="146" t="inlineStr">
        <is>
          <t>SUB-L3-12-30</t>
        </is>
      </c>
      <c r="B1166" s="39" t="inlineStr">
        <is>
          <t>3 уровень</t>
        </is>
      </c>
      <c r="C1166" s="34" t="inlineStr">
        <is>
          <t>Закрытые условия на абонементы</t>
        </is>
      </c>
      <c r="D1166" s="34" t="inlineStr">
        <is>
          <t>Скидка 30% на абонемент 12 занятий</t>
        </is>
      </c>
      <c r="E1166" s="34" t="inlineStr">
        <is>
          <t>При покупке абонемента на 12 занятий</t>
        </is>
      </c>
      <c r="F1166" s="147" t="inlineStr">
        <is>
          <t>FW-L3-QZYFG-A5SGA</t>
        </is>
      </c>
      <c r="G1166" s="39" t="inlineStr">
        <is>
          <t>Не использован</t>
        </is>
      </c>
      <c r="H1166" s="148" t="n"/>
      <c r="I1166" s="34" t="str"/>
      <c r="J1166" s="34" t="str"/>
      <c r="K1166" s="130" t="n">
        <v>162</v>
      </c>
      <c r="L1166" s="43">
        <f>IF(COUNTIF($F$5:$F$2407,F1166)=1,"OK","Дубликат")</f>
        <v/>
      </c>
    </row>
    <row r="1167" ht="38" customHeight="1">
      <c r="A1167" s="146" t="inlineStr">
        <is>
          <t>SUB-L3-12-30</t>
        </is>
      </c>
      <c r="B1167" s="39" t="inlineStr">
        <is>
          <t>3 уровень</t>
        </is>
      </c>
      <c r="C1167" s="34" t="inlineStr">
        <is>
          <t>Закрытые условия на абонементы</t>
        </is>
      </c>
      <c r="D1167" s="34" t="inlineStr">
        <is>
          <t>Скидка 30% на абонемент 12 занятий</t>
        </is>
      </c>
      <c r="E1167" s="34" t="inlineStr">
        <is>
          <t>При покупке абонемента на 12 занятий</t>
        </is>
      </c>
      <c r="F1167" s="147" t="inlineStr">
        <is>
          <t>FW-L3-PNHDS-Z8JFV</t>
        </is>
      </c>
      <c r="G1167" s="39" t="inlineStr">
        <is>
          <t>Не использован</t>
        </is>
      </c>
      <c r="H1167" s="148" t="n"/>
      <c r="I1167" s="34" t="str"/>
      <c r="J1167" s="34" t="str"/>
      <c r="K1167" s="130" t="n">
        <v>163</v>
      </c>
      <c r="L1167" s="43">
        <f>IF(COUNTIF($F$5:$F$2407,F1167)=1,"OK","Дубликат")</f>
        <v/>
      </c>
    </row>
    <row r="1168" ht="38" customHeight="1">
      <c r="A1168" s="146" t="inlineStr">
        <is>
          <t>SUB-L3-12-30</t>
        </is>
      </c>
      <c r="B1168" s="39" t="inlineStr">
        <is>
          <t>3 уровень</t>
        </is>
      </c>
      <c r="C1168" s="34" t="inlineStr">
        <is>
          <t>Закрытые условия на абонементы</t>
        </is>
      </c>
      <c r="D1168" s="34" t="inlineStr">
        <is>
          <t>Скидка 30% на абонемент 12 занятий</t>
        </is>
      </c>
      <c r="E1168" s="34" t="inlineStr">
        <is>
          <t>При покупке абонемента на 12 занятий</t>
        </is>
      </c>
      <c r="F1168" s="147" t="inlineStr">
        <is>
          <t>FW-L3-TFHNV-8JBPE</t>
        </is>
      </c>
      <c r="G1168" s="39" t="inlineStr">
        <is>
          <t>Не использован</t>
        </is>
      </c>
      <c r="H1168" s="148" t="n"/>
      <c r="I1168" s="34" t="str"/>
      <c r="J1168" s="34" t="str"/>
      <c r="K1168" s="130" t="n">
        <v>164</v>
      </c>
      <c r="L1168" s="43">
        <f>IF(COUNTIF($F$5:$F$2407,F1168)=1,"OK","Дубликат")</f>
        <v/>
      </c>
    </row>
    <row r="1169" ht="38" customHeight="1">
      <c r="A1169" s="146" t="inlineStr">
        <is>
          <t>SUB-L3-12-30</t>
        </is>
      </c>
      <c r="B1169" s="39" t="inlineStr">
        <is>
          <t>3 уровень</t>
        </is>
      </c>
      <c r="C1169" s="34" t="inlineStr">
        <is>
          <t>Закрытые условия на абонементы</t>
        </is>
      </c>
      <c r="D1169" s="34" t="inlineStr">
        <is>
          <t>Скидка 30% на абонемент 12 занятий</t>
        </is>
      </c>
      <c r="E1169" s="34" t="inlineStr">
        <is>
          <t>При покупке абонемента на 12 занятий</t>
        </is>
      </c>
      <c r="F1169" s="147" t="inlineStr">
        <is>
          <t>FW-L3-643BM-EHCS8</t>
        </is>
      </c>
      <c r="G1169" s="39" t="inlineStr">
        <is>
          <t>Не использован</t>
        </is>
      </c>
      <c r="H1169" s="148" t="n"/>
      <c r="I1169" s="34" t="str"/>
      <c r="J1169" s="34" t="str"/>
      <c r="K1169" s="130" t="n">
        <v>165</v>
      </c>
      <c r="L1169" s="43">
        <f>IF(COUNTIF($F$5:$F$2407,F1169)=1,"OK","Дубликат")</f>
        <v/>
      </c>
    </row>
    <row r="1170" ht="38" customHeight="1">
      <c r="A1170" s="146" t="inlineStr">
        <is>
          <t>SUB-L3-12-30</t>
        </is>
      </c>
      <c r="B1170" s="39" t="inlineStr">
        <is>
          <t>3 уровень</t>
        </is>
      </c>
      <c r="C1170" s="34" t="inlineStr">
        <is>
          <t>Закрытые условия на абонементы</t>
        </is>
      </c>
      <c r="D1170" s="34" t="inlineStr">
        <is>
          <t>Скидка 30% на абонемент 12 занятий</t>
        </is>
      </c>
      <c r="E1170" s="34" t="inlineStr">
        <is>
          <t>При покупке абонемента на 12 занятий</t>
        </is>
      </c>
      <c r="F1170" s="147" t="inlineStr">
        <is>
          <t>FW-L3-MB4L6-CYKQE</t>
        </is>
      </c>
      <c r="G1170" s="39" t="inlineStr">
        <is>
          <t>Не использован</t>
        </is>
      </c>
      <c r="H1170" s="148" t="n"/>
      <c r="I1170" s="34" t="str"/>
      <c r="J1170" s="34" t="str"/>
      <c r="K1170" s="130" t="n">
        <v>166</v>
      </c>
      <c r="L1170" s="43">
        <f>IF(COUNTIF($F$5:$F$2407,F1170)=1,"OK","Дубликат")</f>
        <v/>
      </c>
    </row>
    <row r="1171" ht="38" customHeight="1">
      <c r="A1171" s="146" t="inlineStr">
        <is>
          <t>SUB-L3-12-30</t>
        </is>
      </c>
      <c r="B1171" s="39" t="inlineStr">
        <is>
          <t>3 уровень</t>
        </is>
      </c>
      <c r="C1171" s="34" t="inlineStr">
        <is>
          <t>Закрытые условия на абонементы</t>
        </is>
      </c>
      <c r="D1171" s="34" t="inlineStr">
        <is>
          <t>Скидка 30% на абонемент 12 занятий</t>
        </is>
      </c>
      <c r="E1171" s="34" t="inlineStr">
        <is>
          <t>При покупке абонемента на 12 занятий</t>
        </is>
      </c>
      <c r="F1171" s="147" t="inlineStr">
        <is>
          <t>FW-L3-7HHWR-3ZL93</t>
        </is>
      </c>
      <c r="G1171" s="39" t="inlineStr">
        <is>
          <t>Не использован</t>
        </is>
      </c>
      <c r="H1171" s="148" t="n"/>
      <c r="I1171" s="34" t="str"/>
      <c r="J1171" s="34" t="str"/>
      <c r="K1171" s="130" t="n">
        <v>167</v>
      </c>
      <c r="L1171" s="43">
        <f>IF(COUNTIF($F$5:$F$2407,F1171)=1,"OK","Дубликат")</f>
        <v/>
      </c>
    </row>
    <row r="1172" ht="38" customHeight="1">
      <c r="A1172" s="146" t="inlineStr">
        <is>
          <t>SUB-L3-12-30</t>
        </is>
      </c>
      <c r="B1172" s="39" t="inlineStr">
        <is>
          <t>3 уровень</t>
        </is>
      </c>
      <c r="C1172" s="34" t="inlineStr">
        <is>
          <t>Закрытые условия на абонементы</t>
        </is>
      </c>
      <c r="D1172" s="34" t="inlineStr">
        <is>
          <t>Скидка 30% на абонемент 12 занятий</t>
        </is>
      </c>
      <c r="E1172" s="34" t="inlineStr">
        <is>
          <t>При покупке абонемента на 12 занятий</t>
        </is>
      </c>
      <c r="F1172" s="147" t="inlineStr">
        <is>
          <t>FW-L3-EWZNW-7Q7DE</t>
        </is>
      </c>
      <c r="G1172" s="39" t="inlineStr">
        <is>
          <t>Не использован</t>
        </is>
      </c>
      <c r="H1172" s="148" t="n"/>
      <c r="I1172" s="34" t="str"/>
      <c r="J1172" s="34" t="str"/>
      <c r="K1172" s="130" t="n">
        <v>168</v>
      </c>
      <c r="L1172" s="43">
        <f>IF(COUNTIF($F$5:$F$2407,F1172)=1,"OK","Дубликат")</f>
        <v/>
      </c>
    </row>
    <row r="1173" ht="38" customHeight="1">
      <c r="A1173" s="146" t="inlineStr">
        <is>
          <t>SUB-L3-12-30</t>
        </is>
      </c>
      <c r="B1173" s="39" t="inlineStr">
        <is>
          <t>3 уровень</t>
        </is>
      </c>
      <c r="C1173" s="34" t="inlineStr">
        <is>
          <t>Закрытые условия на абонементы</t>
        </is>
      </c>
      <c r="D1173" s="34" t="inlineStr">
        <is>
          <t>Скидка 30% на абонемент 12 занятий</t>
        </is>
      </c>
      <c r="E1173" s="34" t="inlineStr">
        <is>
          <t>При покупке абонемента на 12 занятий</t>
        </is>
      </c>
      <c r="F1173" s="147" t="inlineStr">
        <is>
          <t>FW-L3-9Y38C-FW5C5</t>
        </is>
      </c>
      <c r="G1173" s="39" t="inlineStr">
        <is>
          <t>Не использован</t>
        </is>
      </c>
      <c r="H1173" s="148" t="n"/>
      <c r="I1173" s="34" t="str"/>
      <c r="J1173" s="34" t="str"/>
      <c r="K1173" s="130" t="n">
        <v>169</v>
      </c>
      <c r="L1173" s="43">
        <f>IF(COUNTIF($F$5:$F$2407,F1173)=1,"OK","Дубликат")</f>
        <v/>
      </c>
    </row>
    <row r="1174" ht="38" customHeight="1">
      <c r="A1174" s="146" t="inlineStr">
        <is>
          <t>SUB-L3-12-30</t>
        </is>
      </c>
      <c r="B1174" s="39" t="inlineStr">
        <is>
          <t>3 уровень</t>
        </is>
      </c>
      <c r="C1174" s="34" t="inlineStr">
        <is>
          <t>Закрытые условия на абонементы</t>
        </is>
      </c>
      <c r="D1174" s="34" t="inlineStr">
        <is>
          <t>Скидка 30% на абонемент 12 занятий</t>
        </is>
      </c>
      <c r="E1174" s="34" t="inlineStr">
        <is>
          <t>При покупке абонемента на 12 занятий</t>
        </is>
      </c>
      <c r="F1174" s="147" t="inlineStr">
        <is>
          <t>FW-L3-WXG6U-PDQTT</t>
        </is>
      </c>
      <c r="G1174" s="39" t="inlineStr">
        <is>
          <t>Не использован</t>
        </is>
      </c>
      <c r="H1174" s="148" t="n"/>
      <c r="I1174" s="34" t="str"/>
      <c r="J1174" s="34" t="str"/>
      <c r="K1174" s="130" t="n">
        <v>170</v>
      </c>
      <c r="L1174" s="43">
        <f>IF(COUNTIF($F$5:$F$2407,F1174)=1,"OK","Дубликат")</f>
        <v/>
      </c>
    </row>
    <row r="1175" ht="38" customHeight="1">
      <c r="A1175" s="146" t="inlineStr">
        <is>
          <t>SUB-L3-12-30</t>
        </is>
      </c>
      <c r="B1175" s="39" t="inlineStr">
        <is>
          <t>3 уровень</t>
        </is>
      </c>
      <c r="C1175" s="34" t="inlineStr">
        <is>
          <t>Закрытые условия на абонементы</t>
        </is>
      </c>
      <c r="D1175" s="34" t="inlineStr">
        <is>
          <t>Скидка 30% на абонемент 12 занятий</t>
        </is>
      </c>
      <c r="E1175" s="34" t="inlineStr">
        <is>
          <t>При покупке абонемента на 12 занятий</t>
        </is>
      </c>
      <c r="F1175" s="147" t="inlineStr">
        <is>
          <t>FW-L3-F4EE3-C8QXH</t>
        </is>
      </c>
      <c r="G1175" s="39" t="inlineStr">
        <is>
          <t>Не использован</t>
        </is>
      </c>
      <c r="H1175" s="148" t="n"/>
      <c r="I1175" s="34" t="str"/>
      <c r="J1175" s="34" t="str"/>
      <c r="K1175" s="130" t="n">
        <v>171</v>
      </c>
      <c r="L1175" s="43">
        <f>IF(COUNTIF($F$5:$F$2407,F1175)=1,"OK","Дубликат")</f>
        <v/>
      </c>
    </row>
    <row r="1176" ht="38" customHeight="1">
      <c r="A1176" s="146" t="inlineStr">
        <is>
          <t>SUB-L3-12-30</t>
        </is>
      </c>
      <c r="B1176" s="39" t="inlineStr">
        <is>
          <t>3 уровень</t>
        </is>
      </c>
      <c r="C1176" s="34" t="inlineStr">
        <is>
          <t>Закрытые условия на абонементы</t>
        </is>
      </c>
      <c r="D1176" s="34" t="inlineStr">
        <is>
          <t>Скидка 30% на абонемент 12 занятий</t>
        </is>
      </c>
      <c r="E1176" s="34" t="inlineStr">
        <is>
          <t>При покупке абонемента на 12 занятий</t>
        </is>
      </c>
      <c r="F1176" s="147" t="inlineStr">
        <is>
          <t>FW-L3-6U8QS-FYX4V</t>
        </is>
      </c>
      <c r="G1176" s="39" t="inlineStr">
        <is>
          <t>Не использован</t>
        </is>
      </c>
      <c r="H1176" s="148" t="n"/>
      <c r="I1176" s="34" t="str"/>
      <c r="J1176" s="34" t="str"/>
      <c r="K1176" s="130" t="n">
        <v>172</v>
      </c>
      <c r="L1176" s="43">
        <f>IF(COUNTIF($F$5:$F$2407,F1176)=1,"OK","Дубликат")</f>
        <v/>
      </c>
    </row>
    <row r="1177" ht="38" customHeight="1">
      <c r="A1177" s="146" t="inlineStr">
        <is>
          <t>SUB-L3-12-30</t>
        </is>
      </c>
      <c r="B1177" s="39" t="inlineStr">
        <is>
          <t>3 уровень</t>
        </is>
      </c>
      <c r="C1177" s="34" t="inlineStr">
        <is>
          <t>Закрытые условия на абонементы</t>
        </is>
      </c>
      <c r="D1177" s="34" t="inlineStr">
        <is>
          <t>Скидка 30% на абонемент 12 занятий</t>
        </is>
      </c>
      <c r="E1177" s="34" t="inlineStr">
        <is>
          <t>При покупке абонемента на 12 занятий</t>
        </is>
      </c>
      <c r="F1177" s="147" t="inlineStr">
        <is>
          <t>FW-L3-C3ZUB-F2NYS</t>
        </is>
      </c>
      <c r="G1177" s="39" t="inlineStr">
        <is>
          <t>Не использован</t>
        </is>
      </c>
      <c r="H1177" s="148" t="n"/>
      <c r="I1177" s="34" t="str"/>
      <c r="J1177" s="34" t="str"/>
      <c r="K1177" s="130" t="n">
        <v>173</v>
      </c>
      <c r="L1177" s="43">
        <f>IF(COUNTIF($F$5:$F$2407,F1177)=1,"OK","Дубликат")</f>
        <v/>
      </c>
    </row>
    <row r="1178" ht="38" customHeight="1">
      <c r="A1178" s="146" t="inlineStr">
        <is>
          <t>SUB-L3-12-30</t>
        </is>
      </c>
      <c r="B1178" s="39" t="inlineStr">
        <is>
          <t>3 уровень</t>
        </is>
      </c>
      <c r="C1178" s="34" t="inlineStr">
        <is>
          <t>Закрытые условия на абонементы</t>
        </is>
      </c>
      <c r="D1178" s="34" t="inlineStr">
        <is>
          <t>Скидка 30% на абонемент 12 занятий</t>
        </is>
      </c>
      <c r="E1178" s="34" t="inlineStr">
        <is>
          <t>При покупке абонемента на 12 занятий</t>
        </is>
      </c>
      <c r="F1178" s="147" t="inlineStr">
        <is>
          <t>FW-L3-DRH7A-WKVYV</t>
        </is>
      </c>
      <c r="G1178" s="39" t="inlineStr">
        <is>
          <t>Не использован</t>
        </is>
      </c>
      <c r="H1178" s="148" t="n"/>
      <c r="I1178" s="34" t="str"/>
      <c r="J1178" s="34" t="str"/>
      <c r="K1178" s="130" t="n">
        <v>174</v>
      </c>
      <c r="L1178" s="43">
        <f>IF(COUNTIF($F$5:$F$2407,F1178)=1,"OK","Дубликат")</f>
        <v/>
      </c>
    </row>
    <row r="1179" ht="38" customHeight="1">
      <c r="A1179" s="146" t="inlineStr">
        <is>
          <t>SUB-L3-12-30</t>
        </is>
      </c>
      <c r="B1179" s="39" t="inlineStr">
        <is>
          <t>3 уровень</t>
        </is>
      </c>
      <c r="C1179" s="34" t="inlineStr">
        <is>
          <t>Закрытые условия на абонементы</t>
        </is>
      </c>
      <c r="D1179" s="34" t="inlineStr">
        <is>
          <t>Скидка 30% на абонемент 12 занятий</t>
        </is>
      </c>
      <c r="E1179" s="34" t="inlineStr">
        <is>
          <t>При покупке абонемента на 12 занятий</t>
        </is>
      </c>
      <c r="F1179" s="147" t="inlineStr">
        <is>
          <t>FW-L3-DUF74-GKA5L</t>
        </is>
      </c>
      <c r="G1179" s="39" t="inlineStr">
        <is>
          <t>Не использован</t>
        </is>
      </c>
      <c r="H1179" s="148" t="n"/>
      <c r="I1179" s="34" t="str"/>
      <c r="J1179" s="34" t="str"/>
      <c r="K1179" s="130" t="n">
        <v>175</v>
      </c>
      <c r="L1179" s="43">
        <f>IF(COUNTIF($F$5:$F$2407,F1179)=1,"OK","Дубликат")</f>
        <v/>
      </c>
    </row>
    <row r="1180" ht="38" customHeight="1">
      <c r="A1180" s="146" t="inlineStr">
        <is>
          <t>SUB-L3-12-30</t>
        </is>
      </c>
      <c r="B1180" s="39" t="inlineStr">
        <is>
          <t>3 уровень</t>
        </is>
      </c>
      <c r="C1180" s="34" t="inlineStr">
        <is>
          <t>Закрытые условия на абонементы</t>
        </is>
      </c>
      <c r="D1180" s="34" t="inlineStr">
        <is>
          <t>Скидка 30% на абонемент 12 занятий</t>
        </is>
      </c>
      <c r="E1180" s="34" t="inlineStr">
        <is>
          <t>При покупке абонемента на 12 занятий</t>
        </is>
      </c>
      <c r="F1180" s="147" t="inlineStr">
        <is>
          <t>FW-L3-AU2ZJ-C9SFR</t>
        </is>
      </c>
      <c r="G1180" s="39" t="inlineStr">
        <is>
          <t>Не использован</t>
        </is>
      </c>
      <c r="H1180" s="148" t="n"/>
      <c r="I1180" s="34" t="str"/>
      <c r="J1180" s="34" t="str"/>
      <c r="K1180" s="130" t="n">
        <v>176</v>
      </c>
      <c r="L1180" s="43">
        <f>IF(COUNTIF($F$5:$F$2407,F1180)=1,"OK","Дубликат")</f>
        <v/>
      </c>
    </row>
    <row r="1181" ht="38" customHeight="1">
      <c r="A1181" s="146" t="inlineStr">
        <is>
          <t>SUB-L3-12-30</t>
        </is>
      </c>
      <c r="B1181" s="39" t="inlineStr">
        <is>
          <t>3 уровень</t>
        </is>
      </c>
      <c r="C1181" s="34" t="inlineStr">
        <is>
          <t>Закрытые условия на абонементы</t>
        </is>
      </c>
      <c r="D1181" s="34" t="inlineStr">
        <is>
          <t>Скидка 30% на абонемент 12 занятий</t>
        </is>
      </c>
      <c r="E1181" s="34" t="inlineStr">
        <is>
          <t>При покупке абонемента на 12 занятий</t>
        </is>
      </c>
      <c r="F1181" s="147" t="inlineStr">
        <is>
          <t>FW-L3-FBYCV-VHGRU</t>
        </is>
      </c>
      <c r="G1181" s="39" t="inlineStr">
        <is>
          <t>Не использован</t>
        </is>
      </c>
      <c r="H1181" s="148" t="n"/>
      <c r="I1181" s="34" t="str"/>
      <c r="J1181" s="34" t="str"/>
      <c r="K1181" s="130" t="n">
        <v>177</v>
      </c>
      <c r="L1181" s="43">
        <f>IF(COUNTIF($F$5:$F$2407,F1181)=1,"OK","Дубликат")</f>
        <v/>
      </c>
    </row>
    <row r="1182" ht="38" customHeight="1">
      <c r="A1182" s="146" t="inlineStr">
        <is>
          <t>SUB-L3-12-30</t>
        </is>
      </c>
      <c r="B1182" s="39" t="inlineStr">
        <is>
          <t>3 уровень</t>
        </is>
      </c>
      <c r="C1182" s="34" t="inlineStr">
        <is>
          <t>Закрытые условия на абонементы</t>
        </is>
      </c>
      <c r="D1182" s="34" t="inlineStr">
        <is>
          <t>Скидка 30% на абонемент 12 занятий</t>
        </is>
      </c>
      <c r="E1182" s="34" t="inlineStr">
        <is>
          <t>При покупке абонемента на 12 занятий</t>
        </is>
      </c>
      <c r="F1182" s="147" t="inlineStr">
        <is>
          <t>FW-L3-Q3GNV-NG2BZ</t>
        </is>
      </c>
      <c r="G1182" s="39" t="inlineStr">
        <is>
          <t>Не использован</t>
        </is>
      </c>
      <c r="H1182" s="148" t="n"/>
      <c r="I1182" s="34" t="str"/>
      <c r="J1182" s="34" t="str"/>
      <c r="K1182" s="130" t="n">
        <v>178</v>
      </c>
      <c r="L1182" s="43">
        <f>IF(COUNTIF($F$5:$F$2407,F1182)=1,"OK","Дубликат")</f>
        <v/>
      </c>
    </row>
    <row r="1183" ht="38" customHeight="1">
      <c r="A1183" s="146" t="inlineStr">
        <is>
          <t>SUB-L3-12-30</t>
        </is>
      </c>
      <c r="B1183" s="39" t="inlineStr">
        <is>
          <t>3 уровень</t>
        </is>
      </c>
      <c r="C1183" s="34" t="inlineStr">
        <is>
          <t>Закрытые условия на абонементы</t>
        </is>
      </c>
      <c r="D1183" s="34" t="inlineStr">
        <is>
          <t>Скидка 30% на абонемент 12 занятий</t>
        </is>
      </c>
      <c r="E1183" s="34" t="inlineStr">
        <is>
          <t>При покупке абонемента на 12 занятий</t>
        </is>
      </c>
      <c r="F1183" s="147" t="inlineStr">
        <is>
          <t>FW-L3-G5W32-WYGQK</t>
        </is>
      </c>
      <c r="G1183" s="39" t="inlineStr">
        <is>
          <t>Не использован</t>
        </is>
      </c>
      <c r="H1183" s="148" t="n"/>
      <c r="I1183" s="34" t="str"/>
      <c r="J1183" s="34" t="str"/>
      <c r="K1183" s="130" t="n">
        <v>179</v>
      </c>
      <c r="L1183" s="43">
        <f>IF(COUNTIF($F$5:$F$2407,F1183)=1,"OK","Дубликат")</f>
        <v/>
      </c>
    </row>
    <row r="1184" ht="38" customHeight="1">
      <c r="A1184" s="146" t="inlineStr">
        <is>
          <t>SUB-L3-12-30</t>
        </is>
      </c>
      <c r="B1184" s="39" t="inlineStr">
        <is>
          <t>3 уровень</t>
        </is>
      </c>
      <c r="C1184" s="34" t="inlineStr">
        <is>
          <t>Закрытые условия на абонементы</t>
        </is>
      </c>
      <c r="D1184" s="34" t="inlineStr">
        <is>
          <t>Скидка 30% на абонемент 12 занятий</t>
        </is>
      </c>
      <c r="E1184" s="34" t="inlineStr">
        <is>
          <t>При покупке абонемента на 12 занятий</t>
        </is>
      </c>
      <c r="F1184" s="147" t="inlineStr">
        <is>
          <t>FW-L3-TCU99-ND8RF</t>
        </is>
      </c>
      <c r="G1184" s="39" t="inlineStr">
        <is>
          <t>Не использован</t>
        </is>
      </c>
      <c r="H1184" s="148" t="n"/>
      <c r="I1184" s="34" t="str"/>
      <c r="J1184" s="34" t="str"/>
      <c r="K1184" s="130" t="n">
        <v>180</v>
      </c>
      <c r="L1184" s="43">
        <f>IF(COUNTIF($F$5:$F$2407,F1184)=1,"OK","Дубликат")</f>
        <v/>
      </c>
    </row>
    <row r="1185" ht="38" customHeight="1">
      <c r="A1185" s="146" t="inlineStr">
        <is>
          <t>SUB-L3-12-30</t>
        </is>
      </c>
      <c r="B1185" s="39" t="inlineStr">
        <is>
          <t>3 уровень</t>
        </is>
      </c>
      <c r="C1185" s="34" t="inlineStr">
        <is>
          <t>Закрытые условия на абонементы</t>
        </is>
      </c>
      <c r="D1185" s="34" t="inlineStr">
        <is>
          <t>Скидка 30% на абонемент 12 занятий</t>
        </is>
      </c>
      <c r="E1185" s="34" t="inlineStr">
        <is>
          <t>При покупке абонемента на 12 занятий</t>
        </is>
      </c>
      <c r="F1185" s="147" t="inlineStr">
        <is>
          <t>FW-L3-8KMFW-JZ7RC</t>
        </is>
      </c>
      <c r="G1185" s="39" t="inlineStr">
        <is>
          <t>Не использован</t>
        </is>
      </c>
      <c r="H1185" s="148" t="n"/>
      <c r="I1185" s="34" t="str"/>
      <c r="J1185" s="34" t="str"/>
      <c r="K1185" s="130" t="n">
        <v>181</v>
      </c>
      <c r="L1185" s="43">
        <f>IF(COUNTIF($F$5:$F$2407,F1185)=1,"OK","Дубликат")</f>
        <v/>
      </c>
    </row>
    <row r="1186" ht="38" customHeight="1">
      <c r="A1186" s="146" t="inlineStr">
        <is>
          <t>SUB-L3-12-30</t>
        </is>
      </c>
      <c r="B1186" s="39" t="inlineStr">
        <is>
          <t>3 уровень</t>
        </is>
      </c>
      <c r="C1186" s="34" t="inlineStr">
        <is>
          <t>Закрытые условия на абонементы</t>
        </is>
      </c>
      <c r="D1186" s="34" t="inlineStr">
        <is>
          <t>Скидка 30% на абонемент 12 занятий</t>
        </is>
      </c>
      <c r="E1186" s="34" t="inlineStr">
        <is>
          <t>При покупке абонемента на 12 занятий</t>
        </is>
      </c>
      <c r="F1186" s="147" t="inlineStr">
        <is>
          <t>FW-L3-L6PAG-A93JX</t>
        </is>
      </c>
      <c r="G1186" s="39" t="inlineStr">
        <is>
          <t>Не использован</t>
        </is>
      </c>
      <c r="H1186" s="148" t="n"/>
      <c r="I1186" s="34" t="str"/>
      <c r="J1186" s="34" t="str"/>
      <c r="K1186" s="130" t="n">
        <v>182</v>
      </c>
      <c r="L1186" s="43">
        <f>IF(COUNTIF($F$5:$F$2407,F1186)=1,"OK","Дубликат")</f>
        <v/>
      </c>
    </row>
    <row r="1187" ht="38" customHeight="1">
      <c r="A1187" s="146" t="inlineStr">
        <is>
          <t>SUB-L3-12-30</t>
        </is>
      </c>
      <c r="B1187" s="39" t="inlineStr">
        <is>
          <t>3 уровень</t>
        </is>
      </c>
      <c r="C1187" s="34" t="inlineStr">
        <is>
          <t>Закрытые условия на абонементы</t>
        </is>
      </c>
      <c r="D1187" s="34" t="inlineStr">
        <is>
          <t>Скидка 30% на абонемент 12 занятий</t>
        </is>
      </c>
      <c r="E1187" s="34" t="inlineStr">
        <is>
          <t>При покупке абонемента на 12 занятий</t>
        </is>
      </c>
      <c r="F1187" s="147" t="inlineStr">
        <is>
          <t>FW-L3-5GQ6P-EPGRU</t>
        </is>
      </c>
      <c r="G1187" s="39" t="inlineStr">
        <is>
          <t>Не использован</t>
        </is>
      </c>
      <c r="H1187" s="148" t="n"/>
      <c r="I1187" s="34" t="str"/>
      <c r="J1187" s="34" t="str"/>
      <c r="K1187" s="130" t="n">
        <v>183</v>
      </c>
      <c r="L1187" s="43">
        <f>IF(COUNTIF($F$5:$F$2407,F1187)=1,"OK","Дубликат")</f>
        <v/>
      </c>
    </row>
    <row r="1188" ht="38" customHeight="1">
      <c r="A1188" s="146" t="inlineStr">
        <is>
          <t>SUB-L3-12-30</t>
        </is>
      </c>
      <c r="B1188" s="39" t="inlineStr">
        <is>
          <t>3 уровень</t>
        </is>
      </c>
      <c r="C1188" s="34" t="inlineStr">
        <is>
          <t>Закрытые условия на абонементы</t>
        </is>
      </c>
      <c r="D1188" s="34" t="inlineStr">
        <is>
          <t>Скидка 30% на абонемент 12 занятий</t>
        </is>
      </c>
      <c r="E1188" s="34" t="inlineStr">
        <is>
          <t>При покупке абонемента на 12 занятий</t>
        </is>
      </c>
      <c r="F1188" s="147" t="inlineStr">
        <is>
          <t>FW-L3-FD79B-ADU78</t>
        </is>
      </c>
      <c r="G1188" s="39" t="inlineStr">
        <is>
          <t>Не использован</t>
        </is>
      </c>
      <c r="H1188" s="148" t="n"/>
      <c r="I1188" s="34" t="str"/>
      <c r="J1188" s="34" t="str"/>
      <c r="K1188" s="130" t="n">
        <v>184</v>
      </c>
      <c r="L1188" s="43">
        <f>IF(COUNTIF($F$5:$F$2407,F1188)=1,"OK","Дубликат")</f>
        <v/>
      </c>
    </row>
    <row r="1189" ht="38" customHeight="1">
      <c r="A1189" s="146" t="inlineStr">
        <is>
          <t>SUB-L3-12-30</t>
        </is>
      </c>
      <c r="B1189" s="39" t="inlineStr">
        <is>
          <t>3 уровень</t>
        </is>
      </c>
      <c r="C1189" s="34" t="inlineStr">
        <is>
          <t>Закрытые условия на абонементы</t>
        </is>
      </c>
      <c r="D1189" s="34" t="inlineStr">
        <is>
          <t>Скидка 30% на абонемент 12 занятий</t>
        </is>
      </c>
      <c r="E1189" s="34" t="inlineStr">
        <is>
          <t>При покупке абонемента на 12 занятий</t>
        </is>
      </c>
      <c r="F1189" s="147" t="inlineStr">
        <is>
          <t>FW-L3-F6BVR-5CBVS</t>
        </is>
      </c>
      <c r="G1189" s="39" t="inlineStr">
        <is>
          <t>Не использован</t>
        </is>
      </c>
      <c r="H1189" s="148" t="n"/>
      <c r="I1189" s="34" t="str"/>
      <c r="J1189" s="34" t="str"/>
      <c r="K1189" s="130" t="n">
        <v>185</v>
      </c>
      <c r="L1189" s="43">
        <f>IF(COUNTIF($F$5:$F$2407,F1189)=1,"OK","Дубликат")</f>
        <v/>
      </c>
    </row>
    <row r="1190" ht="38" customHeight="1">
      <c r="A1190" s="146" t="inlineStr">
        <is>
          <t>SUB-L3-12-30</t>
        </is>
      </c>
      <c r="B1190" s="39" t="inlineStr">
        <is>
          <t>3 уровень</t>
        </is>
      </c>
      <c r="C1190" s="34" t="inlineStr">
        <is>
          <t>Закрытые условия на абонементы</t>
        </is>
      </c>
      <c r="D1190" s="34" t="inlineStr">
        <is>
          <t>Скидка 30% на абонемент 12 занятий</t>
        </is>
      </c>
      <c r="E1190" s="34" t="inlineStr">
        <is>
          <t>При покупке абонемента на 12 занятий</t>
        </is>
      </c>
      <c r="F1190" s="147" t="inlineStr">
        <is>
          <t>FW-L3-CELEW-45RQY</t>
        </is>
      </c>
      <c r="G1190" s="39" t="inlineStr">
        <is>
          <t>Не использован</t>
        </is>
      </c>
      <c r="H1190" s="148" t="n"/>
      <c r="I1190" s="34" t="str"/>
      <c r="J1190" s="34" t="str"/>
      <c r="K1190" s="130" t="n">
        <v>186</v>
      </c>
      <c r="L1190" s="43">
        <f>IF(COUNTIF($F$5:$F$2407,F1190)=1,"OK","Дубликат")</f>
        <v/>
      </c>
    </row>
    <row r="1191" ht="38" customHeight="1">
      <c r="A1191" s="146" t="inlineStr">
        <is>
          <t>SUB-L3-12-30</t>
        </is>
      </c>
      <c r="B1191" s="39" t="inlineStr">
        <is>
          <t>3 уровень</t>
        </is>
      </c>
      <c r="C1191" s="34" t="inlineStr">
        <is>
          <t>Закрытые условия на абонементы</t>
        </is>
      </c>
      <c r="D1191" s="34" t="inlineStr">
        <is>
          <t>Скидка 30% на абонемент 12 занятий</t>
        </is>
      </c>
      <c r="E1191" s="34" t="inlineStr">
        <is>
          <t>При покупке абонемента на 12 занятий</t>
        </is>
      </c>
      <c r="F1191" s="147" t="inlineStr">
        <is>
          <t>FW-L3-YX2Y3-SRGQ6</t>
        </is>
      </c>
      <c r="G1191" s="39" t="inlineStr">
        <is>
          <t>Не использован</t>
        </is>
      </c>
      <c r="H1191" s="148" t="n"/>
      <c r="I1191" s="34" t="str"/>
      <c r="J1191" s="34" t="str"/>
      <c r="K1191" s="130" t="n">
        <v>187</v>
      </c>
      <c r="L1191" s="43">
        <f>IF(COUNTIF($F$5:$F$2407,F1191)=1,"OK","Дубликат")</f>
        <v/>
      </c>
    </row>
    <row r="1192" ht="38" customHeight="1">
      <c r="A1192" s="146" t="inlineStr">
        <is>
          <t>SUB-L3-12-30</t>
        </is>
      </c>
      <c r="B1192" s="39" t="inlineStr">
        <is>
          <t>3 уровень</t>
        </is>
      </c>
      <c r="C1192" s="34" t="inlineStr">
        <is>
          <t>Закрытые условия на абонементы</t>
        </is>
      </c>
      <c r="D1192" s="34" t="inlineStr">
        <is>
          <t>Скидка 30% на абонемент 12 занятий</t>
        </is>
      </c>
      <c r="E1192" s="34" t="inlineStr">
        <is>
          <t>При покупке абонемента на 12 занятий</t>
        </is>
      </c>
      <c r="F1192" s="147" t="inlineStr">
        <is>
          <t>FW-L3-VLKSQ-PP4XH</t>
        </is>
      </c>
      <c r="G1192" s="39" t="inlineStr">
        <is>
          <t>Не использован</t>
        </is>
      </c>
      <c r="H1192" s="148" t="n"/>
      <c r="I1192" s="34" t="str"/>
      <c r="J1192" s="34" t="str"/>
      <c r="K1192" s="130" t="n">
        <v>188</v>
      </c>
      <c r="L1192" s="43">
        <f>IF(COUNTIF($F$5:$F$2407,F1192)=1,"OK","Дубликат")</f>
        <v/>
      </c>
    </row>
    <row r="1193" ht="38" customHeight="1">
      <c r="A1193" s="146" t="inlineStr">
        <is>
          <t>SUB-L3-12-30</t>
        </is>
      </c>
      <c r="B1193" s="39" t="inlineStr">
        <is>
          <t>3 уровень</t>
        </is>
      </c>
      <c r="C1193" s="34" t="inlineStr">
        <is>
          <t>Закрытые условия на абонементы</t>
        </is>
      </c>
      <c r="D1193" s="34" t="inlineStr">
        <is>
          <t>Скидка 30% на абонемент 12 занятий</t>
        </is>
      </c>
      <c r="E1193" s="34" t="inlineStr">
        <is>
          <t>При покупке абонемента на 12 занятий</t>
        </is>
      </c>
      <c r="F1193" s="147" t="inlineStr">
        <is>
          <t>FW-L3-XAT7R-S5C8C</t>
        </is>
      </c>
      <c r="G1193" s="39" t="inlineStr">
        <is>
          <t>Не использован</t>
        </is>
      </c>
      <c r="H1193" s="148" t="n"/>
      <c r="I1193" s="34" t="str"/>
      <c r="J1193" s="34" t="str"/>
      <c r="K1193" s="130" t="n">
        <v>189</v>
      </c>
      <c r="L1193" s="43">
        <f>IF(COUNTIF($F$5:$F$2407,F1193)=1,"OK","Дубликат")</f>
        <v/>
      </c>
    </row>
    <row r="1194" ht="38" customHeight="1">
      <c r="A1194" s="146" t="inlineStr">
        <is>
          <t>SUB-L3-12-30</t>
        </is>
      </c>
      <c r="B1194" s="39" t="inlineStr">
        <is>
          <t>3 уровень</t>
        </is>
      </c>
      <c r="C1194" s="34" t="inlineStr">
        <is>
          <t>Закрытые условия на абонементы</t>
        </is>
      </c>
      <c r="D1194" s="34" t="inlineStr">
        <is>
          <t>Скидка 30% на абонемент 12 занятий</t>
        </is>
      </c>
      <c r="E1194" s="34" t="inlineStr">
        <is>
          <t>При покупке абонемента на 12 занятий</t>
        </is>
      </c>
      <c r="F1194" s="147" t="inlineStr">
        <is>
          <t>FW-L3-GLFTZ-83XGR</t>
        </is>
      </c>
      <c r="G1194" s="39" t="inlineStr">
        <is>
          <t>Не использован</t>
        </is>
      </c>
      <c r="H1194" s="148" t="n"/>
      <c r="I1194" s="34" t="str"/>
      <c r="J1194" s="34" t="str"/>
      <c r="K1194" s="130" t="n">
        <v>190</v>
      </c>
      <c r="L1194" s="43">
        <f>IF(COUNTIF($F$5:$F$2407,F1194)=1,"OK","Дубликат")</f>
        <v/>
      </c>
    </row>
    <row r="1195" ht="38" customHeight="1">
      <c r="A1195" s="146" t="inlineStr">
        <is>
          <t>SUB-L3-12-30</t>
        </is>
      </c>
      <c r="B1195" s="39" t="inlineStr">
        <is>
          <t>3 уровень</t>
        </is>
      </c>
      <c r="C1195" s="34" t="inlineStr">
        <is>
          <t>Закрытые условия на абонементы</t>
        </is>
      </c>
      <c r="D1195" s="34" t="inlineStr">
        <is>
          <t>Скидка 30% на абонемент 12 занятий</t>
        </is>
      </c>
      <c r="E1195" s="34" t="inlineStr">
        <is>
          <t>При покупке абонемента на 12 занятий</t>
        </is>
      </c>
      <c r="F1195" s="147" t="inlineStr">
        <is>
          <t>FW-L3-637AJ-7EGFE</t>
        </is>
      </c>
      <c r="G1195" s="39" t="inlineStr">
        <is>
          <t>Не использован</t>
        </is>
      </c>
      <c r="H1195" s="148" t="n"/>
      <c r="I1195" s="34" t="str"/>
      <c r="J1195" s="34" t="str"/>
      <c r="K1195" s="130" t="n">
        <v>191</v>
      </c>
      <c r="L1195" s="43">
        <f>IF(COUNTIF($F$5:$F$2407,F1195)=1,"OK","Дубликат")</f>
        <v/>
      </c>
    </row>
    <row r="1196" ht="38" customHeight="1">
      <c r="A1196" s="146" t="inlineStr">
        <is>
          <t>SUB-L3-12-30</t>
        </is>
      </c>
      <c r="B1196" s="39" t="inlineStr">
        <is>
          <t>3 уровень</t>
        </is>
      </c>
      <c r="C1196" s="34" t="inlineStr">
        <is>
          <t>Закрытые условия на абонементы</t>
        </is>
      </c>
      <c r="D1196" s="34" t="inlineStr">
        <is>
          <t>Скидка 30% на абонемент 12 занятий</t>
        </is>
      </c>
      <c r="E1196" s="34" t="inlineStr">
        <is>
          <t>При покупке абонемента на 12 занятий</t>
        </is>
      </c>
      <c r="F1196" s="147" t="inlineStr">
        <is>
          <t>FW-L3-GUT2R-X9EEM</t>
        </is>
      </c>
      <c r="G1196" s="39" t="inlineStr">
        <is>
          <t>Не использован</t>
        </is>
      </c>
      <c r="H1196" s="148" t="n"/>
      <c r="I1196" s="34" t="str"/>
      <c r="J1196" s="34" t="str"/>
      <c r="K1196" s="130" t="n">
        <v>192</v>
      </c>
      <c r="L1196" s="43">
        <f>IF(COUNTIF($F$5:$F$2407,F1196)=1,"OK","Дубликат")</f>
        <v/>
      </c>
    </row>
    <row r="1197" ht="38" customHeight="1">
      <c r="A1197" s="146" t="inlineStr">
        <is>
          <t>SUB-L3-12-30</t>
        </is>
      </c>
      <c r="B1197" s="39" t="inlineStr">
        <is>
          <t>3 уровень</t>
        </is>
      </c>
      <c r="C1197" s="34" t="inlineStr">
        <is>
          <t>Закрытые условия на абонементы</t>
        </is>
      </c>
      <c r="D1197" s="34" t="inlineStr">
        <is>
          <t>Скидка 30% на абонемент 12 занятий</t>
        </is>
      </c>
      <c r="E1197" s="34" t="inlineStr">
        <is>
          <t>При покупке абонемента на 12 занятий</t>
        </is>
      </c>
      <c r="F1197" s="147" t="inlineStr">
        <is>
          <t>FW-L3-HJQKT-CEAEV</t>
        </is>
      </c>
      <c r="G1197" s="39" t="inlineStr">
        <is>
          <t>Не использован</t>
        </is>
      </c>
      <c r="H1197" s="148" t="n"/>
      <c r="I1197" s="34" t="str"/>
      <c r="J1197" s="34" t="str"/>
      <c r="K1197" s="130" t="n">
        <v>193</v>
      </c>
      <c r="L1197" s="43">
        <f>IF(COUNTIF($F$5:$F$2407,F1197)=1,"OK","Дубликат")</f>
        <v/>
      </c>
    </row>
    <row r="1198" ht="38" customHeight="1">
      <c r="A1198" s="146" t="inlineStr">
        <is>
          <t>SUB-L3-12-30</t>
        </is>
      </c>
      <c r="B1198" s="39" t="inlineStr">
        <is>
          <t>3 уровень</t>
        </is>
      </c>
      <c r="C1198" s="34" t="inlineStr">
        <is>
          <t>Закрытые условия на абонементы</t>
        </is>
      </c>
      <c r="D1198" s="34" t="inlineStr">
        <is>
          <t>Скидка 30% на абонемент 12 занятий</t>
        </is>
      </c>
      <c r="E1198" s="34" t="inlineStr">
        <is>
          <t>При покупке абонемента на 12 занятий</t>
        </is>
      </c>
      <c r="F1198" s="147" t="inlineStr">
        <is>
          <t>FW-L3-CVBQX-MR8XH</t>
        </is>
      </c>
      <c r="G1198" s="39" t="inlineStr">
        <is>
          <t>Не использован</t>
        </is>
      </c>
      <c r="H1198" s="148" t="n"/>
      <c r="I1198" s="34" t="str"/>
      <c r="J1198" s="34" t="str"/>
      <c r="K1198" s="130" t="n">
        <v>194</v>
      </c>
      <c r="L1198" s="43">
        <f>IF(COUNTIF($F$5:$F$2407,F1198)=1,"OK","Дубликат")</f>
        <v/>
      </c>
    </row>
    <row r="1199" ht="38" customHeight="1">
      <c r="A1199" s="146" t="inlineStr">
        <is>
          <t>SUB-L3-12-30</t>
        </is>
      </c>
      <c r="B1199" s="39" t="inlineStr">
        <is>
          <t>3 уровень</t>
        </is>
      </c>
      <c r="C1199" s="34" t="inlineStr">
        <is>
          <t>Закрытые условия на абонементы</t>
        </is>
      </c>
      <c r="D1199" s="34" t="inlineStr">
        <is>
          <t>Скидка 30% на абонемент 12 занятий</t>
        </is>
      </c>
      <c r="E1199" s="34" t="inlineStr">
        <is>
          <t>При покупке абонемента на 12 занятий</t>
        </is>
      </c>
      <c r="F1199" s="147" t="inlineStr">
        <is>
          <t>FW-L3-85JDK-V8PBR</t>
        </is>
      </c>
      <c r="G1199" s="39" t="inlineStr">
        <is>
          <t>Не использован</t>
        </is>
      </c>
      <c r="H1199" s="148" t="n"/>
      <c r="I1199" s="34" t="str"/>
      <c r="J1199" s="34" t="str"/>
      <c r="K1199" s="130" t="n">
        <v>195</v>
      </c>
      <c r="L1199" s="43">
        <f>IF(COUNTIF($F$5:$F$2407,F1199)=1,"OK","Дубликат")</f>
        <v/>
      </c>
    </row>
    <row r="1200" ht="38" customHeight="1">
      <c r="A1200" s="146" t="inlineStr">
        <is>
          <t>SUB-L3-12-30</t>
        </is>
      </c>
      <c r="B1200" s="39" t="inlineStr">
        <is>
          <t>3 уровень</t>
        </is>
      </c>
      <c r="C1200" s="34" t="inlineStr">
        <is>
          <t>Закрытые условия на абонементы</t>
        </is>
      </c>
      <c r="D1200" s="34" t="inlineStr">
        <is>
          <t>Скидка 30% на абонемент 12 занятий</t>
        </is>
      </c>
      <c r="E1200" s="34" t="inlineStr">
        <is>
          <t>При покупке абонемента на 12 занятий</t>
        </is>
      </c>
      <c r="F1200" s="147" t="inlineStr">
        <is>
          <t>FW-L3-DQQYD-USQXQ</t>
        </is>
      </c>
      <c r="G1200" s="39" t="inlineStr">
        <is>
          <t>Не использован</t>
        </is>
      </c>
      <c r="H1200" s="148" t="n"/>
      <c r="I1200" s="34" t="str"/>
      <c r="J1200" s="34" t="str"/>
      <c r="K1200" s="130" t="n">
        <v>196</v>
      </c>
      <c r="L1200" s="43">
        <f>IF(COUNTIF($F$5:$F$2407,F1200)=1,"OK","Дубликат")</f>
        <v/>
      </c>
    </row>
    <row r="1201" ht="38" customHeight="1">
      <c r="A1201" s="146" t="inlineStr">
        <is>
          <t>SUB-L3-12-30</t>
        </is>
      </c>
      <c r="B1201" s="39" t="inlineStr">
        <is>
          <t>3 уровень</t>
        </is>
      </c>
      <c r="C1201" s="34" t="inlineStr">
        <is>
          <t>Закрытые условия на абонементы</t>
        </is>
      </c>
      <c r="D1201" s="34" t="inlineStr">
        <is>
          <t>Скидка 30% на абонемент 12 занятий</t>
        </is>
      </c>
      <c r="E1201" s="34" t="inlineStr">
        <is>
          <t>При покупке абонемента на 12 занятий</t>
        </is>
      </c>
      <c r="F1201" s="147" t="inlineStr">
        <is>
          <t>FW-L3-UBTHS-FFNG9</t>
        </is>
      </c>
      <c r="G1201" s="39" t="inlineStr">
        <is>
          <t>Не использован</t>
        </is>
      </c>
      <c r="H1201" s="148" t="n"/>
      <c r="I1201" s="34" t="str"/>
      <c r="J1201" s="34" t="str"/>
      <c r="K1201" s="130" t="n">
        <v>197</v>
      </c>
      <c r="L1201" s="43">
        <f>IF(COUNTIF($F$5:$F$2407,F1201)=1,"OK","Дубликат")</f>
        <v/>
      </c>
    </row>
    <row r="1202" ht="38" customHeight="1">
      <c r="A1202" s="146" t="inlineStr">
        <is>
          <t>SUB-L3-12-30</t>
        </is>
      </c>
      <c r="B1202" s="39" t="inlineStr">
        <is>
          <t>3 уровень</t>
        </is>
      </c>
      <c r="C1202" s="34" t="inlineStr">
        <is>
          <t>Закрытые условия на абонементы</t>
        </is>
      </c>
      <c r="D1202" s="34" t="inlineStr">
        <is>
          <t>Скидка 30% на абонемент 12 занятий</t>
        </is>
      </c>
      <c r="E1202" s="34" t="inlineStr">
        <is>
          <t>При покупке абонемента на 12 занятий</t>
        </is>
      </c>
      <c r="F1202" s="147" t="inlineStr">
        <is>
          <t>FW-L3-JTQK6-Z2LWC</t>
        </is>
      </c>
      <c r="G1202" s="39" t="inlineStr">
        <is>
          <t>Не использован</t>
        </is>
      </c>
      <c r="H1202" s="148" t="n"/>
      <c r="I1202" s="34" t="str"/>
      <c r="J1202" s="34" t="str"/>
      <c r="K1202" s="130" t="n">
        <v>198</v>
      </c>
      <c r="L1202" s="43">
        <f>IF(COUNTIF($F$5:$F$2407,F1202)=1,"OK","Дубликат")</f>
        <v/>
      </c>
    </row>
    <row r="1203" ht="38" customHeight="1">
      <c r="A1203" s="146" t="inlineStr">
        <is>
          <t>SUB-L3-12-30</t>
        </is>
      </c>
      <c r="B1203" s="39" t="inlineStr">
        <is>
          <t>3 уровень</t>
        </is>
      </c>
      <c r="C1203" s="34" t="inlineStr">
        <is>
          <t>Закрытые условия на абонементы</t>
        </is>
      </c>
      <c r="D1203" s="34" t="inlineStr">
        <is>
          <t>Скидка 30% на абонемент 12 занятий</t>
        </is>
      </c>
      <c r="E1203" s="34" t="inlineStr">
        <is>
          <t>При покупке абонемента на 12 занятий</t>
        </is>
      </c>
      <c r="F1203" s="147" t="inlineStr">
        <is>
          <t>FW-L3-CE43X-W3VUK</t>
        </is>
      </c>
      <c r="G1203" s="39" t="inlineStr">
        <is>
          <t>Не использован</t>
        </is>
      </c>
      <c r="H1203" s="148" t="n"/>
      <c r="I1203" s="34" t="str"/>
      <c r="J1203" s="34" t="str"/>
      <c r="K1203" s="130" t="n">
        <v>199</v>
      </c>
      <c r="L1203" s="43">
        <f>IF(COUNTIF($F$5:$F$2407,F1203)=1,"OK","Дубликат")</f>
        <v/>
      </c>
    </row>
    <row r="1204" ht="38" customHeight="1">
      <c r="A1204" s="146" t="inlineStr">
        <is>
          <t>SUB-L3-12-30</t>
        </is>
      </c>
      <c r="B1204" s="39" t="inlineStr">
        <is>
          <t>3 уровень</t>
        </is>
      </c>
      <c r="C1204" s="34" t="inlineStr">
        <is>
          <t>Закрытые условия на абонементы</t>
        </is>
      </c>
      <c r="D1204" s="34" t="inlineStr">
        <is>
          <t>Скидка 30% на абонемент 12 занятий</t>
        </is>
      </c>
      <c r="E1204" s="34" t="inlineStr">
        <is>
          <t>При покупке абонемента на 12 занятий</t>
        </is>
      </c>
      <c r="F1204" s="147" t="inlineStr">
        <is>
          <t>FW-L3-CZ86L-5HQC7</t>
        </is>
      </c>
      <c r="G1204" s="39" t="inlineStr">
        <is>
          <t>Не использован</t>
        </is>
      </c>
      <c r="H1204" s="148" t="n"/>
      <c r="I1204" s="34" t="str"/>
      <c r="J1204" s="34" t="str"/>
      <c r="K1204" s="130" t="n">
        <v>200</v>
      </c>
      <c r="L1204" s="43">
        <f>IF(COUNTIF($F$5:$F$2407,F1204)=1,"OK","Дубликат")</f>
        <v/>
      </c>
    </row>
    <row r="1205" ht="38" customHeight="1">
      <c r="A1205" s="146" t="inlineStr">
        <is>
          <t>SUB-L3-12-40</t>
        </is>
      </c>
      <c r="B1205" s="39" t="inlineStr">
        <is>
          <t>3 уровень</t>
        </is>
      </c>
      <c r="C1205" s="34" t="inlineStr">
        <is>
          <t>Закрытые условия на абонементы</t>
        </is>
      </c>
      <c r="D1205" s="34" t="inlineStr">
        <is>
          <t>Скидка 40% на абонемент 12 занятий</t>
        </is>
      </c>
      <c r="E1205" s="34" t="inlineStr">
        <is>
          <t>При покупке абонемента на 12 занятий</t>
        </is>
      </c>
      <c r="F1205" s="147" t="inlineStr">
        <is>
          <t>FW-L3-UJ7MX-4AR5T</t>
        </is>
      </c>
      <c r="G1205" s="39" t="inlineStr">
        <is>
          <t>Не использован</t>
        </is>
      </c>
      <c r="H1205" s="148" t="n"/>
      <c r="I1205" s="34" t="str"/>
      <c r="J1205" s="34" t="str"/>
      <c r="K1205" s="130" t="n">
        <v>1</v>
      </c>
      <c r="L1205" s="43">
        <f>IF(COUNTIF($F$5:$F$2407,F1205)=1,"OK","Дубликат")</f>
        <v/>
      </c>
    </row>
    <row r="1206" ht="38" customHeight="1">
      <c r="A1206" s="146" t="inlineStr">
        <is>
          <t>SUB-L3-12-40</t>
        </is>
      </c>
      <c r="B1206" s="39" t="inlineStr">
        <is>
          <t>3 уровень</t>
        </is>
      </c>
      <c r="C1206" s="34" t="inlineStr">
        <is>
          <t>Закрытые условия на абонементы</t>
        </is>
      </c>
      <c r="D1206" s="34" t="inlineStr">
        <is>
          <t>Скидка 40% на абонемент 12 занятий</t>
        </is>
      </c>
      <c r="E1206" s="34" t="inlineStr">
        <is>
          <t>При покупке абонемента на 12 занятий</t>
        </is>
      </c>
      <c r="F1206" s="147" t="inlineStr">
        <is>
          <t>FW-L3-ATC6E-NXZFF</t>
        </is>
      </c>
      <c r="G1206" s="39" t="inlineStr">
        <is>
          <t>Не использован</t>
        </is>
      </c>
      <c r="H1206" s="148" t="n"/>
      <c r="I1206" s="34" t="str"/>
      <c r="J1206" s="34" t="str"/>
      <c r="K1206" s="130" t="n">
        <v>2</v>
      </c>
      <c r="L1206" s="43">
        <f>IF(COUNTIF($F$5:$F$2407,F1206)=1,"OK","Дубликат")</f>
        <v/>
      </c>
    </row>
    <row r="1207" ht="38" customHeight="1">
      <c r="A1207" s="146" t="inlineStr">
        <is>
          <t>SUB-L3-12-40</t>
        </is>
      </c>
      <c r="B1207" s="39" t="inlineStr">
        <is>
          <t>3 уровень</t>
        </is>
      </c>
      <c r="C1207" s="34" t="inlineStr">
        <is>
          <t>Закрытые условия на абонементы</t>
        </is>
      </c>
      <c r="D1207" s="34" t="inlineStr">
        <is>
          <t>Скидка 40% на абонемент 12 занятий</t>
        </is>
      </c>
      <c r="E1207" s="34" t="inlineStr">
        <is>
          <t>При покупке абонемента на 12 занятий</t>
        </is>
      </c>
      <c r="F1207" s="147" t="inlineStr">
        <is>
          <t>FW-L3-JYQEV-XG6PJ</t>
        </is>
      </c>
      <c r="G1207" s="39" t="inlineStr">
        <is>
          <t>Не использован</t>
        </is>
      </c>
      <c r="H1207" s="148" t="n"/>
      <c r="I1207" s="34" t="str"/>
      <c r="J1207" s="34" t="str"/>
      <c r="K1207" s="130" t="n">
        <v>3</v>
      </c>
      <c r="L1207" s="43">
        <f>IF(COUNTIF($F$5:$F$2407,F1207)=1,"OK","Дубликат")</f>
        <v/>
      </c>
    </row>
    <row r="1208" ht="38" customHeight="1">
      <c r="A1208" s="146" t="inlineStr">
        <is>
          <t>SUB-L3-12-40</t>
        </is>
      </c>
      <c r="B1208" s="39" t="inlineStr">
        <is>
          <t>3 уровень</t>
        </is>
      </c>
      <c r="C1208" s="34" t="inlineStr">
        <is>
          <t>Закрытые условия на абонементы</t>
        </is>
      </c>
      <c r="D1208" s="34" t="inlineStr">
        <is>
          <t>Скидка 40% на абонемент 12 занятий</t>
        </is>
      </c>
      <c r="E1208" s="34" t="inlineStr">
        <is>
          <t>При покупке абонемента на 12 занятий</t>
        </is>
      </c>
      <c r="F1208" s="147" t="inlineStr">
        <is>
          <t>FW-L3-7SPVD-SWX53</t>
        </is>
      </c>
      <c r="G1208" s="39" t="inlineStr">
        <is>
          <t>Не использован</t>
        </is>
      </c>
      <c r="H1208" s="148" t="n"/>
      <c r="I1208" s="34" t="str"/>
      <c r="J1208" s="34" t="str"/>
      <c r="K1208" s="130" t="n">
        <v>4</v>
      </c>
      <c r="L1208" s="43">
        <f>IF(COUNTIF($F$5:$F$2407,F1208)=1,"OK","Дубликат")</f>
        <v/>
      </c>
    </row>
    <row r="1209" ht="38" customHeight="1">
      <c r="A1209" s="146" t="inlineStr">
        <is>
          <t>SUB-L3-12-40</t>
        </is>
      </c>
      <c r="B1209" s="39" t="inlineStr">
        <is>
          <t>3 уровень</t>
        </is>
      </c>
      <c r="C1209" s="34" t="inlineStr">
        <is>
          <t>Закрытые условия на абонементы</t>
        </is>
      </c>
      <c r="D1209" s="34" t="inlineStr">
        <is>
          <t>Скидка 40% на абонемент 12 занятий</t>
        </is>
      </c>
      <c r="E1209" s="34" t="inlineStr">
        <is>
          <t>При покупке абонемента на 12 занятий</t>
        </is>
      </c>
      <c r="F1209" s="147" t="inlineStr">
        <is>
          <t>FW-L3-4563R-UM9ER</t>
        </is>
      </c>
      <c r="G1209" s="39" t="inlineStr">
        <is>
          <t>Не использован</t>
        </is>
      </c>
      <c r="H1209" s="148" t="n"/>
      <c r="I1209" s="34" t="str"/>
      <c r="J1209" s="34" t="str"/>
      <c r="K1209" s="130" t="n">
        <v>5</v>
      </c>
      <c r="L1209" s="43">
        <f>IF(COUNTIF($F$5:$F$2407,F1209)=1,"OK","Дубликат")</f>
        <v/>
      </c>
    </row>
    <row r="1210" ht="38" customHeight="1">
      <c r="A1210" s="146" t="inlineStr">
        <is>
          <t>SUB-L3-12-40</t>
        </is>
      </c>
      <c r="B1210" s="39" t="inlineStr">
        <is>
          <t>3 уровень</t>
        </is>
      </c>
      <c r="C1210" s="34" t="inlineStr">
        <is>
          <t>Закрытые условия на абонементы</t>
        </is>
      </c>
      <c r="D1210" s="34" t="inlineStr">
        <is>
          <t>Скидка 40% на абонемент 12 занятий</t>
        </is>
      </c>
      <c r="E1210" s="34" t="inlineStr">
        <is>
          <t>При покупке абонемента на 12 занятий</t>
        </is>
      </c>
      <c r="F1210" s="147" t="inlineStr">
        <is>
          <t>FW-L3-6ZEAH-SCVJA</t>
        </is>
      </c>
      <c r="G1210" s="39" t="inlineStr">
        <is>
          <t>Не использован</t>
        </is>
      </c>
      <c r="H1210" s="148" t="n"/>
      <c r="I1210" s="34" t="str"/>
      <c r="J1210" s="34" t="str"/>
      <c r="K1210" s="130" t="n">
        <v>6</v>
      </c>
      <c r="L1210" s="43">
        <f>IF(COUNTIF($F$5:$F$2407,F1210)=1,"OK","Дубликат")</f>
        <v/>
      </c>
    </row>
    <row r="1211" ht="38" customHeight="1">
      <c r="A1211" s="146" t="inlineStr">
        <is>
          <t>SUB-L3-12-40</t>
        </is>
      </c>
      <c r="B1211" s="39" t="inlineStr">
        <is>
          <t>3 уровень</t>
        </is>
      </c>
      <c r="C1211" s="34" t="inlineStr">
        <is>
          <t>Закрытые условия на абонементы</t>
        </is>
      </c>
      <c r="D1211" s="34" t="inlineStr">
        <is>
          <t>Скидка 40% на абонемент 12 занятий</t>
        </is>
      </c>
      <c r="E1211" s="34" t="inlineStr">
        <is>
          <t>При покупке абонемента на 12 занятий</t>
        </is>
      </c>
      <c r="F1211" s="147" t="inlineStr">
        <is>
          <t>FW-L3-TNYV6-3GYQW</t>
        </is>
      </c>
      <c r="G1211" s="39" t="inlineStr">
        <is>
          <t>Не использован</t>
        </is>
      </c>
      <c r="H1211" s="148" t="n"/>
      <c r="I1211" s="34" t="str"/>
      <c r="J1211" s="34" t="str"/>
      <c r="K1211" s="130" t="n">
        <v>7</v>
      </c>
      <c r="L1211" s="43">
        <f>IF(COUNTIF($F$5:$F$2407,F1211)=1,"OK","Дубликат")</f>
        <v/>
      </c>
    </row>
    <row r="1212" ht="38" customHeight="1">
      <c r="A1212" s="146" t="inlineStr">
        <is>
          <t>SUB-L3-12-40</t>
        </is>
      </c>
      <c r="B1212" s="39" t="inlineStr">
        <is>
          <t>3 уровень</t>
        </is>
      </c>
      <c r="C1212" s="34" t="inlineStr">
        <is>
          <t>Закрытые условия на абонементы</t>
        </is>
      </c>
      <c r="D1212" s="34" t="inlineStr">
        <is>
          <t>Скидка 40% на абонемент 12 занятий</t>
        </is>
      </c>
      <c r="E1212" s="34" t="inlineStr">
        <is>
          <t>При покупке абонемента на 12 занятий</t>
        </is>
      </c>
      <c r="F1212" s="147" t="inlineStr">
        <is>
          <t>FW-L3-V2WLP-KEZA6</t>
        </is>
      </c>
      <c r="G1212" s="39" t="inlineStr">
        <is>
          <t>Не использован</t>
        </is>
      </c>
      <c r="H1212" s="148" t="n"/>
      <c r="I1212" s="34" t="str"/>
      <c r="J1212" s="34" t="str"/>
      <c r="K1212" s="130" t="n">
        <v>8</v>
      </c>
      <c r="L1212" s="43">
        <f>IF(COUNTIF($F$5:$F$2407,F1212)=1,"OK","Дубликат")</f>
        <v/>
      </c>
    </row>
    <row r="1213" ht="38" customHeight="1">
      <c r="A1213" s="146" t="inlineStr">
        <is>
          <t>SUB-L3-12-40</t>
        </is>
      </c>
      <c r="B1213" s="39" t="inlineStr">
        <is>
          <t>3 уровень</t>
        </is>
      </c>
      <c r="C1213" s="34" t="inlineStr">
        <is>
          <t>Закрытые условия на абонементы</t>
        </is>
      </c>
      <c r="D1213" s="34" t="inlineStr">
        <is>
          <t>Скидка 40% на абонемент 12 занятий</t>
        </is>
      </c>
      <c r="E1213" s="34" t="inlineStr">
        <is>
          <t>При покупке абонемента на 12 занятий</t>
        </is>
      </c>
      <c r="F1213" s="147" t="inlineStr">
        <is>
          <t>FW-L3-LL6JA-F3MF5</t>
        </is>
      </c>
      <c r="G1213" s="39" t="inlineStr">
        <is>
          <t>Не использован</t>
        </is>
      </c>
      <c r="H1213" s="148" t="n"/>
      <c r="I1213" s="34" t="str"/>
      <c r="J1213" s="34" t="str"/>
      <c r="K1213" s="130" t="n">
        <v>9</v>
      </c>
      <c r="L1213" s="43">
        <f>IF(COUNTIF($F$5:$F$2407,F1213)=1,"OK","Дубликат")</f>
        <v/>
      </c>
    </row>
    <row r="1214" ht="38" customHeight="1">
      <c r="A1214" s="146" t="inlineStr">
        <is>
          <t>SUB-L3-12-40</t>
        </is>
      </c>
      <c r="B1214" s="39" t="inlineStr">
        <is>
          <t>3 уровень</t>
        </is>
      </c>
      <c r="C1214" s="34" t="inlineStr">
        <is>
          <t>Закрытые условия на абонементы</t>
        </is>
      </c>
      <c r="D1214" s="34" t="inlineStr">
        <is>
          <t>Скидка 40% на абонемент 12 занятий</t>
        </is>
      </c>
      <c r="E1214" s="34" t="inlineStr">
        <is>
          <t>При покупке абонемента на 12 занятий</t>
        </is>
      </c>
      <c r="F1214" s="147" t="inlineStr">
        <is>
          <t>FW-L3-TPGSW-JYNRV</t>
        </is>
      </c>
      <c r="G1214" s="39" t="inlineStr">
        <is>
          <t>Не использован</t>
        </is>
      </c>
      <c r="H1214" s="148" t="n"/>
      <c r="I1214" s="34" t="str"/>
      <c r="J1214" s="34" t="str"/>
      <c r="K1214" s="130" t="n">
        <v>10</v>
      </c>
      <c r="L1214" s="43">
        <f>IF(COUNTIF($F$5:$F$2407,F1214)=1,"OK","Дубликат")</f>
        <v/>
      </c>
    </row>
    <row r="1215" ht="38" customHeight="1">
      <c r="A1215" s="146" t="inlineStr">
        <is>
          <t>SUB-L3-12-40</t>
        </is>
      </c>
      <c r="B1215" s="39" t="inlineStr">
        <is>
          <t>3 уровень</t>
        </is>
      </c>
      <c r="C1215" s="34" t="inlineStr">
        <is>
          <t>Закрытые условия на абонементы</t>
        </is>
      </c>
      <c r="D1215" s="34" t="inlineStr">
        <is>
          <t>Скидка 40% на абонемент 12 занятий</t>
        </is>
      </c>
      <c r="E1215" s="34" t="inlineStr">
        <is>
          <t>При покупке абонемента на 12 занятий</t>
        </is>
      </c>
      <c r="F1215" s="147" t="inlineStr">
        <is>
          <t>FW-L3-7P38F-AYK3M</t>
        </is>
      </c>
      <c r="G1215" s="39" t="inlineStr">
        <is>
          <t>Не использован</t>
        </is>
      </c>
      <c r="H1215" s="148" t="n"/>
      <c r="I1215" s="34" t="str"/>
      <c r="J1215" s="34" t="str"/>
      <c r="K1215" s="130" t="n">
        <v>11</v>
      </c>
      <c r="L1215" s="43">
        <f>IF(COUNTIF($F$5:$F$2407,F1215)=1,"OK","Дубликат")</f>
        <v/>
      </c>
    </row>
    <row r="1216" ht="38" customHeight="1">
      <c r="A1216" s="146" t="inlineStr">
        <is>
          <t>SUB-L3-12-40</t>
        </is>
      </c>
      <c r="B1216" s="39" t="inlineStr">
        <is>
          <t>3 уровень</t>
        </is>
      </c>
      <c r="C1216" s="34" t="inlineStr">
        <is>
          <t>Закрытые условия на абонементы</t>
        </is>
      </c>
      <c r="D1216" s="34" t="inlineStr">
        <is>
          <t>Скидка 40% на абонемент 12 занятий</t>
        </is>
      </c>
      <c r="E1216" s="34" t="inlineStr">
        <is>
          <t>При покупке абонемента на 12 занятий</t>
        </is>
      </c>
      <c r="F1216" s="147" t="inlineStr">
        <is>
          <t>FW-L3-UNKMV-3RPND</t>
        </is>
      </c>
      <c r="G1216" s="39" t="inlineStr">
        <is>
          <t>Не использован</t>
        </is>
      </c>
      <c r="H1216" s="148" t="n"/>
      <c r="I1216" s="34" t="str"/>
      <c r="J1216" s="34" t="str"/>
      <c r="K1216" s="130" t="n">
        <v>12</v>
      </c>
      <c r="L1216" s="43">
        <f>IF(COUNTIF($F$5:$F$2407,F1216)=1,"OK","Дубликат")</f>
        <v/>
      </c>
    </row>
    <row r="1217" ht="38" customHeight="1">
      <c r="A1217" s="146" t="inlineStr">
        <is>
          <t>SUB-L3-12-40</t>
        </is>
      </c>
      <c r="B1217" s="39" t="inlineStr">
        <is>
          <t>3 уровень</t>
        </is>
      </c>
      <c r="C1217" s="34" t="inlineStr">
        <is>
          <t>Закрытые условия на абонементы</t>
        </is>
      </c>
      <c r="D1217" s="34" t="inlineStr">
        <is>
          <t>Скидка 40% на абонемент 12 занятий</t>
        </is>
      </c>
      <c r="E1217" s="34" t="inlineStr">
        <is>
          <t>При покупке абонемента на 12 занятий</t>
        </is>
      </c>
      <c r="F1217" s="147" t="inlineStr">
        <is>
          <t>FW-L3-9KNGX-GR2R8</t>
        </is>
      </c>
      <c r="G1217" s="39" t="inlineStr">
        <is>
          <t>Не использован</t>
        </is>
      </c>
      <c r="H1217" s="148" t="n"/>
      <c r="I1217" s="34" t="str"/>
      <c r="J1217" s="34" t="str"/>
      <c r="K1217" s="130" t="n">
        <v>13</v>
      </c>
      <c r="L1217" s="43">
        <f>IF(COUNTIF($F$5:$F$2407,F1217)=1,"OK","Дубликат")</f>
        <v/>
      </c>
    </row>
    <row r="1218" ht="38" customHeight="1">
      <c r="A1218" s="146" t="inlineStr">
        <is>
          <t>SUB-L3-12-40</t>
        </is>
      </c>
      <c r="B1218" s="39" t="inlineStr">
        <is>
          <t>3 уровень</t>
        </is>
      </c>
      <c r="C1218" s="34" t="inlineStr">
        <is>
          <t>Закрытые условия на абонементы</t>
        </is>
      </c>
      <c r="D1218" s="34" t="inlineStr">
        <is>
          <t>Скидка 40% на абонемент 12 занятий</t>
        </is>
      </c>
      <c r="E1218" s="34" t="inlineStr">
        <is>
          <t>При покупке абонемента на 12 занятий</t>
        </is>
      </c>
      <c r="F1218" s="147" t="inlineStr">
        <is>
          <t>FW-L3-LXYGV-JCRDG</t>
        </is>
      </c>
      <c r="G1218" s="39" t="inlineStr">
        <is>
          <t>Не использован</t>
        </is>
      </c>
      <c r="H1218" s="148" t="n"/>
      <c r="I1218" s="34" t="str"/>
      <c r="J1218" s="34" t="str"/>
      <c r="K1218" s="130" t="n">
        <v>14</v>
      </c>
      <c r="L1218" s="43">
        <f>IF(COUNTIF($F$5:$F$2407,F1218)=1,"OK","Дубликат")</f>
        <v/>
      </c>
    </row>
    <row r="1219" ht="38" customHeight="1">
      <c r="A1219" s="146" t="inlineStr">
        <is>
          <t>SUB-L3-12-40</t>
        </is>
      </c>
      <c r="B1219" s="39" t="inlineStr">
        <is>
          <t>3 уровень</t>
        </is>
      </c>
      <c r="C1219" s="34" t="inlineStr">
        <is>
          <t>Закрытые условия на абонементы</t>
        </is>
      </c>
      <c r="D1219" s="34" t="inlineStr">
        <is>
          <t>Скидка 40% на абонемент 12 занятий</t>
        </is>
      </c>
      <c r="E1219" s="34" t="inlineStr">
        <is>
          <t>При покупке абонемента на 12 занятий</t>
        </is>
      </c>
      <c r="F1219" s="147" t="inlineStr">
        <is>
          <t>FW-L3-KBXTV-W2UCU</t>
        </is>
      </c>
      <c r="G1219" s="39" t="inlineStr">
        <is>
          <t>Не использован</t>
        </is>
      </c>
      <c r="H1219" s="148" t="n"/>
      <c r="I1219" s="34" t="str"/>
      <c r="J1219" s="34" t="str"/>
      <c r="K1219" s="130" t="n">
        <v>15</v>
      </c>
      <c r="L1219" s="43">
        <f>IF(COUNTIF($F$5:$F$2407,F1219)=1,"OK","Дубликат")</f>
        <v/>
      </c>
    </row>
    <row r="1220" ht="38" customHeight="1">
      <c r="A1220" s="146" t="inlineStr">
        <is>
          <t>SUB-L3-12-40</t>
        </is>
      </c>
      <c r="B1220" s="39" t="inlineStr">
        <is>
          <t>3 уровень</t>
        </is>
      </c>
      <c r="C1220" s="34" t="inlineStr">
        <is>
          <t>Закрытые условия на абонементы</t>
        </is>
      </c>
      <c r="D1220" s="34" t="inlineStr">
        <is>
          <t>Скидка 40% на абонемент 12 занятий</t>
        </is>
      </c>
      <c r="E1220" s="34" t="inlineStr">
        <is>
          <t>При покупке абонемента на 12 занятий</t>
        </is>
      </c>
      <c r="F1220" s="147" t="inlineStr">
        <is>
          <t>FW-L3-PU7EM-7MJXJ</t>
        </is>
      </c>
      <c r="G1220" s="39" t="inlineStr">
        <is>
          <t>Не использован</t>
        </is>
      </c>
      <c r="H1220" s="148" t="n"/>
      <c r="I1220" s="34" t="str"/>
      <c r="J1220" s="34" t="str"/>
      <c r="K1220" s="130" t="n">
        <v>16</v>
      </c>
      <c r="L1220" s="43">
        <f>IF(COUNTIF($F$5:$F$2407,F1220)=1,"OK","Дубликат")</f>
        <v/>
      </c>
    </row>
    <row r="1221" ht="38" customHeight="1">
      <c r="A1221" s="146" t="inlineStr">
        <is>
          <t>SUB-L3-12-40</t>
        </is>
      </c>
      <c r="B1221" s="39" t="inlineStr">
        <is>
          <t>3 уровень</t>
        </is>
      </c>
      <c r="C1221" s="34" t="inlineStr">
        <is>
          <t>Закрытые условия на абонементы</t>
        </is>
      </c>
      <c r="D1221" s="34" t="inlineStr">
        <is>
          <t>Скидка 40% на абонемент 12 занятий</t>
        </is>
      </c>
      <c r="E1221" s="34" t="inlineStr">
        <is>
          <t>При покупке абонемента на 12 занятий</t>
        </is>
      </c>
      <c r="F1221" s="147" t="inlineStr">
        <is>
          <t>FW-L3-8S7ZJ-VPKPY</t>
        </is>
      </c>
      <c r="G1221" s="39" t="inlineStr">
        <is>
          <t>Не использован</t>
        </is>
      </c>
      <c r="H1221" s="148" t="n"/>
      <c r="I1221" s="34" t="str"/>
      <c r="J1221" s="34" t="str"/>
      <c r="K1221" s="130" t="n">
        <v>17</v>
      </c>
      <c r="L1221" s="43">
        <f>IF(COUNTIF($F$5:$F$2407,F1221)=1,"OK","Дубликат")</f>
        <v/>
      </c>
    </row>
    <row r="1222" ht="38" customHeight="1">
      <c r="A1222" s="146" t="inlineStr">
        <is>
          <t>SUB-L3-12-40</t>
        </is>
      </c>
      <c r="B1222" s="39" t="inlineStr">
        <is>
          <t>3 уровень</t>
        </is>
      </c>
      <c r="C1222" s="34" t="inlineStr">
        <is>
          <t>Закрытые условия на абонементы</t>
        </is>
      </c>
      <c r="D1222" s="34" t="inlineStr">
        <is>
          <t>Скидка 40% на абонемент 12 занятий</t>
        </is>
      </c>
      <c r="E1222" s="34" t="inlineStr">
        <is>
          <t>При покупке абонемента на 12 занятий</t>
        </is>
      </c>
      <c r="F1222" s="147" t="inlineStr">
        <is>
          <t>FW-L3-JA6MZ-396G6</t>
        </is>
      </c>
      <c r="G1222" s="39" t="inlineStr">
        <is>
          <t>Не использован</t>
        </is>
      </c>
      <c r="H1222" s="148" t="n"/>
      <c r="I1222" s="34" t="str"/>
      <c r="J1222" s="34" t="str"/>
      <c r="K1222" s="130" t="n">
        <v>18</v>
      </c>
      <c r="L1222" s="43">
        <f>IF(COUNTIF($F$5:$F$2407,F1222)=1,"OK","Дубликат")</f>
        <v/>
      </c>
    </row>
    <row r="1223" ht="38" customHeight="1">
      <c r="A1223" s="146" t="inlineStr">
        <is>
          <t>SUB-L3-12-40</t>
        </is>
      </c>
      <c r="B1223" s="39" t="inlineStr">
        <is>
          <t>3 уровень</t>
        </is>
      </c>
      <c r="C1223" s="34" t="inlineStr">
        <is>
          <t>Закрытые условия на абонементы</t>
        </is>
      </c>
      <c r="D1223" s="34" t="inlineStr">
        <is>
          <t>Скидка 40% на абонемент 12 занятий</t>
        </is>
      </c>
      <c r="E1223" s="34" t="inlineStr">
        <is>
          <t>При покупке абонемента на 12 занятий</t>
        </is>
      </c>
      <c r="F1223" s="147" t="inlineStr">
        <is>
          <t>FW-L3-GVRJK-3EW54</t>
        </is>
      </c>
      <c r="G1223" s="39" t="inlineStr">
        <is>
          <t>Не использован</t>
        </is>
      </c>
      <c r="H1223" s="148" t="n"/>
      <c r="I1223" s="34" t="str"/>
      <c r="J1223" s="34" t="str"/>
      <c r="K1223" s="130" t="n">
        <v>19</v>
      </c>
      <c r="L1223" s="43">
        <f>IF(COUNTIF($F$5:$F$2407,F1223)=1,"OK","Дубликат")</f>
        <v/>
      </c>
    </row>
    <row r="1224" ht="38" customHeight="1">
      <c r="A1224" s="146" t="inlineStr">
        <is>
          <t>SUB-L3-12-40</t>
        </is>
      </c>
      <c r="B1224" s="39" t="inlineStr">
        <is>
          <t>3 уровень</t>
        </is>
      </c>
      <c r="C1224" s="34" t="inlineStr">
        <is>
          <t>Закрытые условия на абонементы</t>
        </is>
      </c>
      <c r="D1224" s="34" t="inlineStr">
        <is>
          <t>Скидка 40% на абонемент 12 занятий</t>
        </is>
      </c>
      <c r="E1224" s="34" t="inlineStr">
        <is>
          <t>При покупке абонемента на 12 занятий</t>
        </is>
      </c>
      <c r="F1224" s="147" t="inlineStr">
        <is>
          <t>FW-L3-F2MUQ-T6KSY</t>
        </is>
      </c>
      <c r="G1224" s="39" t="inlineStr">
        <is>
          <t>Не использован</t>
        </is>
      </c>
      <c r="H1224" s="148" t="n"/>
      <c r="I1224" s="34" t="str"/>
      <c r="J1224" s="34" t="str"/>
      <c r="K1224" s="130" t="n">
        <v>20</v>
      </c>
      <c r="L1224" s="43">
        <f>IF(COUNTIF($F$5:$F$2407,F1224)=1,"OK","Дубликат")</f>
        <v/>
      </c>
    </row>
    <row r="1225" ht="38" customHeight="1">
      <c r="A1225" s="146" t="inlineStr">
        <is>
          <t>SUB-L3-12-40</t>
        </is>
      </c>
      <c r="B1225" s="39" t="inlineStr">
        <is>
          <t>3 уровень</t>
        </is>
      </c>
      <c r="C1225" s="34" t="inlineStr">
        <is>
          <t>Закрытые условия на абонементы</t>
        </is>
      </c>
      <c r="D1225" s="34" t="inlineStr">
        <is>
          <t>Скидка 40% на абонемент 12 занятий</t>
        </is>
      </c>
      <c r="E1225" s="34" t="inlineStr">
        <is>
          <t>При покупке абонемента на 12 занятий</t>
        </is>
      </c>
      <c r="F1225" s="147" t="inlineStr">
        <is>
          <t>FW-L3-PLDHL-WLY2K</t>
        </is>
      </c>
      <c r="G1225" s="39" t="inlineStr">
        <is>
          <t>Не использован</t>
        </is>
      </c>
      <c r="H1225" s="148" t="n"/>
      <c r="I1225" s="34" t="str"/>
      <c r="J1225" s="34" t="str"/>
      <c r="K1225" s="130" t="n">
        <v>21</v>
      </c>
      <c r="L1225" s="43">
        <f>IF(COUNTIF($F$5:$F$2407,F1225)=1,"OK","Дубликат")</f>
        <v/>
      </c>
    </row>
    <row r="1226" ht="38" customHeight="1">
      <c r="A1226" s="146" t="inlineStr">
        <is>
          <t>SUB-L3-12-40</t>
        </is>
      </c>
      <c r="B1226" s="39" t="inlineStr">
        <is>
          <t>3 уровень</t>
        </is>
      </c>
      <c r="C1226" s="34" t="inlineStr">
        <is>
          <t>Закрытые условия на абонементы</t>
        </is>
      </c>
      <c r="D1226" s="34" t="inlineStr">
        <is>
          <t>Скидка 40% на абонемент 12 занятий</t>
        </is>
      </c>
      <c r="E1226" s="34" t="inlineStr">
        <is>
          <t>При покупке абонемента на 12 занятий</t>
        </is>
      </c>
      <c r="F1226" s="147" t="inlineStr">
        <is>
          <t>FW-L3-M43KU-AW3VA</t>
        </is>
      </c>
      <c r="G1226" s="39" t="inlineStr">
        <is>
          <t>Не использован</t>
        </is>
      </c>
      <c r="H1226" s="148" t="n"/>
      <c r="I1226" s="34" t="str"/>
      <c r="J1226" s="34" t="str"/>
      <c r="K1226" s="130" t="n">
        <v>22</v>
      </c>
      <c r="L1226" s="43">
        <f>IF(COUNTIF($F$5:$F$2407,F1226)=1,"OK","Дубликат")</f>
        <v/>
      </c>
    </row>
    <row r="1227" ht="38" customHeight="1">
      <c r="A1227" s="146" t="inlineStr">
        <is>
          <t>SUB-L3-12-40</t>
        </is>
      </c>
      <c r="B1227" s="39" t="inlineStr">
        <is>
          <t>3 уровень</t>
        </is>
      </c>
      <c r="C1227" s="34" t="inlineStr">
        <is>
          <t>Закрытые условия на абонементы</t>
        </is>
      </c>
      <c r="D1227" s="34" t="inlineStr">
        <is>
          <t>Скидка 40% на абонемент 12 занятий</t>
        </is>
      </c>
      <c r="E1227" s="34" t="inlineStr">
        <is>
          <t>При покупке абонемента на 12 занятий</t>
        </is>
      </c>
      <c r="F1227" s="147" t="inlineStr">
        <is>
          <t>FW-L3-82F7W-QUBLT</t>
        </is>
      </c>
      <c r="G1227" s="39" t="inlineStr">
        <is>
          <t>Не использован</t>
        </is>
      </c>
      <c r="H1227" s="148" t="n"/>
      <c r="I1227" s="34" t="str"/>
      <c r="J1227" s="34" t="str"/>
      <c r="K1227" s="130" t="n">
        <v>23</v>
      </c>
      <c r="L1227" s="43">
        <f>IF(COUNTIF($F$5:$F$2407,F1227)=1,"OK","Дубликат")</f>
        <v/>
      </c>
    </row>
    <row r="1228" ht="38" customHeight="1">
      <c r="A1228" s="146" t="inlineStr">
        <is>
          <t>SUB-L3-12-40</t>
        </is>
      </c>
      <c r="B1228" s="39" t="inlineStr">
        <is>
          <t>3 уровень</t>
        </is>
      </c>
      <c r="C1228" s="34" t="inlineStr">
        <is>
          <t>Закрытые условия на абонементы</t>
        </is>
      </c>
      <c r="D1228" s="34" t="inlineStr">
        <is>
          <t>Скидка 40% на абонемент 12 занятий</t>
        </is>
      </c>
      <c r="E1228" s="34" t="inlineStr">
        <is>
          <t>При покупке абонемента на 12 занятий</t>
        </is>
      </c>
      <c r="F1228" s="147" t="inlineStr">
        <is>
          <t>FW-L3-ZAUEJ-R7JJU</t>
        </is>
      </c>
      <c r="G1228" s="39" t="inlineStr">
        <is>
          <t>Не использован</t>
        </is>
      </c>
      <c r="H1228" s="148" t="n"/>
      <c r="I1228" s="34" t="str"/>
      <c r="J1228" s="34" t="str"/>
      <c r="K1228" s="130" t="n">
        <v>24</v>
      </c>
      <c r="L1228" s="43">
        <f>IF(COUNTIF($F$5:$F$2407,F1228)=1,"OK","Дубликат")</f>
        <v/>
      </c>
    </row>
    <row r="1229" ht="38" customHeight="1">
      <c r="A1229" s="146" t="inlineStr">
        <is>
          <t>SUB-L3-12-40</t>
        </is>
      </c>
      <c r="B1229" s="39" t="inlineStr">
        <is>
          <t>3 уровень</t>
        </is>
      </c>
      <c r="C1229" s="34" t="inlineStr">
        <is>
          <t>Закрытые условия на абонементы</t>
        </is>
      </c>
      <c r="D1229" s="34" t="inlineStr">
        <is>
          <t>Скидка 40% на абонемент 12 занятий</t>
        </is>
      </c>
      <c r="E1229" s="34" t="inlineStr">
        <is>
          <t>При покупке абонемента на 12 занятий</t>
        </is>
      </c>
      <c r="F1229" s="147" t="inlineStr">
        <is>
          <t>FW-L3-5944N-2WLGE</t>
        </is>
      </c>
      <c r="G1229" s="39" t="inlineStr">
        <is>
          <t>Не использован</t>
        </is>
      </c>
      <c r="H1229" s="148" t="n"/>
      <c r="I1229" s="34" t="str"/>
      <c r="J1229" s="34" t="str"/>
      <c r="K1229" s="130" t="n">
        <v>25</v>
      </c>
      <c r="L1229" s="43">
        <f>IF(COUNTIF($F$5:$F$2407,F1229)=1,"OK","Дубликат")</f>
        <v/>
      </c>
    </row>
    <row r="1230" ht="38" customHeight="1">
      <c r="A1230" s="146" t="inlineStr">
        <is>
          <t>SUB-L3-12-40</t>
        </is>
      </c>
      <c r="B1230" s="39" t="inlineStr">
        <is>
          <t>3 уровень</t>
        </is>
      </c>
      <c r="C1230" s="34" t="inlineStr">
        <is>
          <t>Закрытые условия на абонементы</t>
        </is>
      </c>
      <c r="D1230" s="34" t="inlineStr">
        <is>
          <t>Скидка 40% на абонемент 12 занятий</t>
        </is>
      </c>
      <c r="E1230" s="34" t="inlineStr">
        <is>
          <t>При покупке абонемента на 12 занятий</t>
        </is>
      </c>
      <c r="F1230" s="147" t="inlineStr">
        <is>
          <t>FW-L3-XM9LW-6HUPB</t>
        </is>
      </c>
      <c r="G1230" s="39" t="inlineStr">
        <is>
          <t>Не использован</t>
        </is>
      </c>
      <c r="H1230" s="148" t="n"/>
      <c r="I1230" s="34" t="str"/>
      <c r="J1230" s="34" t="str"/>
      <c r="K1230" s="130" t="n">
        <v>26</v>
      </c>
      <c r="L1230" s="43">
        <f>IF(COUNTIF($F$5:$F$2407,F1230)=1,"OK","Дубликат")</f>
        <v/>
      </c>
    </row>
    <row r="1231" ht="38" customHeight="1">
      <c r="A1231" s="146" t="inlineStr">
        <is>
          <t>SUB-L3-12-40</t>
        </is>
      </c>
      <c r="B1231" s="39" t="inlineStr">
        <is>
          <t>3 уровень</t>
        </is>
      </c>
      <c r="C1231" s="34" t="inlineStr">
        <is>
          <t>Закрытые условия на абонементы</t>
        </is>
      </c>
      <c r="D1231" s="34" t="inlineStr">
        <is>
          <t>Скидка 40% на абонемент 12 занятий</t>
        </is>
      </c>
      <c r="E1231" s="34" t="inlineStr">
        <is>
          <t>При покупке абонемента на 12 занятий</t>
        </is>
      </c>
      <c r="F1231" s="147" t="inlineStr">
        <is>
          <t>FW-L3-2BXJK-NHV95</t>
        </is>
      </c>
      <c r="G1231" s="39" t="inlineStr">
        <is>
          <t>Не использован</t>
        </is>
      </c>
      <c r="H1231" s="148" t="n"/>
      <c r="I1231" s="34" t="str"/>
      <c r="J1231" s="34" t="str"/>
      <c r="K1231" s="130" t="n">
        <v>27</v>
      </c>
      <c r="L1231" s="43">
        <f>IF(COUNTIF($F$5:$F$2407,F1231)=1,"OK","Дубликат")</f>
        <v/>
      </c>
    </row>
    <row r="1232" ht="38" customHeight="1">
      <c r="A1232" s="146" t="inlineStr">
        <is>
          <t>SUB-L3-12-40</t>
        </is>
      </c>
      <c r="B1232" s="39" t="inlineStr">
        <is>
          <t>3 уровень</t>
        </is>
      </c>
      <c r="C1232" s="34" t="inlineStr">
        <is>
          <t>Закрытые условия на абонементы</t>
        </is>
      </c>
      <c r="D1232" s="34" t="inlineStr">
        <is>
          <t>Скидка 40% на абонемент 12 занятий</t>
        </is>
      </c>
      <c r="E1232" s="34" t="inlineStr">
        <is>
          <t>При покупке абонемента на 12 занятий</t>
        </is>
      </c>
      <c r="F1232" s="147" t="inlineStr">
        <is>
          <t>FW-L3-74FKX-EYXZB</t>
        </is>
      </c>
      <c r="G1232" s="39" t="inlineStr">
        <is>
          <t>Не использован</t>
        </is>
      </c>
      <c r="H1232" s="148" t="n"/>
      <c r="I1232" s="34" t="str"/>
      <c r="J1232" s="34" t="str"/>
      <c r="K1232" s="130" t="n">
        <v>28</v>
      </c>
      <c r="L1232" s="43">
        <f>IF(COUNTIF($F$5:$F$2407,F1232)=1,"OK","Дубликат")</f>
        <v/>
      </c>
    </row>
    <row r="1233" ht="38" customHeight="1">
      <c r="A1233" s="146" t="inlineStr">
        <is>
          <t>SUB-L3-12-40</t>
        </is>
      </c>
      <c r="B1233" s="39" t="inlineStr">
        <is>
          <t>3 уровень</t>
        </is>
      </c>
      <c r="C1233" s="34" t="inlineStr">
        <is>
          <t>Закрытые условия на абонементы</t>
        </is>
      </c>
      <c r="D1233" s="34" t="inlineStr">
        <is>
          <t>Скидка 40% на абонемент 12 занятий</t>
        </is>
      </c>
      <c r="E1233" s="34" t="inlineStr">
        <is>
          <t>При покупке абонемента на 12 занятий</t>
        </is>
      </c>
      <c r="F1233" s="147" t="inlineStr">
        <is>
          <t>FW-L3-N5QMJ-RMFDH</t>
        </is>
      </c>
      <c r="G1233" s="39" t="inlineStr">
        <is>
          <t>Не использован</t>
        </is>
      </c>
      <c r="H1233" s="148" t="n"/>
      <c r="I1233" s="34" t="str"/>
      <c r="J1233" s="34" t="str"/>
      <c r="K1233" s="130" t="n">
        <v>29</v>
      </c>
      <c r="L1233" s="43">
        <f>IF(COUNTIF($F$5:$F$2407,F1233)=1,"OK","Дубликат")</f>
        <v/>
      </c>
    </row>
    <row r="1234" ht="38" customHeight="1">
      <c r="A1234" s="146" t="inlineStr">
        <is>
          <t>SUB-L3-12-40</t>
        </is>
      </c>
      <c r="B1234" s="39" t="inlineStr">
        <is>
          <t>3 уровень</t>
        </is>
      </c>
      <c r="C1234" s="34" t="inlineStr">
        <is>
          <t>Закрытые условия на абонементы</t>
        </is>
      </c>
      <c r="D1234" s="34" t="inlineStr">
        <is>
          <t>Скидка 40% на абонемент 12 занятий</t>
        </is>
      </c>
      <c r="E1234" s="34" t="inlineStr">
        <is>
          <t>При покупке абонемента на 12 занятий</t>
        </is>
      </c>
      <c r="F1234" s="147" t="inlineStr">
        <is>
          <t>FW-L3-HJVAQ-VEQ9M</t>
        </is>
      </c>
      <c r="G1234" s="39" t="inlineStr">
        <is>
          <t>Не использован</t>
        </is>
      </c>
      <c r="H1234" s="148" t="n"/>
      <c r="I1234" s="34" t="str"/>
      <c r="J1234" s="34" t="str"/>
      <c r="K1234" s="130" t="n">
        <v>30</v>
      </c>
      <c r="L1234" s="43">
        <f>IF(COUNTIF($F$5:$F$2407,F1234)=1,"OK","Дубликат")</f>
        <v/>
      </c>
    </row>
    <row r="1235" ht="38" customHeight="1">
      <c r="A1235" s="146" t="inlineStr">
        <is>
          <t>SUB-L3-12-40</t>
        </is>
      </c>
      <c r="B1235" s="39" t="inlineStr">
        <is>
          <t>3 уровень</t>
        </is>
      </c>
      <c r="C1235" s="34" t="inlineStr">
        <is>
          <t>Закрытые условия на абонементы</t>
        </is>
      </c>
      <c r="D1235" s="34" t="inlineStr">
        <is>
          <t>Скидка 40% на абонемент 12 занятий</t>
        </is>
      </c>
      <c r="E1235" s="34" t="inlineStr">
        <is>
          <t>При покупке абонемента на 12 занятий</t>
        </is>
      </c>
      <c r="F1235" s="147" t="inlineStr">
        <is>
          <t>FW-L3-RCQNW-ZJFW5</t>
        </is>
      </c>
      <c r="G1235" s="39" t="inlineStr">
        <is>
          <t>Не использован</t>
        </is>
      </c>
      <c r="H1235" s="148" t="n"/>
      <c r="I1235" s="34" t="str"/>
      <c r="J1235" s="34" t="str"/>
      <c r="K1235" s="130" t="n">
        <v>31</v>
      </c>
      <c r="L1235" s="43">
        <f>IF(COUNTIF($F$5:$F$2407,F1235)=1,"OK","Дубликат")</f>
        <v/>
      </c>
    </row>
    <row r="1236" ht="38" customHeight="1">
      <c r="A1236" s="146" t="inlineStr">
        <is>
          <t>SUB-L3-12-40</t>
        </is>
      </c>
      <c r="B1236" s="39" t="inlineStr">
        <is>
          <t>3 уровень</t>
        </is>
      </c>
      <c r="C1236" s="34" t="inlineStr">
        <is>
          <t>Закрытые условия на абонементы</t>
        </is>
      </c>
      <c r="D1236" s="34" t="inlineStr">
        <is>
          <t>Скидка 40% на абонемент 12 занятий</t>
        </is>
      </c>
      <c r="E1236" s="34" t="inlineStr">
        <is>
          <t>При покупке абонемента на 12 занятий</t>
        </is>
      </c>
      <c r="F1236" s="147" t="inlineStr">
        <is>
          <t>FW-L3-CDTM7-MVFUY</t>
        </is>
      </c>
      <c r="G1236" s="39" t="inlineStr">
        <is>
          <t>Не использован</t>
        </is>
      </c>
      <c r="H1236" s="148" t="n"/>
      <c r="I1236" s="34" t="str"/>
      <c r="J1236" s="34" t="str"/>
      <c r="K1236" s="130" t="n">
        <v>32</v>
      </c>
      <c r="L1236" s="43">
        <f>IF(COUNTIF($F$5:$F$2407,F1236)=1,"OK","Дубликат")</f>
        <v/>
      </c>
    </row>
    <row r="1237" ht="38" customHeight="1">
      <c r="A1237" s="146" t="inlineStr">
        <is>
          <t>SUB-L3-12-40</t>
        </is>
      </c>
      <c r="B1237" s="39" t="inlineStr">
        <is>
          <t>3 уровень</t>
        </is>
      </c>
      <c r="C1237" s="34" t="inlineStr">
        <is>
          <t>Закрытые условия на абонементы</t>
        </is>
      </c>
      <c r="D1237" s="34" t="inlineStr">
        <is>
          <t>Скидка 40% на абонемент 12 занятий</t>
        </is>
      </c>
      <c r="E1237" s="34" t="inlineStr">
        <is>
          <t>При покупке абонемента на 12 занятий</t>
        </is>
      </c>
      <c r="F1237" s="147" t="inlineStr">
        <is>
          <t>FW-L3-HEHB2-AGTQU</t>
        </is>
      </c>
      <c r="G1237" s="39" t="inlineStr">
        <is>
          <t>Не использован</t>
        </is>
      </c>
      <c r="H1237" s="148" t="n"/>
      <c r="I1237" s="34" t="str"/>
      <c r="J1237" s="34" t="str"/>
      <c r="K1237" s="130" t="n">
        <v>33</v>
      </c>
      <c r="L1237" s="43">
        <f>IF(COUNTIF($F$5:$F$2407,F1237)=1,"OK","Дубликат")</f>
        <v/>
      </c>
    </row>
    <row r="1238" ht="38" customHeight="1">
      <c r="A1238" s="146" t="inlineStr">
        <is>
          <t>SUB-L3-12-40</t>
        </is>
      </c>
      <c r="B1238" s="39" t="inlineStr">
        <is>
          <t>3 уровень</t>
        </is>
      </c>
      <c r="C1238" s="34" t="inlineStr">
        <is>
          <t>Закрытые условия на абонементы</t>
        </is>
      </c>
      <c r="D1238" s="34" t="inlineStr">
        <is>
          <t>Скидка 40% на абонемент 12 занятий</t>
        </is>
      </c>
      <c r="E1238" s="34" t="inlineStr">
        <is>
          <t>При покупке абонемента на 12 занятий</t>
        </is>
      </c>
      <c r="F1238" s="147" t="inlineStr">
        <is>
          <t>FW-L3-Z66HH-MFQ7P</t>
        </is>
      </c>
      <c r="G1238" s="39" t="inlineStr">
        <is>
          <t>Не использован</t>
        </is>
      </c>
      <c r="H1238" s="148" t="n"/>
      <c r="I1238" s="34" t="str"/>
      <c r="J1238" s="34" t="str"/>
      <c r="K1238" s="130" t="n">
        <v>34</v>
      </c>
      <c r="L1238" s="43">
        <f>IF(COUNTIF($F$5:$F$2407,F1238)=1,"OK","Дубликат")</f>
        <v/>
      </c>
    </row>
    <row r="1239" ht="38" customHeight="1">
      <c r="A1239" s="146" t="inlineStr">
        <is>
          <t>SUB-L3-12-40</t>
        </is>
      </c>
      <c r="B1239" s="39" t="inlineStr">
        <is>
          <t>3 уровень</t>
        </is>
      </c>
      <c r="C1239" s="34" t="inlineStr">
        <is>
          <t>Закрытые условия на абонементы</t>
        </is>
      </c>
      <c r="D1239" s="34" t="inlineStr">
        <is>
          <t>Скидка 40% на абонемент 12 занятий</t>
        </is>
      </c>
      <c r="E1239" s="34" t="inlineStr">
        <is>
          <t>При покупке абонемента на 12 занятий</t>
        </is>
      </c>
      <c r="F1239" s="147" t="inlineStr">
        <is>
          <t>FW-L3-YZG8Y-GLVUL</t>
        </is>
      </c>
      <c r="G1239" s="39" t="inlineStr">
        <is>
          <t>Не использован</t>
        </is>
      </c>
      <c r="H1239" s="148" t="n"/>
      <c r="I1239" s="34" t="str"/>
      <c r="J1239" s="34" t="str"/>
      <c r="K1239" s="130" t="n">
        <v>35</v>
      </c>
      <c r="L1239" s="43">
        <f>IF(COUNTIF($F$5:$F$2407,F1239)=1,"OK","Дубликат")</f>
        <v/>
      </c>
    </row>
    <row r="1240" ht="38" customHeight="1">
      <c r="A1240" s="146" t="inlineStr">
        <is>
          <t>SUB-L3-12-40</t>
        </is>
      </c>
      <c r="B1240" s="39" t="inlineStr">
        <is>
          <t>3 уровень</t>
        </is>
      </c>
      <c r="C1240" s="34" t="inlineStr">
        <is>
          <t>Закрытые условия на абонементы</t>
        </is>
      </c>
      <c r="D1240" s="34" t="inlineStr">
        <is>
          <t>Скидка 40% на абонемент 12 занятий</t>
        </is>
      </c>
      <c r="E1240" s="34" t="inlineStr">
        <is>
          <t>При покупке абонемента на 12 занятий</t>
        </is>
      </c>
      <c r="F1240" s="147" t="inlineStr">
        <is>
          <t>FW-L3-2B6BV-PLDS9</t>
        </is>
      </c>
      <c r="G1240" s="39" t="inlineStr">
        <is>
          <t>Не использован</t>
        </is>
      </c>
      <c r="H1240" s="148" t="n"/>
      <c r="I1240" s="34" t="str"/>
      <c r="J1240" s="34" t="str"/>
      <c r="K1240" s="130" t="n">
        <v>36</v>
      </c>
      <c r="L1240" s="43">
        <f>IF(COUNTIF($F$5:$F$2407,F1240)=1,"OK","Дубликат")</f>
        <v/>
      </c>
    </row>
    <row r="1241" ht="38" customHeight="1">
      <c r="A1241" s="146" t="inlineStr">
        <is>
          <t>SUB-L3-12-40</t>
        </is>
      </c>
      <c r="B1241" s="39" t="inlineStr">
        <is>
          <t>3 уровень</t>
        </is>
      </c>
      <c r="C1241" s="34" t="inlineStr">
        <is>
          <t>Закрытые условия на абонементы</t>
        </is>
      </c>
      <c r="D1241" s="34" t="inlineStr">
        <is>
          <t>Скидка 40% на абонемент 12 занятий</t>
        </is>
      </c>
      <c r="E1241" s="34" t="inlineStr">
        <is>
          <t>При покупке абонемента на 12 занятий</t>
        </is>
      </c>
      <c r="F1241" s="147" t="inlineStr">
        <is>
          <t>FW-L3-5YD3F-P9ER7</t>
        </is>
      </c>
      <c r="G1241" s="39" t="inlineStr">
        <is>
          <t>Не использован</t>
        </is>
      </c>
      <c r="H1241" s="148" t="n"/>
      <c r="I1241" s="34" t="str"/>
      <c r="J1241" s="34" t="str"/>
      <c r="K1241" s="130" t="n">
        <v>37</v>
      </c>
      <c r="L1241" s="43">
        <f>IF(COUNTIF($F$5:$F$2407,F1241)=1,"OK","Дубликат")</f>
        <v/>
      </c>
    </row>
    <row r="1242" ht="38" customHeight="1">
      <c r="A1242" s="146" t="inlineStr">
        <is>
          <t>SUB-L3-12-40</t>
        </is>
      </c>
      <c r="B1242" s="39" t="inlineStr">
        <is>
          <t>3 уровень</t>
        </is>
      </c>
      <c r="C1242" s="34" t="inlineStr">
        <is>
          <t>Закрытые условия на абонементы</t>
        </is>
      </c>
      <c r="D1242" s="34" t="inlineStr">
        <is>
          <t>Скидка 40% на абонемент 12 занятий</t>
        </is>
      </c>
      <c r="E1242" s="34" t="inlineStr">
        <is>
          <t>При покупке абонемента на 12 занятий</t>
        </is>
      </c>
      <c r="F1242" s="147" t="inlineStr">
        <is>
          <t>FW-L3-4UDU7-NHHHP</t>
        </is>
      </c>
      <c r="G1242" s="39" t="inlineStr">
        <is>
          <t>Не использован</t>
        </is>
      </c>
      <c r="H1242" s="148" t="n"/>
      <c r="I1242" s="34" t="str"/>
      <c r="J1242" s="34" t="str"/>
      <c r="K1242" s="130" t="n">
        <v>38</v>
      </c>
      <c r="L1242" s="43">
        <f>IF(COUNTIF($F$5:$F$2407,F1242)=1,"OK","Дубликат")</f>
        <v/>
      </c>
    </row>
    <row r="1243" ht="38" customHeight="1">
      <c r="A1243" s="146" t="inlineStr">
        <is>
          <t>SUB-L3-12-40</t>
        </is>
      </c>
      <c r="B1243" s="39" t="inlineStr">
        <is>
          <t>3 уровень</t>
        </is>
      </c>
      <c r="C1243" s="34" t="inlineStr">
        <is>
          <t>Закрытые условия на абонементы</t>
        </is>
      </c>
      <c r="D1243" s="34" t="inlineStr">
        <is>
          <t>Скидка 40% на абонемент 12 занятий</t>
        </is>
      </c>
      <c r="E1243" s="34" t="inlineStr">
        <is>
          <t>При покупке абонемента на 12 занятий</t>
        </is>
      </c>
      <c r="F1243" s="147" t="inlineStr">
        <is>
          <t>FW-L3-FPDTK-3KWTB</t>
        </is>
      </c>
      <c r="G1243" s="39" t="inlineStr">
        <is>
          <t>Не использован</t>
        </is>
      </c>
      <c r="H1243" s="148" t="n"/>
      <c r="I1243" s="34" t="str"/>
      <c r="J1243" s="34" t="str"/>
      <c r="K1243" s="130" t="n">
        <v>39</v>
      </c>
      <c r="L1243" s="43">
        <f>IF(COUNTIF($F$5:$F$2407,F1243)=1,"OK","Дубликат")</f>
        <v/>
      </c>
    </row>
    <row r="1244" ht="38" customHeight="1">
      <c r="A1244" s="146" t="inlineStr">
        <is>
          <t>SUB-L3-12-40</t>
        </is>
      </c>
      <c r="B1244" s="39" t="inlineStr">
        <is>
          <t>3 уровень</t>
        </is>
      </c>
      <c r="C1244" s="34" t="inlineStr">
        <is>
          <t>Закрытые условия на абонементы</t>
        </is>
      </c>
      <c r="D1244" s="34" t="inlineStr">
        <is>
          <t>Скидка 40% на абонемент 12 занятий</t>
        </is>
      </c>
      <c r="E1244" s="34" t="inlineStr">
        <is>
          <t>При покупке абонемента на 12 занятий</t>
        </is>
      </c>
      <c r="F1244" s="147" t="inlineStr">
        <is>
          <t>FW-L3-6Y4YN-CFUPL</t>
        </is>
      </c>
      <c r="G1244" s="39" t="inlineStr">
        <is>
          <t>Не использован</t>
        </is>
      </c>
      <c r="H1244" s="148" t="n"/>
      <c r="I1244" s="34" t="str"/>
      <c r="J1244" s="34" t="str"/>
      <c r="K1244" s="130" t="n">
        <v>40</v>
      </c>
      <c r="L1244" s="43">
        <f>IF(COUNTIF($F$5:$F$2407,F1244)=1,"OK","Дубликат")</f>
        <v/>
      </c>
    </row>
    <row r="1245" ht="38" customHeight="1">
      <c r="A1245" s="146" t="inlineStr">
        <is>
          <t>SUB-L3-12-40</t>
        </is>
      </c>
      <c r="B1245" s="39" t="inlineStr">
        <is>
          <t>3 уровень</t>
        </is>
      </c>
      <c r="C1245" s="34" t="inlineStr">
        <is>
          <t>Закрытые условия на абонементы</t>
        </is>
      </c>
      <c r="D1245" s="34" t="inlineStr">
        <is>
          <t>Скидка 40% на абонемент 12 занятий</t>
        </is>
      </c>
      <c r="E1245" s="34" t="inlineStr">
        <is>
          <t>При покупке абонемента на 12 занятий</t>
        </is>
      </c>
      <c r="F1245" s="147" t="inlineStr">
        <is>
          <t>FW-L3-5FNT7-TDGU8</t>
        </is>
      </c>
      <c r="G1245" s="39" t="inlineStr">
        <is>
          <t>Не использован</t>
        </is>
      </c>
      <c r="H1245" s="148" t="n"/>
      <c r="I1245" s="34" t="str"/>
      <c r="J1245" s="34" t="str"/>
      <c r="K1245" s="130" t="n">
        <v>41</v>
      </c>
      <c r="L1245" s="43">
        <f>IF(COUNTIF($F$5:$F$2407,F1245)=1,"OK","Дубликат")</f>
        <v/>
      </c>
    </row>
    <row r="1246" ht="38" customHeight="1">
      <c r="A1246" s="146" t="inlineStr">
        <is>
          <t>SUB-L3-12-40</t>
        </is>
      </c>
      <c r="B1246" s="39" t="inlineStr">
        <is>
          <t>3 уровень</t>
        </is>
      </c>
      <c r="C1246" s="34" t="inlineStr">
        <is>
          <t>Закрытые условия на абонементы</t>
        </is>
      </c>
      <c r="D1246" s="34" t="inlineStr">
        <is>
          <t>Скидка 40% на абонемент 12 занятий</t>
        </is>
      </c>
      <c r="E1246" s="34" t="inlineStr">
        <is>
          <t>При покупке абонемента на 12 занятий</t>
        </is>
      </c>
      <c r="F1246" s="147" t="inlineStr">
        <is>
          <t>FW-L3-48CCB-SPBG5</t>
        </is>
      </c>
      <c r="G1246" s="39" t="inlineStr">
        <is>
          <t>Не использован</t>
        </is>
      </c>
      <c r="H1246" s="148" t="n"/>
      <c r="I1246" s="34" t="str"/>
      <c r="J1246" s="34" t="str"/>
      <c r="K1246" s="130" t="n">
        <v>42</v>
      </c>
      <c r="L1246" s="43">
        <f>IF(COUNTIF($F$5:$F$2407,F1246)=1,"OK","Дубликат")</f>
        <v/>
      </c>
    </row>
    <row r="1247" ht="38" customHeight="1">
      <c r="A1247" s="146" t="inlineStr">
        <is>
          <t>SUB-L3-12-40</t>
        </is>
      </c>
      <c r="B1247" s="39" t="inlineStr">
        <is>
          <t>3 уровень</t>
        </is>
      </c>
      <c r="C1247" s="34" t="inlineStr">
        <is>
          <t>Закрытые условия на абонементы</t>
        </is>
      </c>
      <c r="D1247" s="34" t="inlineStr">
        <is>
          <t>Скидка 40% на абонемент 12 занятий</t>
        </is>
      </c>
      <c r="E1247" s="34" t="inlineStr">
        <is>
          <t>При покупке абонемента на 12 занятий</t>
        </is>
      </c>
      <c r="F1247" s="147" t="inlineStr">
        <is>
          <t>FW-L3-BJT97-5BDLG</t>
        </is>
      </c>
      <c r="G1247" s="39" t="inlineStr">
        <is>
          <t>Не использован</t>
        </is>
      </c>
      <c r="H1247" s="148" t="n"/>
      <c r="I1247" s="34" t="str"/>
      <c r="J1247" s="34" t="str"/>
      <c r="K1247" s="130" t="n">
        <v>43</v>
      </c>
      <c r="L1247" s="43">
        <f>IF(COUNTIF($F$5:$F$2407,F1247)=1,"OK","Дубликат")</f>
        <v/>
      </c>
    </row>
    <row r="1248" ht="38" customHeight="1">
      <c r="A1248" s="146" t="inlineStr">
        <is>
          <t>SUB-L3-12-40</t>
        </is>
      </c>
      <c r="B1248" s="39" t="inlineStr">
        <is>
          <t>3 уровень</t>
        </is>
      </c>
      <c r="C1248" s="34" t="inlineStr">
        <is>
          <t>Закрытые условия на абонементы</t>
        </is>
      </c>
      <c r="D1248" s="34" t="inlineStr">
        <is>
          <t>Скидка 40% на абонемент 12 занятий</t>
        </is>
      </c>
      <c r="E1248" s="34" t="inlineStr">
        <is>
          <t>При покупке абонемента на 12 занятий</t>
        </is>
      </c>
      <c r="F1248" s="147" t="inlineStr">
        <is>
          <t>FW-L3-4FZMW-L4P7B</t>
        </is>
      </c>
      <c r="G1248" s="39" t="inlineStr">
        <is>
          <t>Не использован</t>
        </is>
      </c>
      <c r="H1248" s="148" t="n"/>
      <c r="I1248" s="34" t="str"/>
      <c r="J1248" s="34" t="str"/>
      <c r="K1248" s="130" t="n">
        <v>44</v>
      </c>
      <c r="L1248" s="43">
        <f>IF(COUNTIF($F$5:$F$2407,F1248)=1,"OK","Дубликат")</f>
        <v/>
      </c>
    </row>
    <row r="1249" ht="38" customHeight="1">
      <c r="A1249" s="146" t="inlineStr">
        <is>
          <t>SUB-L3-12-40</t>
        </is>
      </c>
      <c r="B1249" s="39" t="inlineStr">
        <is>
          <t>3 уровень</t>
        </is>
      </c>
      <c r="C1249" s="34" t="inlineStr">
        <is>
          <t>Закрытые условия на абонементы</t>
        </is>
      </c>
      <c r="D1249" s="34" t="inlineStr">
        <is>
          <t>Скидка 40% на абонемент 12 занятий</t>
        </is>
      </c>
      <c r="E1249" s="34" t="inlineStr">
        <is>
          <t>При покупке абонемента на 12 занятий</t>
        </is>
      </c>
      <c r="F1249" s="147" t="inlineStr">
        <is>
          <t>FW-L3-A6P5M-MKV4R</t>
        </is>
      </c>
      <c r="G1249" s="39" t="inlineStr">
        <is>
          <t>Не использован</t>
        </is>
      </c>
      <c r="H1249" s="148" t="n"/>
      <c r="I1249" s="34" t="str"/>
      <c r="J1249" s="34" t="str"/>
      <c r="K1249" s="130" t="n">
        <v>45</v>
      </c>
      <c r="L1249" s="43">
        <f>IF(COUNTIF($F$5:$F$2407,F1249)=1,"OK","Дубликат")</f>
        <v/>
      </c>
    </row>
    <row r="1250" ht="38" customHeight="1">
      <c r="A1250" s="146" t="inlineStr">
        <is>
          <t>SUB-L3-12-40</t>
        </is>
      </c>
      <c r="B1250" s="39" t="inlineStr">
        <is>
          <t>3 уровень</t>
        </is>
      </c>
      <c r="C1250" s="34" t="inlineStr">
        <is>
          <t>Закрытые условия на абонементы</t>
        </is>
      </c>
      <c r="D1250" s="34" t="inlineStr">
        <is>
          <t>Скидка 40% на абонемент 12 занятий</t>
        </is>
      </c>
      <c r="E1250" s="34" t="inlineStr">
        <is>
          <t>При покупке абонемента на 12 занятий</t>
        </is>
      </c>
      <c r="F1250" s="147" t="inlineStr">
        <is>
          <t>FW-L3-76PP7-FPBBA</t>
        </is>
      </c>
      <c r="G1250" s="39" t="inlineStr">
        <is>
          <t>Не использован</t>
        </is>
      </c>
      <c r="H1250" s="148" t="n"/>
      <c r="I1250" s="34" t="str"/>
      <c r="J1250" s="34" t="str"/>
      <c r="K1250" s="130" t="n">
        <v>46</v>
      </c>
      <c r="L1250" s="43">
        <f>IF(COUNTIF($F$5:$F$2407,F1250)=1,"OK","Дубликат")</f>
        <v/>
      </c>
    </row>
    <row r="1251" ht="38" customHeight="1">
      <c r="A1251" s="146" t="inlineStr">
        <is>
          <t>SUB-L3-12-40</t>
        </is>
      </c>
      <c r="B1251" s="39" t="inlineStr">
        <is>
          <t>3 уровень</t>
        </is>
      </c>
      <c r="C1251" s="34" t="inlineStr">
        <is>
          <t>Закрытые условия на абонементы</t>
        </is>
      </c>
      <c r="D1251" s="34" t="inlineStr">
        <is>
          <t>Скидка 40% на абонемент 12 занятий</t>
        </is>
      </c>
      <c r="E1251" s="34" t="inlineStr">
        <is>
          <t>При покупке абонемента на 12 занятий</t>
        </is>
      </c>
      <c r="F1251" s="147" t="inlineStr">
        <is>
          <t>FW-L3-9X9SY-NCTRF</t>
        </is>
      </c>
      <c r="G1251" s="39" t="inlineStr">
        <is>
          <t>Не использован</t>
        </is>
      </c>
      <c r="H1251" s="148" t="n"/>
      <c r="I1251" s="34" t="str"/>
      <c r="J1251" s="34" t="str"/>
      <c r="K1251" s="130" t="n">
        <v>47</v>
      </c>
      <c r="L1251" s="43">
        <f>IF(COUNTIF($F$5:$F$2407,F1251)=1,"OK","Дубликат")</f>
        <v/>
      </c>
    </row>
    <row r="1252" ht="38" customHeight="1">
      <c r="A1252" s="146" t="inlineStr">
        <is>
          <t>SUB-L3-12-40</t>
        </is>
      </c>
      <c r="B1252" s="39" t="inlineStr">
        <is>
          <t>3 уровень</t>
        </is>
      </c>
      <c r="C1252" s="34" t="inlineStr">
        <is>
          <t>Закрытые условия на абонементы</t>
        </is>
      </c>
      <c r="D1252" s="34" t="inlineStr">
        <is>
          <t>Скидка 40% на абонемент 12 занятий</t>
        </is>
      </c>
      <c r="E1252" s="34" t="inlineStr">
        <is>
          <t>При покупке абонемента на 12 занятий</t>
        </is>
      </c>
      <c r="F1252" s="147" t="inlineStr">
        <is>
          <t>FW-L3-52W2T-G3RPY</t>
        </is>
      </c>
      <c r="G1252" s="39" t="inlineStr">
        <is>
          <t>Не использован</t>
        </is>
      </c>
      <c r="H1252" s="148" t="n"/>
      <c r="I1252" s="34" t="str"/>
      <c r="J1252" s="34" t="str"/>
      <c r="K1252" s="130" t="n">
        <v>48</v>
      </c>
      <c r="L1252" s="43">
        <f>IF(COUNTIF($F$5:$F$2407,F1252)=1,"OK","Дубликат")</f>
        <v/>
      </c>
    </row>
    <row r="1253" ht="38" customHeight="1">
      <c r="A1253" s="146" t="inlineStr">
        <is>
          <t>SUB-L3-12-40</t>
        </is>
      </c>
      <c r="B1253" s="39" t="inlineStr">
        <is>
          <t>3 уровень</t>
        </is>
      </c>
      <c r="C1253" s="34" t="inlineStr">
        <is>
          <t>Закрытые условия на абонементы</t>
        </is>
      </c>
      <c r="D1253" s="34" t="inlineStr">
        <is>
          <t>Скидка 40% на абонемент 12 занятий</t>
        </is>
      </c>
      <c r="E1253" s="34" t="inlineStr">
        <is>
          <t>При покупке абонемента на 12 занятий</t>
        </is>
      </c>
      <c r="F1253" s="147" t="inlineStr">
        <is>
          <t>FW-L3-Z5WY5-VTU49</t>
        </is>
      </c>
      <c r="G1253" s="39" t="inlineStr">
        <is>
          <t>Не использован</t>
        </is>
      </c>
      <c r="H1253" s="148" t="n"/>
      <c r="I1253" s="34" t="str"/>
      <c r="J1253" s="34" t="str"/>
      <c r="K1253" s="130" t="n">
        <v>49</v>
      </c>
      <c r="L1253" s="43">
        <f>IF(COUNTIF($F$5:$F$2407,F1253)=1,"OK","Дубликат")</f>
        <v/>
      </c>
    </row>
    <row r="1254" ht="38" customHeight="1">
      <c r="A1254" s="146" t="inlineStr">
        <is>
          <t>SUB-L3-12-40</t>
        </is>
      </c>
      <c r="B1254" s="39" t="inlineStr">
        <is>
          <t>3 уровень</t>
        </is>
      </c>
      <c r="C1254" s="34" t="inlineStr">
        <is>
          <t>Закрытые условия на абонементы</t>
        </is>
      </c>
      <c r="D1254" s="34" t="inlineStr">
        <is>
          <t>Скидка 40% на абонемент 12 занятий</t>
        </is>
      </c>
      <c r="E1254" s="34" t="inlineStr">
        <is>
          <t>При покупке абонемента на 12 занятий</t>
        </is>
      </c>
      <c r="F1254" s="147" t="inlineStr">
        <is>
          <t>FW-L3-NJHLL-6VDLR</t>
        </is>
      </c>
      <c r="G1254" s="39" t="inlineStr">
        <is>
          <t>Не использован</t>
        </is>
      </c>
      <c r="H1254" s="148" t="n"/>
      <c r="I1254" s="34" t="str"/>
      <c r="J1254" s="34" t="str"/>
      <c r="K1254" s="130" t="n">
        <v>50</v>
      </c>
      <c r="L1254" s="43">
        <f>IF(COUNTIF($F$5:$F$2407,F1254)=1,"OK","Дубликат")</f>
        <v/>
      </c>
    </row>
    <row r="1255" ht="38" customHeight="1">
      <c r="A1255" s="146" t="inlineStr">
        <is>
          <t>SUB-L3-12-40</t>
        </is>
      </c>
      <c r="B1255" s="39" t="inlineStr">
        <is>
          <t>3 уровень</t>
        </is>
      </c>
      <c r="C1255" s="34" t="inlineStr">
        <is>
          <t>Закрытые условия на абонементы</t>
        </is>
      </c>
      <c r="D1255" s="34" t="inlineStr">
        <is>
          <t>Скидка 40% на абонемент 12 занятий</t>
        </is>
      </c>
      <c r="E1255" s="34" t="inlineStr">
        <is>
          <t>При покупке абонемента на 12 занятий</t>
        </is>
      </c>
      <c r="F1255" s="147" t="inlineStr">
        <is>
          <t>FW-L3-8Z6GA-AVAEH</t>
        </is>
      </c>
      <c r="G1255" s="39" t="inlineStr">
        <is>
          <t>Не использован</t>
        </is>
      </c>
      <c r="H1255" s="148" t="n"/>
      <c r="I1255" s="34" t="str"/>
      <c r="J1255" s="34" t="str"/>
      <c r="K1255" s="130" t="n">
        <v>51</v>
      </c>
      <c r="L1255" s="43">
        <f>IF(COUNTIF($F$5:$F$2407,F1255)=1,"OK","Дубликат")</f>
        <v/>
      </c>
    </row>
    <row r="1256" ht="38" customHeight="1">
      <c r="A1256" s="146" t="inlineStr">
        <is>
          <t>SUB-L3-12-40</t>
        </is>
      </c>
      <c r="B1256" s="39" t="inlineStr">
        <is>
          <t>3 уровень</t>
        </is>
      </c>
      <c r="C1256" s="34" t="inlineStr">
        <is>
          <t>Закрытые условия на абонементы</t>
        </is>
      </c>
      <c r="D1256" s="34" t="inlineStr">
        <is>
          <t>Скидка 40% на абонемент 12 занятий</t>
        </is>
      </c>
      <c r="E1256" s="34" t="inlineStr">
        <is>
          <t>При покупке абонемента на 12 занятий</t>
        </is>
      </c>
      <c r="F1256" s="147" t="inlineStr">
        <is>
          <t>FW-L3-NHY6X-2ZZTW</t>
        </is>
      </c>
      <c r="G1256" s="39" t="inlineStr">
        <is>
          <t>Не использован</t>
        </is>
      </c>
      <c r="H1256" s="148" t="n"/>
      <c r="I1256" s="34" t="str"/>
      <c r="J1256" s="34" t="str"/>
      <c r="K1256" s="130" t="n">
        <v>52</v>
      </c>
      <c r="L1256" s="43">
        <f>IF(COUNTIF($F$5:$F$2407,F1256)=1,"OK","Дубликат")</f>
        <v/>
      </c>
    </row>
    <row r="1257" ht="38" customHeight="1">
      <c r="A1257" s="146" t="inlineStr">
        <is>
          <t>SUB-L3-12-40</t>
        </is>
      </c>
      <c r="B1257" s="39" t="inlineStr">
        <is>
          <t>3 уровень</t>
        </is>
      </c>
      <c r="C1257" s="34" t="inlineStr">
        <is>
          <t>Закрытые условия на абонементы</t>
        </is>
      </c>
      <c r="D1257" s="34" t="inlineStr">
        <is>
          <t>Скидка 40% на абонемент 12 занятий</t>
        </is>
      </c>
      <c r="E1257" s="34" t="inlineStr">
        <is>
          <t>При покупке абонемента на 12 занятий</t>
        </is>
      </c>
      <c r="F1257" s="147" t="inlineStr">
        <is>
          <t>FW-L3-82578-Z9D6U</t>
        </is>
      </c>
      <c r="G1257" s="39" t="inlineStr">
        <is>
          <t>Не использован</t>
        </is>
      </c>
      <c r="H1257" s="148" t="n"/>
      <c r="I1257" s="34" t="str"/>
      <c r="J1257" s="34" t="str"/>
      <c r="K1257" s="130" t="n">
        <v>53</v>
      </c>
      <c r="L1257" s="43">
        <f>IF(COUNTIF($F$5:$F$2407,F1257)=1,"OK","Дубликат")</f>
        <v/>
      </c>
    </row>
    <row r="1258" ht="38" customHeight="1">
      <c r="A1258" s="146" t="inlineStr">
        <is>
          <t>SUB-L3-12-40</t>
        </is>
      </c>
      <c r="B1258" s="39" t="inlineStr">
        <is>
          <t>3 уровень</t>
        </is>
      </c>
      <c r="C1258" s="34" t="inlineStr">
        <is>
          <t>Закрытые условия на абонементы</t>
        </is>
      </c>
      <c r="D1258" s="34" t="inlineStr">
        <is>
          <t>Скидка 40% на абонемент 12 занятий</t>
        </is>
      </c>
      <c r="E1258" s="34" t="inlineStr">
        <is>
          <t>При покупке абонемента на 12 занятий</t>
        </is>
      </c>
      <c r="F1258" s="147" t="inlineStr">
        <is>
          <t>FW-L3-2B4E2-MXY78</t>
        </is>
      </c>
      <c r="G1258" s="39" t="inlineStr">
        <is>
          <t>Не использован</t>
        </is>
      </c>
      <c r="H1258" s="148" t="n"/>
      <c r="I1258" s="34" t="str"/>
      <c r="J1258" s="34" t="str"/>
      <c r="K1258" s="130" t="n">
        <v>54</v>
      </c>
      <c r="L1258" s="43">
        <f>IF(COUNTIF($F$5:$F$2407,F1258)=1,"OK","Дубликат")</f>
        <v/>
      </c>
    </row>
    <row r="1259" ht="38" customHeight="1">
      <c r="A1259" s="146" t="inlineStr">
        <is>
          <t>SUB-L3-12-40</t>
        </is>
      </c>
      <c r="B1259" s="39" t="inlineStr">
        <is>
          <t>3 уровень</t>
        </is>
      </c>
      <c r="C1259" s="34" t="inlineStr">
        <is>
          <t>Закрытые условия на абонементы</t>
        </is>
      </c>
      <c r="D1259" s="34" t="inlineStr">
        <is>
          <t>Скидка 40% на абонемент 12 занятий</t>
        </is>
      </c>
      <c r="E1259" s="34" t="inlineStr">
        <is>
          <t>При покупке абонемента на 12 занятий</t>
        </is>
      </c>
      <c r="F1259" s="147" t="inlineStr">
        <is>
          <t>FW-L3-A7362-ZATGM</t>
        </is>
      </c>
      <c r="G1259" s="39" t="inlineStr">
        <is>
          <t>Не использован</t>
        </is>
      </c>
      <c r="H1259" s="148" t="n"/>
      <c r="I1259" s="34" t="str"/>
      <c r="J1259" s="34" t="str"/>
      <c r="K1259" s="130" t="n">
        <v>55</v>
      </c>
      <c r="L1259" s="43">
        <f>IF(COUNTIF($F$5:$F$2407,F1259)=1,"OK","Дубликат")</f>
        <v/>
      </c>
    </row>
    <row r="1260" ht="38" customHeight="1">
      <c r="A1260" s="146" t="inlineStr">
        <is>
          <t>SUB-L3-12-40</t>
        </is>
      </c>
      <c r="B1260" s="39" t="inlineStr">
        <is>
          <t>3 уровень</t>
        </is>
      </c>
      <c r="C1260" s="34" t="inlineStr">
        <is>
          <t>Закрытые условия на абонементы</t>
        </is>
      </c>
      <c r="D1260" s="34" t="inlineStr">
        <is>
          <t>Скидка 40% на абонемент 12 занятий</t>
        </is>
      </c>
      <c r="E1260" s="34" t="inlineStr">
        <is>
          <t>При покупке абонемента на 12 занятий</t>
        </is>
      </c>
      <c r="F1260" s="147" t="inlineStr">
        <is>
          <t>FW-L3-YK4CU-F9A9H</t>
        </is>
      </c>
      <c r="G1260" s="39" t="inlineStr">
        <is>
          <t>Не использован</t>
        </is>
      </c>
      <c r="H1260" s="148" t="n"/>
      <c r="I1260" s="34" t="str"/>
      <c r="J1260" s="34" t="str"/>
      <c r="K1260" s="130" t="n">
        <v>56</v>
      </c>
      <c r="L1260" s="43">
        <f>IF(COUNTIF($F$5:$F$2407,F1260)=1,"OK","Дубликат")</f>
        <v/>
      </c>
    </row>
    <row r="1261" ht="38" customHeight="1">
      <c r="A1261" s="146" t="inlineStr">
        <is>
          <t>SUB-L3-12-40</t>
        </is>
      </c>
      <c r="B1261" s="39" t="inlineStr">
        <is>
          <t>3 уровень</t>
        </is>
      </c>
      <c r="C1261" s="34" t="inlineStr">
        <is>
          <t>Закрытые условия на абонементы</t>
        </is>
      </c>
      <c r="D1261" s="34" t="inlineStr">
        <is>
          <t>Скидка 40% на абонемент 12 занятий</t>
        </is>
      </c>
      <c r="E1261" s="34" t="inlineStr">
        <is>
          <t>При покупке абонемента на 12 занятий</t>
        </is>
      </c>
      <c r="F1261" s="147" t="inlineStr">
        <is>
          <t>FW-L3-SMSJZ-TYXSB</t>
        </is>
      </c>
      <c r="G1261" s="39" t="inlineStr">
        <is>
          <t>Не использован</t>
        </is>
      </c>
      <c r="H1261" s="148" t="n"/>
      <c r="I1261" s="34" t="str"/>
      <c r="J1261" s="34" t="str"/>
      <c r="K1261" s="130" t="n">
        <v>57</v>
      </c>
      <c r="L1261" s="43">
        <f>IF(COUNTIF($F$5:$F$2407,F1261)=1,"OK","Дубликат")</f>
        <v/>
      </c>
    </row>
    <row r="1262" ht="38" customHeight="1">
      <c r="A1262" s="146" t="inlineStr">
        <is>
          <t>SUB-L3-12-40</t>
        </is>
      </c>
      <c r="B1262" s="39" t="inlineStr">
        <is>
          <t>3 уровень</t>
        </is>
      </c>
      <c r="C1262" s="34" t="inlineStr">
        <is>
          <t>Закрытые условия на абонементы</t>
        </is>
      </c>
      <c r="D1262" s="34" t="inlineStr">
        <is>
          <t>Скидка 40% на абонемент 12 занятий</t>
        </is>
      </c>
      <c r="E1262" s="34" t="inlineStr">
        <is>
          <t>При покупке абонемента на 12 занятий</t>
        </is>
      </c>
      <c r="F1262" s="147" t="inlineStr">
        <is>
          <t>FW-L3-YVZET-WCKNT</t>
        </is>
      </c>
      <c r="G1262" s="39" t="inlineStr">
        <is>
          <t>Не использован</t>
        </is>
      </c>
      <c r="H1262" s="148" t="n"/>
      <c r="I1262" s="34" t="str"/>
      <c r="J1262" s="34" t="str"/>
      <c r="K1262" s="130" t="n">
        <v>58</v>
      </c>
      <c r="L1262" s="43">
        <f>IF(COUNTIF($F$5:$F$2407,F1262)=1,"OK","Дубликат")</f>
        <v/>
      </c>
    </row>
    <row r="1263" ht="38" customHeight="1">
      <c r="A1263" s="146" t="inlineStr">
        <is>
          <t>SUB-L3-12-40</t>
        </is>
      </c>
      <c r="B1263" s="39" t="inlineStr">
        <is>
          <t>3 уровень</t>
        </is>
      </c>
      <c r="C1263" s="34" t="inlineStr">
        <is>
          <t>Закрытые условия на абонементы</t>
        </is>
      </c>
      <c r="D1263" s="34" t="inlineStr">
        <is>
          <t>Скидка 40% на абонемент 12 занятий</t>
        </is>
      </c>
      <c r="E1263" s="34" t="inlineStr">
        <is>
          <t>При покупке абонемента на 12 занятий</t>
        </is>
      </c>
      <c r="F1263" s="147" t="inlineStr">
        <is>
          <t>FW-L3-SCGQF-AU9ZF</t>
        </is>
      </c>
      <c r="G1263" s="39" t="inlineStr">
        <is>
          <t>Не использован</t>
        </is>
      </c>
      <c r="H1263" s="148" t="n"/>
      <c r="I1263" s="34" t="str"/>
      <c r="J1263" s="34" t="str"/>
      <c r="K1263" s="130" t="n">
        <v>59</v>
      </c>
      <c r="L1263" s="43">
        <f>IF(COUNTIF($F$5:$F$2407,F1263)=1,"OK","Дубликат")</f>
        <v/>
      </c>
    </row>
    <row r="1264" ht="38" customHeight="1">
      <c r="A1264" s="146" t="inlineStr">
        <is>
          <t>SUB-L3-12-40</t>
        </is>
      </c>
      <c r="B1264" s="39" t="inlineStr">
        <is>
          <t>3 уровень</t>
        </is>
      </c>
      <c r="C1264" s="34" t="inlineStr">
        <is>
          <t>Закрытые условия на абонементы</t>
        </is>
      </c>
      <c r="D1264" s="34" t="inlineStr">
        <is>
          <t>Скидка 40% на абонемент 12 занятий</t>
        </is>
      </c>
      <c r="E1264" s="34" t="inlineStr">
        <is>
          <t>При покупке абонемента на 12 занятий</t>
        </is>
      </c>
      <c r="F1264" s="147" t="inlineStr">
        <is>
          <t>FW-L3-8FVNY-HU8TR</t>
        </is>
      </c>
      <c r="G1264" s="39" t="inlineStr">
        <is>
          <t>Не использован</t>
        </is>
      </c>
      <c r="H1264" s="148" t="n"/>
      <c r="I1264" s="34" t="str"/>
      <c r="J1264" s="34" t="str"/>
      <c r="K1264" s="130" t="n">
        <v>60</v>
      </c>
      <c r="L1264" s="43">
        <f>IF(COUNTIF($F$5:$F$2407,F1264)=1,"OK","Дубликат")</f>
        <v/>
      </c>
    </row>
    <row r="1265" ht="38" customHeight="1">
      <c r="A1265" s="146" t="inlineStr">
        <is>
          <t>SUB-L3-12-40</t>
        </is>
      </c>
      <c r="B1265" s="39" t="inlineStr">
        <is>
          <t>3 уровень</t>
        </is>
      </c>
      <c r="C1265" s="34" t="inlineStr">
        <is>
          <t>Закрытые условия на абонементы</t>
        </is>
      </c>
      <c r="D1265" s="34" t="inlineStr">
        <is>
          <t>Скидка 40% на абонемент 12 занятий</t>
        </is>
      </c>
      <c r="E1265" s="34" t="inlineStr">
        <is>
          <t>При покупке абонемента на 12 занятий</t>
        </is>
      </c>
      <c r="F1265" s="147" t="inlineStr">
        <is>
          <t>FW-L3-3QEZP-77XGB</t>
        </is>
      </c>
      <c r="G1265" s="39" t="inlineStr">
        <is>
          <t>Не использован</t>
        </is>
      </c>
      <c r="H1265" s="148" t="n"/>
      <c r="I1265" s="34" t="str"/>
      <c r="J1265" s="34" t="str"/>
      <c r="K1265" s="130" t="n">
        <v>61</v>
      </c>
      <c r="L1265" s="43">
        <f>IF(COUNTIF($F$5:$F$2407,F1265)=1,"OK","Дубликат")</f>
        <v/>
      </c>
    </row>
    <row r="1266" ht="38" customHeight="1">
      <c r="A1266" s="146" t="inlineStr">
        <is>
          <t>SUB-L3-12-40</t>
        </is>
      </c>
      <c r="B1266" s="39" t="inlineStr">
        <is>
          <t>3 уровень</t>
        </is>
      </c>
      <c r="C1266" s="34" t="inlineStr">
        <is>
          <t>Закрытые условия на абонементы</t>
        </is>
      </c>
      <c r="D1266" s="34" t="inlineStr">
        <is>
          <t>Скидка 40% на абонемент 12 занятий</t>
        </is>
      </c>
      <c r="E1266" s="34" t="inlineStr">
        <is>
          <t>При покупке абонемента на 12 занятий</t>
        </is>
      </c>
      <c r="F1266" s="147" t="inlineStr">
        <is>
          <t>FW-L3-52ZV4-BCK25</t>
        </is>
      </c>
      <c r="G1266" s="39" t="inlineStr">
        <is>
          <t>Не использован</t>
        </is>
      </c>
      <c r="H1266" s="148" t="n"/>
      <c r="I1266" s="34" t="str"/>
      <c r="J1266" s="34" t="str"/>
      <c r="K1266" s="130" t="n">
        <v>62</v>
      </c>
      <c r="L1266" s="43">
        <f>IF(COUNTIF($F$5:$F$2407,F1266)=1,"OK","Дубликат")</f>
        <v/>
      </c>
    </row>
    <row r="1267" ht="38" customHeight="1">
      <c r="A1267" s="146" t="inlineStr">
        <is>
          <t>SUB-L3-12-40</t>
        </is>
      </c>
      <c r="B1267" s="39" t="inlineStr">
        <is>
          <t>3 уровень</t>
        </is>
      </c>
      <c r="C1267" s="34" t="inlineStr">
        <is>
          <t>Закрытые условия на абонементы</t>
        </is>
      </c>
      <c r="D1267" s="34" t="inlineStr">
        <is>
          <t>Скидка 40% на абонемент 12 занятий</t>
        </is>
      </c>
      <c r="E1267" s="34" t="inlineStr">
        <is>
          <t>При покупке абонемента на 12 занятий</t>
        </is>
      </c>
      <c r="F1267" s="147" t="inlineStr">
        <is>
          <t>FW-L3-JPCYF-BSHEJ</t>
        </is>
      </c>
      <c r="G1267" s="39" t="inlineStr">
        <is>
          <t>Не использован</t>
        </is>
      </c>
      <c r="H1267" s="148" t="n"/>
      <c r="I1267" s="34" t="str"/>
      <c r="J1267" s="34" t="str"/>
      <c r="K1267" s="130" t="n">
        <v>63</v>
      </c>
      <c r="L1267" s="43">
        <f>IF(COUNTIF($F$5:$F$2407,F1267)=1,"OK","Дубликат")</f>
        <v/>
      </c>
    </row>
    <row r="1268" ht="38" customHeight="1">
      <c r="A1268" s="146" t="inlineStr">
        <is>
          <t>SUB-L3-12-40</t>
        </is>
      </c>
      <c r="B1268" s="39" t="inlineStr">
        <is>
          <t>3 уровень</t>
        </is>
      </c>
      <c r="C1268" s="34" t="inlineStr">
        <is>
          <t>Закрытые условия на абонементы</t>
        </is>
      </c>
      <c r="D1268" s="34" t="inlineStr">
        <is>
          <t>Скидка 40% на абонемент 12 занятий</t>
        </is>
      </c>
      <c r="E1268" s="34" t="inlineStr">
        <is>
          <t>При покупке абонемента на 12 занятий</t>
        </is>
      </c>
      <c r="F1268" s="147" t="inlineStr">
        <is>
          <t>FW-L3-SZ5GH-BQL2C</t>
        </is>
      </c>
      <c r="G1268" s="39" t="inlineStr">
        <is>
          <t>Не использован</t>
        </is>
      </c>
      <c r="H1268" s="148" t="n"/>
      <c r="I1268" s="34" t="str"/>
      <c r="J1268" s="34" t="str"/>
      <c r="K1268" s="130" t="n">
        <v>64</v>
      </c>
      <c r="L1268" s="43">
        <f>IF(COUNTIF($F$5:$F$2407,F1268)=1,"OK","Дубликат")</f>
        <v/>
      </c>
    </row>
    <row r="1269" ht="38" customHeight="1">
      <c r="A1269" s="146" t="inlineStr">
        <is>
          <t>SUB-L3-12-40</t>
        </is>
      </c>
      <c r="B1269" s="39" t="inlineStr">
        <is>
          <t>3 уровень</t>
        </is>
      </c>
      <c r="C1269" s="34" t="inlineStr">
        <is>
          <t>Закрытые условия на абонементы</t>
        </is>
      </c>
      <c r="D1269" s="34" t="inlineStr">
        <is>
          <t>Скидка 40% на абонемент 12 занятий</t>
        </is>
      </c>
      <c r="E1269" s="34" t="inlineStr">
        <is>
          <t>При покупке абонемента на 12 занятий</t>
        </is>
      </c>
      <c r="F1269" s="147" t="inlineStr">
        <is>
          <t>FW-L3-BEAT4-VC7UK</t>
        </is>
      </c>
      <c r="G1269" s="39" t="inlineStr">
        <is>
          <t>Не использован</t>
        </is>
      </c>
      <c r="H1269" s="148" t="n"/>
      <c r="I1269" s="34" t="str"/>
      <c r="J1269" s="34" t="str"/>
      <c r="K1269" s="130" t="n">
        <v>65</v>
      </c>
      <c r="L1269" s="43">
        <f>IF(COUNTIF($F$5:$F$2407,F1269)=1,"OK","Дубликат")</f>
        <v/>
      </c>
    </row>
    <row r="1270" ht="38" customHeight="1">
      <c r="A1270" s="146" t="inlineStr">
        <is>
          <t>SUB-L3-12-40</t>
        </is>
      </c>
      <c r="B1270" s="39" t="inlineStr">
        <is>
          <t>3 уровень</t>
        </is>
      </c>
      <c r="C1270" s="34" t="inlineStr">
        <is>
          <t>Закрытые условия на абонементы</t>
        </is>
      </c>
      <c r="D1270" s="34" t="inlineStr">
        <is>
          <t>Скидка 40% на абонемент 12 занятий</t>
        </is>
      </c>
      <c r="E1270" s="34" t="inlineStr">
        <is>
          <t>При покупке абонемента на 12 занятий</t>
        </is>
      </c>
      <c r="F1270" s="147" t="inlineStr">
        <is>
          <t>FW-L3-T9744-UFLWK</t>
        </is>
      </c>
      <c r="G1270" s="39" t="inlineStr">
        <is>
          <t>Не использован</t>
        </is>
      </c>
      <c r="H1270" s="148" t="n"/>
      <c r="I1270" s="34" t="str"/>
      <c r="J1270" s="34" t="str"/>
      <c r="K1270" s="130" t="n">
        <v>66</v>
      </c>
      <c r="L1270" s="43">
        <f>IF(COUNTIF($F$5:$F$2407,F1270)=1,"OK","Дубликат")</f>
        <v/>
      </c>
    </row>
    <row r="1271" ht="38" customHeight="1">
      <c r="A1271" s="146" t="inlineStr">
        <is>
          <t>SUB-L3-12-40</t>
        </is>
      </c>
      <c r="B1271" s="39" t="inlineStr">
        <is>
          <t>3 уровень</t>
        </is>
      </c>
      <c r="C1271" s="34" t="inlineStr">
        <is>
          <t>Закрытые условия на абонементы</t>
        </is>
      </c>
      <c r="D1271" s="34" t="inlineStr">
        <is>
          <t>Скидка 40% на абонемент 12 занятий</t>
        </is>
      </c>
      <c r="E1271" s="34" t="inlineStr">
        <is>
          <t>При покупке абонемента на 12 занятий</t>
        </is>
      </c>
      <c r="F1271" s="147" t="inlineStr">
        <is>
          <t>FW-L3-989VH-SED7U</t>
        </is>
      </c>
      <c r="G1271" s="39" t="inlineStr">
        <is>
          <t>Не использован</t>
        </is>
      </c>
      <c r="H1271" s="148" t="n"/>
      <c r="I1271" s="34" t="str"/>
      <c r="J1271" s="34" t="str"/>
      <c r="K1271" s="130" t="n">
        <v>67</v>
      </c>
      <c r="L1271" s="43">
        <f>IF(COUNTIF($F$5:$F$2407,F1271)=1,"OK","Дубликат")</f>
        <v/>
      </c>
    </row>
    <row r="1272" ht="38" customHeight="1">
      <c r="A1272" s="146" t="inlineStr">
        <is>
          <t>SUB-L3-12-40</t>
        </is>
      </c>
      <c r="B1272" s="39" t="inlineStr">
        <is>
          <t>3 уровень</t>
        </is>
      </c>
      <c r="C1272" s="34" t="inlineStr">
        <is>
          <t>Закрытые условия на абонементы</t>
        </is>
      </c>
      <c r="D1272" s="34" t="inlineStr">
        <is>
          <t>Скидка 40% на абонемент 12 занятий</t>
        </is>
      </c>
      <c r="E1272" s="34" t="inlineStr">
        <is>
          <t>При покупке абонемента на 12 занятий</t>
        </is>
      </c>
      <c r="F1272" s="147" t="inlineStr">
        <is>
          <t>FW-L3-6S9DU-AWUNE</t>
        </is>
      </c>
      <c r="G1272" s="39" t="inlineStr">
        <is>
          <t>Не использован</t>
        </is>
      </c>
      <c r="H1272" s="148" t="n"/>
      <c r="I1272" s="34" t="str"/>
      <c r="J1272" s="34" t="str"/>
      <c r="K1272" s="130" t="n">
        <v>68</v>
      </c>
      <c r="L1272" s="43">
        <f>IF(COUNTIF($F$5:$F$2407,F1272)=1,"OK","Дубликат")</f>
        <v/>
      </c>
    </row>
    <row r="1273" ht="38" customHeight="1">
      <c r="A1273" s="146" t="inlineStr">
        <is>
          <t>SUB-L3-12-40</t>
        </is>
      </c>
      <c r="B1273" s="39" t="inlineStr">
        <is>
          <t>3 уровень</t>
        </is>
      </c>
      <c r="C1273" s="34" t="inlineStr">
        <is>
          <t>Закрытые условия на абонементы</t>
        </is>
      </c>
      <c r="D1273" s="34" t="inlineStr">
        <is>
          <t>Скидка 40% на абонемент 12 занятий</t>
        </is>
      </c>
      <c r="E1273" s="34" t="inlineStr">
        <is>
          <t>При покупке абонемента на 12 занятий</t>
        </is>
      </c>
      <c r="F1273" s="147" t="inlineStr">
        <is>
          <t>FW-L3-BT8TE-GJRCS</t>
        </is>
      </c>
      <c r="G1273" s="39" t="inlineStr">
        <is>
          <t>Не использован</t>
        </is>
      </c>
      <c r="H1273" s="148" t="n"/>
      <c r="I1273" s="34" t="str"/>
      <c r="J1273" s="34" t="str"/>
      <c r="K1273" s="130" t="n">
        <v>69</v>
      </c>
      <c r="L1273" s="43">
        <f>IF(COUNTIF($F$5:$F$2407,F1273)=1,"OK","Дубликат")</f>
        <v/>
      </c>
    </row>
    <row r="1274" ht="38" customHeight="1">
      <c r="A1274" s="146" t="inlineStr">
        <is>
          <t>SUB-L3-12-40</t>
        </is>
      </c>
      <c r="B1274" s="39" t="inlineStr">
        <is>
          <t>3 уровень</t>
        </is>
      </c>
      <c r="C1274" s="34" t="inlineStr">
        <is>
          <t>Закрытые условия на абонементы</t>
        </is>
      </c>
      <c r="D1274" s="34" t="inlineStr">
        <is>
          <t>Скидка 40% на абонемент 12 занятий</t>
        </is>
      </c>
      <c r="E1274" s="34" t="inlineStr">
        <is>
          <t>При покупке абонемента на 12 занятий</t>
        </is>
      </c>
      <c r="F1274" s="147" t="inlineStr">
        <is>
          <t>FW-L3-XZDHS-NDYHA</t>
        </is>
      </c>
      <c r="G1274" s="39" t="inlineStr">
        <is>
          <t>Не использован</t>
        </is>
      </c>
      <c r="H1274" s="148" t="n"/>
      <c r="I1274" s="34" t="str"/>
      <c r="J1274" s="34" t="str"/>
      <c r="K1274" s="130" t="n">
        <v>70</v>
      </c>
      <c r="L1274" s="43">
        <f>IF(COUNTIF($F$5:$F$2407,F1274)=1,"OK","Дубликат")</f>
        <v/>
      </c>
    </row>
    <row r="1275" ht="38" customHeight="1">
      <c r="A1275" s="146" t="inlineStr">
        <is>
          <t>SUB-L3-12-40</t>
        </is>
      </c>
      <c r="B1275" s="39" t="inlineStr">
        <is>
          <t>3 уровень</t>
        </is>
      </c>
      <c r="C1275" s="34" t="inlineStr">
        <is>
          <t>Закрытые условия на абонементы</t>
        </is>
      </c>
      <c r="D1275" s="34" t="inlineStr">
        <is>
          <t>Скидка 40% на абонемент 12 занятий</t>
        </is>
      </c>
      <c r="E1275" s="34" t="inlineStr">
        <is>
          <t>При покупке абонемента на 12 занятий</t>
        </is>
      </c>
      <c r="F1275" s="147" t="inlineStr">
        <is>
          <t>FW-L3-L57JB-RESR8</t>
        </is>
      </c>
      <c r="G1275" s="39" t="inlineStr">
        <is>
          <t>Не использован</t>
        </is>
      </c>
      <c r="H1275" s="148" t="n"/>
      <c r="I1275" s="34" t="str"/>
      <c r="J1275" s="34" t="str"/>
      <c r="K1275" s="130" t="n">
        <v>71</v>
      </c>
      <c r="L1275" s="43">
        <f>IF(COUNTIF($F$5:$F$2407,F1275)=1,"OK","Дубликат")</f>
        <v/>
      </c>
    </row>
    <row r="1276" ht="38" customHeight="1">
      <c r="A1276" s="146" t="inlineStr">
        <is>
          <t>SUB-L3-12-40</t>
        </is>
      </c>
      <c r="B1276" s="39" t="inlineStr">
        <is>
          <t>3 уровень</t>
        </is>
      </c>
      <c r="C1276" s="34" t="inlineStr">
        <is>
          <t>Закрытые условия на абонементы</t>
        </is>
      </c>
      <c r="D1276" s="34" t="inlineStr">
        <is>
          <t>Скидка 40% на абонемент 12 занятий</t>
        </is>
      </c>
      <c r="E1276" s="34" t="inlineStr">
        <is>
          <t>При покупке абонемента на 12 занятий</t>
        </is>
      </c>
      <c r="F1276" s="147" t="inlineStr">
        <is>
          <t>FW-L3-XVWZV-U4RMZ</t>
        </is>
      </c>
      <c r="G1276" s="39" t="inlineStr">
        <is>
          <t>Не использован</t>
        </is>
      </c>
      <c r="H1276" s="148" t="n"/>
      <c r="I1276" s="34" t="str"/>
      <c r="J1276" s="34" t="str"/>
      <c r="K1276" s="130" t="n">
        <v>72</v>
      </c>
      <c r="L1276" s="43">
        <f>IF(COUNTIF($F$5:$F$2407,F1276)=1,"OK","Дубликат")</f>
        <v/>
      </c>
    </row>
    <row r="1277" ht="38" customHeight="1">
      <c r="A1277" s="146" t="inlineStr">
        <is>
          <t>SUB-L3-12-40</t>
        </is>
      </c>
      <c r="B1277" s="39" t="inlineStr">
        <is>
          <t>3 уровень</t>
        </is>
      </c>
      <c r="C1277" s="34" t="inlineStr">
        <is>
          <t>Закрытые условия на абонементы</t>
        </is>
      </c>
      <c r="D1277" s="34" t="inlineStr">
        <is>
          <t>Скидка 40% на абонемент 12 занятий</t>
        </is>
      </c>
      <c r="E1277" s="34" t="inlineStr">
        <is>
          <t>При покупке абонемента на 12 занятий</t>
        </is>
      </c>
      <c r="F1277" s="147" t="inlineStr">
        <is>
          <t>FW-L3-7Q5KN-6NR62</t>
        </is>
      </c>
      <c r="G1277" s="39" t="inlineStr">
        <is>
          <t>Не использован</t>
        </is>
      </c>
      <c r="H1277" s="148" t="n"/>
      <c r="I1277" s="34" t="str"/>
      <c r="J1277" s="34" t="str"/>
      <c r="K1277" s="130" t="n">
        <v>73</v>
      </c>
      <c r="L1277" s="43">
        <f>IF(COUNTIF($F$5:$F$2407,F1277)=1,"OK","Дубликат")</f>
        <v/>
      </c>
    </row>
    <row r="1278" ht="38" customHeight="1">
      <c r="A1278" s="146" t="inlineStr">
        <is>
          <t>SUB-L3-12-40</t>
        </is>
      </c>
      <c r="B1278" s="39" t="inlineStr">
        <is>
          <t>3 уровень</t>
        </is>
      </c>
      <c r="C1278" s="34" t="inlineStr">
        <is>
          <t>Закрытые условия на абонементы</t>
        </is>
      </c>
      <c r="D1278" s="34" t="inlineStr">
        <is>
          <t>Скидка 40% на абонемент 12 занятий</t>
        </is>
      </c>
      <c r="E1278" s="34" t="inlineStr">
        <is>
          <t>При покупке абонемента на 12 занятий</t>
        </is>
      </c>
      <c r="F1278" s="147" t="inlineStr">
        <is>
          <t>FW-L3-XWPRA-X6WE5</t>
        </is>
      </c>
      <c r="G1278" s="39" t="inlineStr">
        <is>
          <t>Не использован</t>
        </is>
      </c>
      <c r="H1278" s="148" t="n"/>
      <c r="I1278" s="34" t="str"/>
      <c r="J1278" s="34" t="str"/>
      <c r="K1278" s="130" t="n">
        <v>74</v>
      </c>
      <c r="L1278" s="43">
        <f>IF(COUNTIF($F$5:$F$2407,F1278)=1,"OK","Дубликат")</f>
        <v/>
      </c>
    </row>
    <row r="1279" ht="38" customHeight="1">
      <c r="A1279" s="146" t="inlineStr">
        <is>
          <t>SUB-L3-12-40</t>
        </is>
      </c>
      <c r="B1279" s="39" t="inlineStr">
        <is>
          <t>3 уровень</t>
        </is>
      </c>
      <c r="C1279" s="34" t="inlineStr">
        <is>
          <t>Закрытые условия на абонементы</t>
        </is>
      </c>
      <c r="D1279" s="34" t="inlineStr">
        <is>
          <t>Скидка 40% на абонемент 12 занятий</t>
        </is>
      </c>
      <c r="E1279" s="34" t="inlineStr">
        <is>
          <t>При покупке абонемента на 12 занятий</t>
        </is>
      </c>
      <c r="F1279" s="147" t="inlineStr">
        <is>
          <t>FW-L3-SPA5M-UY6DG</t>
        </is>
      </c>
      <c r="G1279" s="39" t="inlineStr">
        <is>
          <t>Не использован</t>
        </is>
      </c>
      <c r="H1279" s="148" t="n"/>
      <c r="I1279" s="34" t="str"/>
      <c r="J1279" s="34" t="str"/>
      <c r="K1279" s="130" t="n">
        <v>75</v>
      </c>
      <c r="L1279" s="43">
        <f>IF(COUNTIF($F$5:$F$2407,F1279)=1,"OK","Дубликат")</f>
        <v/>
      </c>
    </row>
    <row r="1280" ht="38" customHeight="1">
      <c r="A1280" s="146" t="inlineStr">
        <is>
          <t>SUB-L3-12-40</t>
        </is>
      </c>
      <c r="B1280" s="39" t="inlineStr">
        <is>
          <t>3 уровень</t>
        </is>
      </c>
      <c r="C1280" s="34" t="inlineStr">
        <is>
          <t>Закрытые условия на абонементы</t>
        </is>
      </c>
      <c r="D1280" s="34" t="inlineStr">
        <is>
          <t>Скидка 40% на абонемент 12 занятий</t>
        </is>
      </c>
      <c r="E1280" s="34" t="inlineStr">
        <is>
          <t>При покупке абонемента на 12 занятий</t>
        </is>
      </c>
      <c r="F1280" s="147" t="inlineStr">
        <is>
          <t>FW-L3-MKHLW-E7S9Y</t>
        </is>
      </c>
      <c r="G1280" s="39" t="inlineStr">
        <is>
          <t>Не использован</t>
        </is>
      </c>
      <c r="H1280" s="148" t="n"/>
      <c r="I1280" s="34" t="str"/>
      <c r="J1280" s="34" t="str"/>
      <c r="K1280" s="130" t="n">
        <v>76</v>
      </c>
      <c r="L1280" s="43">
        <f>IF(COUNTIF($F$5:$F$2407,F1280)=1,"OK","Дубликат")</f>
        <v/>
      </c>
    </row>
    <row r="1281" ht="38" customHeight="1">
      <c r="A1281" s="146" t="inlineStr">
        <is>
          <t>SUB-L3-12-40</t>
        </is>
      </c>
      <c r="B1281" s="39" t="inlineStr">
        <is>
          <t>3 уровень</t>
        </is>
      </c>
      <c r="C1281" s="34" t="inlineStr">
        <is>
          <t>Закрытые условия на абонементы</t>
        </is>
      </c>
      <c r="D1281" s="34" t="inlineStr">
        <is>
          <t>Скидка 40% на абонемент 12 занятий</t>
        </is>
      </c>
      <c r="E1281" s="34" t="inlineStr">
        <is>
          <t>При покупке абонемента на 12 занятий</t>
        </is>
      </c>
      <c r="F1281" s="147" t="inlineStr">
        <is>
          <t>FW-L3-9SKWW-U8B3T</t>
        </is>
      </c>
      <c r="G1281" s="39" t="inlineStr">
        <is>
          <t>Не использован</t>
        </is>
      </c>
      <c r="H1281" s="148" t="n"/>
      <c r="I1281" s="34" t="str"/>
      <c r="J1281" s="34" t="str"/>
      <c r="K1281" s="130" t="n">
        <v>77</v>
      </c>
      <c r="L1281" s="43">
        <f>IF(COUNTIF($F$5:$F$2407,F1281)=1,"OK","Дубликат")</f>
        <v/>
      </c>
    </row>
    <row r="1282" ht="38" customHeight="1">
      <c r="A1282" s="146" t="inlineStr">
        <is>
          <t>SUB-L3-12-40</t>
        </is>
      </c>
      <c r="B1282" s="39" t="inlineStr">
        <is>
          <t>3 уровень</t>
        </is>
      </c>
      <c r="C1282" s="34" t="inlineStr">
        <is>
          <t>Закрытые условия на абонементы</t>
        </is>
      </c>
      <c r="D1282" s="34" t="inlineStr">
        <is>
          <t>Скидка 40% на абонемент 12 занятий</t>
        </is>
      </c>
      <c r="E1282" s="34" t="inlineStr">
        <is>
          <t>При покупке абонемента на 12 занятий</t>
        </is>
      </c>
      <c r="F1282" s="147" t="inlineStr">
        <is>
          <t>FW-L3-A7YVY-TPB24</t>
        </is>
      </c>
      <c r="G1282" s="39" t="inlineStr">
        <is>
          <t>Не использован</t>
        </is>
      </c>
      <c r="H1282" s="148" t="n"/>
      <c r="I1282" s="34" t="str"/>
      <c r="J1282" s="34" t="str"/>
      <c r="K1282" s="130" t="n">
        <v>78</v>
      </c>
      <c r="L1282" s="43">
        <f>IF(COUNTIF($F$5:$F$2407,F1282)=1,"OK","Дубликат")</f>
        <v/>
      </c>
    </row>
    <row r="1283" ht="38" customHeight="1">
      <c r="A1283" s="146" t="inlineStr">
        <is>
          <t>SUB-L3-12-40</t>
        </is>
      </c>
      <c r="B1283" s="39" t="inlineStr">
        <is>
          <t>3 уровень</t>
        </is>
      </c>
      <c r="C1283" s="34" t="inlineStr">
        <is>
          <t>Закрытые условия на абонементы</t>
        </is>
      </c>
      <c r="D1283" s="34" t="inlineStr">
        <is>
          <t>Скидка 40% на абонемент 12 занятий</t>
        </is>
      </c>
      <c r="E1283" s="34" t="inlineStr">
        <is>
          <t>При покупке абонемента на 12 занятий</t>
        </is>
      </c>
      <c r="F1283" s="147" t="inlineStr">
        <is>
          <t>FW-L3-Z4Y4K-S98KQ</t>
        </is>
      </c>
      <c r="G1283" s="39" t="inlineStr">
        <is>
          <t>Не использован</t>
        </is>
      </c>
      <c r="H1283" s="148" t="n"/>
      <c r="I1283" s="34" t="str"/>
      <c r="J1283" s="34" t="str"/>
      <c r="K1283" s="130" t="n">
        <v>79</v>
      </c>
      <c r="L1283" s="43">
        <f>IF(COUNTIF($F$5:$F$2407,F1283)=1,"OK","Дубликат")</f>
        <v/>
      </c>
    </row>
    <row r="1284" ht="38" customHeight="1">
      <c r="A1284" s="146" t="inlineStr">
        <is>
          <t>SUB-L3-12-40</t>
        </is>
      </c>
      <c r="B1284" s="39" t="inlineStr">
        <is>
          <t>3 уровень</t>
        </is>
      </c>
      <c r="C1284" s="34" t="inlineStr">
        <is>
          <t>Закрытые условия на абонементы</t>
        </is>
      </c>
      <c r="D1284" s="34" t="inlineStr">
        <is>
          <t>Скидка 40% на абонемент 12 занятий</t>
        </is>
      </c>
      <c r="E1284" s="34" t="inlineStr">
        <is>
          <t>При покупке абонемента на 12 занятий</t>
        </is>
      </c>
      <c r="F1284" s="147" t="inlineStr">
        <is>
          <t>FW-L3-L3HXU-W5NM5</t>
        </is>
      </c>
      <c r="G1284" s="39" t="inlineStr">
        <is>
          <t>Не использован</t>
        </is>
      </c>
      <c r="H1284" s="148" t="n"/>
      <c r="I1284" s="34" t="str"/>
      <c r="J1284" s="34" t="str"/>
      <c r="K1284" s="130" t="n">
        <v>80</v>
      </c>
      <c r="L1284" s="43">
        <f>IF(COUNTIF($F$5:$F$2407,F1284)=1,"OK","Дубликат")</f>
        <v/>
      </c>
    </row>
    <row r="1285" ht="38" customHeight="1">
      <c r="A1285" s="146" t="inlineStr">
        <is>
          <t>SUB-L3-12-40</t>
        </is>
      </c>
      <c r="B1285" s="39" t="inlineStr">
        <is>
          <t>3 уровень</t>
        </is>
      </c>
      <c r="C1285" s="34" t="inlineStr">
        <is>
          <t>Закрытые условия на абонементы</t>
        </is>
      </c>
      <c r="D1285" s="34" t="inlineStr">
        <is>
          <t>Скидка 40% на абонемент 12 занятий</t>
        </is>
      </c>
      <c r="E1285" s="34" t="inlineStr">
        <is>
          <t>При покупке абонемента на 12 занятий</t>
        </is>
      </c>
      <c r="F1285" s="147" t="inlineStr">
        <is>
          <t>FW-L3-JV4U4-E7SCU</t>
        </is>
      </c>
      <c r="G1285" s="39" t="inlineStr">
        <is>
          <t>Не использован</t>
        </is>
      </c>
      <c r="H1285" s="148" t="n"/>
      <c r="I1285" s="34" t="str"/>
      <c r="J1285" s="34" t="str"/>
      <c r="K1285" s="130" t="n">
        <v>81</v>
      </c>
      <c r="L1285" s="43">
        <f>IF(COUNTIF($F$5:$F$2407,F1285)=1,"OK","Дубликат")</f>
        <v/>
      </c>
    </row>
    <row r="1286" ht="38" customHeight="1">
      <c r="A1286" s="146" t="inlineStr">
        <is>
          <t>SUB-L3-12-40</t>
        </is>
      </c>
      <c r="B1286" s="39" t="inlineStr">
        <is>
          <t>3 уровень</t>
        </is>
      </c>
      <c r="C1286" s="34" t="inlineStr">
        <is>
          <t>Закрытые условия на абонементы</t>
        </is>
      </c>
      <c r="D1286" s="34" t="inlineStr">
        <is>
          <t>Скидка 40% на абонемент 12 занятий</t>
        </is>
      </c>
      <c r="E1286" s="34" t="inlineStr">
        <is>
          <t>При покупке абонемента на 12 занятий</t>
        </is>
      </c>
      <c r="F1286" s="147" t="inlineStr">
        <is>
          <t>FW-L3-C73NP-JCJZ9</t>
        </is>
      </c>
      <c r="G1286" s="39" t="inlineStr">
        <is>
          <t>Не использован</t>
        </is>
      </c>
      <c r="H1286" s="148" t="n"/>
      <c r="I1286" s="34" t="str"/>
      <c r="J1286" s="34" t="str"/>
      <c r="K1286" s="130" t="n">
        <v>82</v>
      </c>
      <c r="L1286" s="43">
        <f>IF(COUNTIF($F$5:$F$2407,F1286)=1,"OK","Дубликат")</f>
        <v/>
      </c>
    </row>
    <row r="1287" ht="38" customHeight="1">
      <c r="A1287" s="146" t="inlineStr">
        <is>
          <t>SUB-L3-12-40</t>
        </is>
      </c>
      <c r="B1287" s="39" t="inlineStr">
        <is>
          <t>3 уровень</t>
        </is>
      </c>
      <c r="C1287" s="34" t="inlineStr">
        <is>
          <t>Закрытые условия на абонементы</t>
        </is>
      </c>
      <c r="D1287" s="34" t="inlineStr">
        <is>
          <t>Скидка 40% на абонемент 12 занятий</t>
        </is>
      </c>
      <c r="E1287" s="34" t="inlineStr">
        <is>
          <t>При покупке абонемента на 12 занятий</t>
        </is>
      </c>
      <c r="F1287" s="147" t="inlineStr">
        <is>
          <t>FW-L3-3JQSG-C34DP</t>
        </is>
      </c>
      <c r="G1287" s="39" t="inlineStr">
        <is>
          <t>Не использован</t>
        </is>
      </c>
      <c r="H1287" s="148" t="n"/>
      <c r="I1287" s="34" t="str"/>
      <c r="J1287" s="34" t="str"/>
      <c r="K1287" s="130" t="n">
        <v>83</v>
      </c>
      <c r="L1287" s="43">
        <f>IF(COUNTIF($F$5:$F$2407,F1287)=1,"OK","Дубликат")</f>
        <v/>
      </c>
    </row>
    <row r="1288" ht="38" customHeight="1">
      <c r="A1288" s="146" t="inlineStr">
        <is>
          <t>SUB-L3-12-40</t>
        </is>
      </c>
      <c r="B1288" s="39" t="inlineStr">
        <is>
          <t>3 уровень</t>
        </is>
      </c>
      <c r="C1288" s="34" t="inlineStr">
        <is>
          <t>Закрытые условия на абонементы</t>
        </is>
      </c>
      <c r="D1288" s="34" t="inlineStr">
        <is>
          <t>Скидка 40% на абонемент 12 занятий</t>
        </is>
      </c>
      <c r="E1288" s="34" t="inlineStr">
        <is>
          <t>При покупке абонемента на 12 занятий</t>
        </is>
      </c>
      <c r="F1288" s="147" t="inlineStr">
        <is>
          <t>FW-L3-KKHFT-TC43Z</t>
        </is>
      </c>
      <c r="G1288" s="39" t="inlineStr">
        <is>
          <t>Не использован</t>
        </is>
      </c>
      <c r="H1288" s="148" t="n"/>
      <c r="I1288" s="34" t="str"/>
      <c r="J1288" s="34" t="str"/>
      <c r="K1288" s="130" t="n">
        <v>84</v>
      </c>
      <c r="L1288" s="43">
        <f>IF(COUNTIF($F$5:$F$2407,F1288)=1,"OK","Дубликат")</f>
        <v/>
      </c>
    </row>
    <row r="1289" ht="38" customHeight="1">
      <c r="A1289" s="146" t="inlineStr">
        <is>
          <t>SUB-L3-12-40</t>
        </is>
      </c>
      <c r="B1289" s="39" t="inlineStr">
        <is>
          <t>3 уровень</t>
        </is>
      </c>
      <c r="C1289" s="34" t="inlineStr">
        <is>
          <t>Закрытые условия на абонементы</t>
        </is>
      </c>
      <c r="D1289" s="34" t="inlineStr">
        <is>
          <t>Скидка 40% на абонемент 12 занятий</t>
        </is>
      </c>
      <c r="E1289" s="34" t="inlineStr">
        <is>
          <t>При покупке абонемента на 12 занятий</t>
        </is>
      </c>
      <c r="F1289" s="147" t="inlineStr">
        <is>
          <t>FW-L3-5VAKS-WTE64</t>
        </is>
      </c>
      <c r="G1289" s="39" t="inlineStr">
        <is>
          <t>Не использован</t>
        </is>
      </c>
      <c r="H1289" s="148" t="n"/>
      <c r="I1289" s="34" t="str"/>
      <c r="J1289" s="34" t="str"/>
      <c r="K1289" s="130" t="n">
        <v>85</v>
      </c>
      <c r="L1289" s="43">
        <f>IF(COUNTIF($F$5:$F$2407,F1289)=1,"OK","Дубликат")</f>
        <v/>
      </c>
    </row>
    <row r="1290" ht="38" customHeight="1">
      <c r="A1290" s="146" t="inlineStr">
        <is>
          <t>SUB-L3-12-40</t>
        </is>
      </c>
      <c r="B1290" s="39" t="inlineStr">
        <is>
          <t>3 уровень</t>
        </is>
      </c>
      <c r="C1290" s="34" t="inlineStr">
        <is>
          <t>Закрытые условия на абонементы</t>
        </is>
      </c>
      <c r="D1290" s="34" t="inlineStr">
        <is>
          <t>Скидка 40% на абонемент 12 занятий</t>
        </is>
      </c>
      <c r="E1290" s="34" t="inlineStr">
        <is>
          <t>При покупке абонемента на 12 занятий</t>
        </is>
      </c>
      <c r="F1290" s="147" t="inlineStr">
        <is>
          <t>FW-L3-VK4E9-YSPG2</t>
        </is>
      </c>
      <c r="G1290" s="39" t="inlineStr">
        <is>
          <t>Не использован</t>
        </is>
      </c>
      <c r="H1290" s="148" t="n"/>
      <c r="I1290" s="34" t="str"/>
      <c r="J1290" s="34" t="str"/>
      <c r="K1290" s="130" t="n">
        <v>86</v>
      </c>
      <c r="L1290" s="43">
        <f>IF(COUNTIF($F$5:$F$2407,F1290)=1,"OK","Дубликат")</f>
        <v/>
      </c>
    </row>
    <row r="1291" ht="38" customHeight="1">
      <c r="A1291" s="146" t="inlineStr">
        <is>
          <t>SUB-L3-12-40</t>
        </is>
      </c>
      <c r="B1291" s="39" t="inlineStr">
        <is>
          <t>3 уровень</t>
        </is>
      </c>
      <c r="C1291" s="34" t="inlineStr">
        <is>
          <t>Закрытые условия на абонементы</t>
        </is>
      </c>
      <c r="D1291" s="34" t="inlineStr">
        <is>
          <t>Скидка 40% на абонемент 12 занятий</t>
        </is>
      </c>
      <c r="E1291" s="34" t="inlineStr">
        <is>
          <t>При покупке абонемента на 12 занятий</t>
        </is>
      </c>
      <c r="F1291" s="147" t="inlineStr">
        <is>
          <t>FW-L3-TNX2N-5G6U7</t>
        </is>
      </c>
      <c r="G1291" s="39" t="inlineStr">
        <is>
          <t>Не использован</t>
        </is>
      </c>
      <c r="H1291" s="148" t="n"/>
      <c r="I1291" s="34" t="str"/>
      <c r="J1291" s="34" t="str"/>
      <c r="K1291" s="130" t="n">
        <v>87</v>
      </c>
      <c r="L1291" s="43">
        <f>IF(COUNTIF($F$5:$F$2407,F1291)=1,"OK","Дубликат")</f>
        <v/>
      </c>
    </row>
    <row r="1292" ht="38" customHeight="1">
      <c r="A1292" s="146" t="inlineStr">
        <is>
          <t>SUB-L3-12-40</t>
        </is>
      </c>
      <c r="B1292" s="39" t="inlineStr">
        <is>
          <t>3 уровень</t>
        </is>
      </c>
      <c r="C1292" s="34" t="inlineStr">
        <is>
          <t>Закрытые условия на абонементы</t>
        </is>
      </c>
      <c r="D1292" s="34" t="inlineStr">
        <is>
          <t>Скидка 40% на абонемент 12 занятий</t>
        </is>
      </c>
      <c r="E1292" s="34" t="inlineStr">
        <is>
          <t>При покупке абонемента на 12 занятий</t>
        </is>
      </c>
      <c r="F1292" s="147" t="inlineStr">
        <is>
          <t>FW-L3-Z55NU-ZV9U5</t>
        </is>
      </c>
      <c r="G1292" s="39" t="inlineStr">
        <is>
          <t>Не использован</t>
        </is>
      </c>
      <c r="H1292" s="148" t="n"/>
      <c r="I1292" s="34" t="str"/>
      <c r="J1292" s="34" t="str"/>
      <c r="K1292" s="130" t="n">
        <v>88</v>
      </c>
      <c r="L1292" s="43">
        <f>IF(COUNTIF($F$5:$F$2407,F1292)=1,"OK","Дубликат")</f>
        <v/>
      </c>
    </row>
    <row r="1293" ht="38" customHeight="1">
      <c r="A1293" s="146" t="inlineStr">
        <is>
          <t>SUB-L3-12-40</t>
        </is>
      </c>
      <c r="B1293" s="39" t="inlineStr">
        <is>
          <t>3 уровень</t>
        </is>
      </c>
      <c r="C1293" s="34" t="inlineStr">
        <is>
          <t>Закрытые условия на абонементы</t>
        </is>
      </c>
      <c r="D1293" s="34" t="inlineStr">
        <is>
          <t>Скидка 40% на абонемент 12 занятий</t>
        </is>
      </c>
      <c r="E1293" s="34" t="inlineStr">
        <is>
          <t>При покупке абонемента на 12 занятий</t>
        </is>
      </c>
      <c r="F1293" s="147" t="inlineStr">
        <is>
          <t>FW-L3-E52VH-YTSCE</t>
        </is>
      </c>
      <c r="G1293" s="39" t="inlineStr">
        <is>
          <t>Не использован</t>
        </is>
      </c>
      <c r="H1293" s="148" t="n"/>
      <c r="I1293" s="34" t="str"/>
      <c r="J1293" s="34" t="str"/>
      <c r="K1293" s="130" t="n">
        <v>89</v>
      </c>
      <c r="L1293" s="43">
        <f>IF(COUNTIF($F$5:$F$2407,F1293)=1,"OK","Дубликат")</f>
        <v/>
      </c>
    </row>
    <row r="1294" ht="38" customHeight="1">
      <c r="A1294" s="146" t="inlineStr">
        <is>
          <t>SUB-L3-12-40</t>
        </is>
      </c>
      <c r="B1294" s="39" t="inlineStr">
        <is>
          <t>3 уровень</t>
        </is>
      </c>
      <c r="C1294" s="34" t="inlineStr">
        <is>
          <t>Закрытые условия на абонементы</t>
        </is>
      </c>
      <c r="D1294" s="34" t="inlineStr">
        <is>
          <t>Скидка 40% на абонемент 12 занятий</t>
        </is>
      </c>
      <c r="E1294" s="34" t="inlineStr">
        <is>
          <t>При покупке абонемента на 12 занятий</t>
        </is>
      </c>
      <c r="F1294" s="147" t="inlineStr">
        <is>
          <t>FW-L3-F2YMU-85HZQ</t>
        </is>
      </c>
      <c r="G1294" s="39" t="inlineStr">
        <is>
          <t>Не использован</t>
        </is>
      </c>
      <c r="H1294" s="148" t="n"/>
      <c r="I1294" s="34" t="str"/>
      <c r="J1294" s="34" t="str"/>
      <c r="K1294" s="130" t="n">
        <v>90</v>
      </c>
      <c r="L1294" s="43">
        <f>IF(COUNTIF($F$5:$F$2407,F1294)=1,"OK","Дубликат")</f>
        <v/>
      </c>
    </row>
    <row r="1295" ht="38" customHeight="1">
      <c r="A1295" s="146" t="inlineStr">
        <is>
          <t>SUB-L3-12-40</t>
        </is>
      </c>
      <c r="B1295" s="39" t="inlineStr">
        <is>
          <t>3 уровень</t>
        </is>
      </c>
      <c r="C1295" s="34" t="inlineStr">
        <is>
          <t>Закрытые условия на абонементы</t>
        </is>
      </c>
      <c r="D1295" s="34" t="inlineStr">
        <is>
          <t>Скидка 40% на абонемент 12 занятий</t>
        </is>
      </c>
      <c r="E1295" s="34" t="inlineStr">
        <is>
          <t>При покупке абонемента на 12 занятий</t>
        </is>
      </c>
      <c r="F1295" s="147" t="inlineStr">
        <is>
          <t>FW-L3-2NUSL-UKCQK</t>
        </is>
      </c>
      <c r="G1295" s="39" t="inlineStr">
        <is>
          <t>Не использован</t>
        </is>
      </c>
      <c r="H1295" s="148" t="n"/>
      <c r="I1295" s="34" t="str"/>
      <c r="J1295" s="34" t="str"/>
      <c r="K1295" s="130" t="n">
        <v>91</v>
      </c>
      <c r="L1295" s="43">
        <f>IF(COUNTIF($F$5:$F$2407,F1295)=1,"OK","Дубликат")</f>
        <v/>
      </c>
    </row>
    <row r="1296" ht="38" customHeight="1">
      <c r="A1296" s="146" t="inlineStr">
        <is>
          <t>SUB-L3-12-40</t>
        </is>
      </c>
      <c r="B1296" s="39" t="inlineStr">
        <is>
          <t>3 уровень</t>
        </is>
      </c>
      <c r="C1296" s="34" t="inlineStr">
        <is>
          <t>Закрытые условия на абонементы</t>
        </is>
      </c>
      <c r="D1296" s="34" t="inlineStr">
        <is>
          <t>Скидка 40% на абонемент 12 занятий</t>
        </is>
      </c>
      <c r="E1296" s="34" t="inlineStr">
        <is>
          <t>При покупке абонемента на 12 занятий</t>
        </is>
      </c>
      <c r="F1296" s="147" t="inlineStr">
        <is>
          <t>FW-L3-TRVB7-ACNTE</t>
        </is>
      </c>
      <c r="G1296" s="39" t="inlineStr">
        <is>
          <t>Не использован</t>
        </is>
      </c>
      <c r="H1296" s="148" t="n"/>
      <c r="I1296" s="34" t="str"/>
      <c r="J1296" s="34" t="str"/>
      <c r="K1296" s="130" t="n">
        <v>92</v>
      </c>
      <c r="L1296" s="43">
        <f>IF(COUNTIF($F$5:$F$2407,F1296)=1,"OK","Дубликат")</f>
        <v/>
      </c>
    </row>
    <row r="1297" ht="38" customHeight="1">
      <c r="A1297" s="146" t="inlineStr">
        <is>
          <t>SUB-L3-12-40</t>
        </is>
      </c>
      <c r="B1297" s="39" t="inlineStr">
        <is>
          <t>3 уровень</t>
        </is>
      </c>
      <c r="C1297" s="34" t="inlineStr">
        <is>
          <t>Закрытые условия на абонементы</t>
        </is>
      </c>
      <c r="D1297" s="34" t="inlineStr">
        <is>
          <t>Скидка 40% на абонемент 12 занятий</t>
        </is>
      </c>
      <c r="E1297" s="34" t="inlineStr">
        <is>
          <t>При покупке абонемента на 12 занятий</t>
        </is>
      </c>
      <c r="F1297" s="147" t="inlineStr">
        <is>
          <t>FW-L3-2VQAJ-CA83F</t>
        </is>
      </c>
      <c r="G1297" s="39" t="inlineStr">
        <is>
          <t>Не использован</t>
        </is>
      </c>
      <c r="H1297" s="148" t="n"/>
      <c r="I1297" s="34" t="str"/>
      <c r="J1297" s="34" t="str"/>
      <c r="K1297" s="130" t="n">
        <v>93</v>
      </c>
      <c r="L1297" s="43">
        <f>IF(COUNTIF($F$5:$F$2407,F1297)=1,"OK","Дубликат")</f>
        <v/>
      </c>
    </row>
    <row r="1298" ht="38" customHeight="1">
      <c r="A1298" s="146" t="inlineStr">
        <is>
          <t>SUB-L3-12-40</t>
        </is>
      </c>
      <c r="B1298" s="39" t="inlineStr">
        <is>
          <t>3 уровень</t>
        </is>
      </c>
      <c r="C1298" s="34" t="inlineStr">
        <is>
          <t>Закрытые условия на абонементы</t>
        </is>
      </c>
      <c r="D1298" s="34" t="inlineStr">
        <is>
          <t>Скидка 40% на абонемент 12 занятий</t>
        </is>
      </c>
      <c r="E1298" s="34" t="inlineStr">
        <is>
          <t>При покупке абонемента на 12 занятий</t>
        </is>
      </c>
      <c r="F1298" s="147" t="inlineStr">
        <is>
          <t>FW-L3-A3V6T-VLPZT</t>
        </is>
      </c>
      <c r="G1298" s="39" t="inlineStr">
        <is>
          <t>Не использован</t>
        </is>
      </c>
      <c r="H1298" s="148" t="n"/>
      <c r="I1298" s="34" t="str"/>
      <c r="J1298" s="34" t="str"/>
      <c r="K1298" s="130" t="n">
        <v>94</v>
      </c>
      <c r="L1298" s="43">
        <f>IF(COUNTIF($F$5:$F$2407,F1298)=1,"OK","Дубликат")</f>
        <v/>
      </c>
    </row>
    <row r="1299" ht="38" customHeight="1">
      <c r="A1299" s="146" t="inlineStr">
        <is>
          <t>SUB-L3-12-40</t>
        </is>
      </c>
      <c r="B1299" s="39" t="inlineStr">
        <is>
          <t>3 уровень</t>
        </is>
      </c>
      <c r="C1299" s="34" t="inlineStr">
        <is>
          <t>Закрытые условия на абонементы</t>
        </is>
      </c>
      <c r="D1299" s="34" t="inlineStr">
        <is>
          <t>Скидка 40% на абонемент 12 занятий</t>
        </is>
      </c>
      <c r="E1299" s="34" t="inlineStr">
        <is>
          <t>При покупке абонемента на 12 занятий</t>
        </is>
      </c>
      <c r="F1299" s="147" t="inlineStr">
        <is>
          <t>FW-L3-ZJQEV-2NWWE</t>
        </is>
      </c>
      <c r="G1299" s="39" t="inlineStr">
        <is>
          <t>Не использован</t>
        </is>
      </c>
      <c r="H1299" s="148" t="n"/>
      <c r="I1299" s="34" t="str"/>
      <c r="J1299" s="34" t="str"/>
      <c r="K1299" s="130" t="n">
        <v>95</v>
      </c>
      <c r="L1299" s="43">
        <f>IF(COUNTIF($F$5:$F$2407,F1299)=1,"OK","Дубликат")</f>
        <v/>
      </c>
    </row>
    <row r="1300" ht="38" customHeight="1">
      <c r="A1300" s="146" t="inlineStr">
        <is>
          <t>SUB-L3-12-40</t>
        </is>
      </c>
      <c r="B1300" s="39" t="inlineStr">
        <is>
          <t>3 уровень</t>
        </is>
      </c>
      <c r="C1300" s="34" t="inlineStr">
        <is>
          <t>Закрытые условия на абонементы</t>
        </is>
      </c>
      <c r="D1300" s="34" t="inlineStr">
        <is>
          <t>Скидка 40% на абонемент 12 занятий</t>
        </is>
      </c>
      <c r="E1300" s="34" t="inlineStr">
        <is>
          <t>При покупке абонемента на 12 занятий</t>
        </is>
      </c>
      <c r="F1300" s="147" t="inlineStr">
        <is>
          <t>FW-L3-UMN98-23683</t>
        </is>
      </c>
      <c r="G1300" s="39" t="inlineStr">
        <is>
          <t>Не использован</t>
        </is>
      </c>
      <c r="H1300" s="148" t="n"/>
      <c r="I1300" s="34" t="str"/>
      <c r="J1300" s="34" t="str"/>
      <c r="K1300" s="130" t="n">
        <v>96</v>
      </c>
      <c r="L1300" s="43">
        <f>IF(COUNTIF($F$5:$F$2407,F1300)=1,"OK","Дубликат")</f>
        <v/>
      </c>
    </row>
    <row r="1301" ht="38" customHeight="1">
      <c r="A1301" s="146" t="inlineStr">
        <is>
          <t>SUB-L3-12-40</t>
        </is>
      </c>
      <c r="B1301" s="39" t="inlineStr">
        <is>
          <t>3 уровень</t>
        </is>
      </c>
      <c r="C1301" s="34" t="inlineStr">
        <is>
          <t>Закрытые условия на абонементы</t>
        </is>
      </c>
      <c r="D1301" s="34" t="inlineStr">
        <is>
          <t>Скидка 40% на абонемент 12 занятий</t>
        </is>
      </c>
      <c r="E1301" s="34" t="inlineStr">
        <is>
          <t>При покупке абонемента на 12 занятий</t>
        </is>
      </c>
      <c r="F1301" s="147" t="inlineStr">
        <is>
          <t>FW-L3-BPHKK-JNH7X</t>
        </is>
      </c>
      <c r="G1301" s="39" t="inlineStr">
        <is>
          <t>Не использован</t>
        </is>
      </c>
      <c r="H1301" s="148" t="n"/>
      <c r="I1301" s="34" t="str"/>
      <c r="J1301" s="34" t="str"/>
      <c r="K1301" s="130" t="n">
        <v>97</v>
      </c>
      <c r="L1301" s="43">
        <f>IF(COUNTIF($F$5:$F$2407,F1301)=1,"OK","Дубликат")</f>
        <v/>
      </c>
    </row>
    <row r="1302" ht="38" customHeight="1">
      <c r="A1302" s="146" t="inlineStr">
        <is>
          <t>SUB-L3-12-40</t>
        </is>
      </c>
      <c r="B1302" s="39" t="inlineStr">
        <is>
          <t>3 уровень</t>
        </is>
      </c>
      <c r="C1302" s="34" t="inlineStr">
        <is>
          <t>Закрытые условия на абонементы</t>
        </is>
      </c>
      <c r="D1302" s="34" t="inlineStr">
        <is>
          <t>Скидка 40% на абонемент 12 занятий</t>
        </is>
      </c>
      <c r="E1302" s="34" t="inlineStr">
        <is>
          <t>При покупке абонемента на 12 занятий</t>
        </is>
      </c>
      <c r="F1302" s="147" t="inlineStr">
        <is>
          <t>FW-L3-6BJEG-Q5ASA</t>
        </is>
      </c>
      <c r="G1302" s="39" t="inlineStr">
        <is>
          <t>Не использован</t>
        </is>
      </c>
      <c r="H1302" s="148" t="n"/>
      <c r="I1302" s="34" t="str"/>
      <c r="J1302" s="34" t="str"/>
      <c r="K1302" s="130" t="n">
        <v>98</v>
      </c>
      <c r="L1302" s="43">
        <f>IF(COUNTIF($F$5:$F$2407,F1302)=1,"OK","Дубликат")</f>
        <v/>
      </c>
    </row>
    <row r="1303" ht="38" customHeight="1">
      <c r="A1303" s="146" t="inlineStr">
        <is>
          <t>SUB-L3-12-40</t>
        </is>
      </c>
      <c r="B1303" s="39" t="inlineStr">
        <is>
          <t>3 уровень</t>
        </is>
      </c>
      <c r="C1303" s="34" t="inlineStr">
        <is>
          <t>Закрытые условия на абонементы</t>
        </is>
      </c>
      <c r="D1303" s="34" t="inlineStr">
        <is>
          <t>Скидка 40% на абонемент 12 занятий</t>
        </is>
      </c>
      <c r="E1303" s="34" t="inlineStr">
        <is>
          <t>При покупке абонемента на 12 занятий</t>
        </is>
      </c>
      <c r="F1303" s="147" t="inlineStr">
        <is>
          <t>FW-L3-2Y2MC-95387</t>
        </is>
      </c>
      <c r="G1303" s="39" t="inlineStr">
        <is>
          <t>Не использован</t>
        </is>
      </c>
      <c r="H1303" s="148" t="n"/>
      <c r="I1303" s="34" t="str"/>
      <c r="J1303" s="34" t="str"/>
      <c r="K1303" s="130" t="n">
        <v>99</v>
      </c>
      <c r="L1303" s="43">
        <f>IF(COUNTIF($F$5:$F$2407,F1303)=1,"OK","Дубликат")</f>
        <v/>
      </c>
    </row>
    <row r="1304" ht="38" customHeight="1">
      <c r="A1304" s="146" t="inlineStr">
        <is>
          <t>SUB-L3-12-40</t>
        </is>
      </c>
      <c r="B1304" s="39" t="inlineStr">
        <is>
          <t>3 уровень</t>
        </is>
      </c>
      <c r="C1304" s="34" t="inlineStr">
        <is>
          <t>Закрытые условия на абонементы</t>
        </is>
      </c>
      <c r="D1304" s="34" t="inlineStr">
        <is>
          <t>Скидка 40% на абонемент 12 занятий</t>
        </is>
      </c>
      <c r="E1304" s="34" t="inlineStr">
        <is>
          <t>При покупке абонемента на 12 занятий</t>
        </is>
      </c>
      <c r="F1304" s="147" t="inlineStr">
        <is>
          <t>FW-L3-LJUQV-TFRHP</t>
        </is>
      </c>
      <c r="G1304" s="39" t="inlineStr">
        <is>
          <t>Не использован</t>
        </is>
      </c>
      <c r="H1304" s="148" t="n"/>
      <c r="I1304" s="34" t="str"/>
      <c r="J1304" s="34" t="str"/>
      <c r="K1304" s="130" t="n">
        <v>100</v>
      </c>
      <c r="L1304" s="43">
        <f>IF(COUNTIF($F$5:$F$2407,F1304)=1,"OK","Дубликат")</f>
        <v/>
      </c>
    </row>
    <row r="1305" ht="38" customHeight="1">
      <c r="A1305" s="146" t="inlineStr">
        <is>
          <t>SUB-L3-12-40</t>
        </is>
      </c>
      <c r="B1305" s="39" t="inlineStr">
        <is>
          <t>3 уровень</t>
        </is>
      </c>
      <c r="C1305" s="34" t="inlineStr">
        <is>
          <t>Закрытые условия на абонементы</t>
        </is>
      </c>
      <c r="D1305" s="34" t="inlineStr">
        <is>
          <t>Скидка 40% на абонемент 12 занятий</t>
        </is>
      </c>
      <c r="E1305" s="34" t="inlineStr">
        <is>
          <t>При покупке абонемента на 12 занятий</t>
        </is>
      </c>
      <c r="F1305" s="147" t="inlineStr">
        <is>
          <t>FW-L3-WACSY-X5JGL</t>
        </is>
      </c>
      <c r="G1305" s="39" t="inlineStr">
        <is>
          <t>Не использован</t>
        </is>
      </c>
      <c r="H1305" s="148" t="n"/>
      <c r="I1305" s="34" t="str"/>
      <c r="J1305" s="34" t="str"/>
      <c r="K1305" s="130" t="n">
        <v>101</v>
      </c>
      <c r="L1305" s="43">
        <f>IF(COUNTIF($F$5:$F$2407,F1305)=1,"OK","Дубликат")</f>
        <v/>
      </c>
    </row>
    <row r="1306" ht="38" customHeight="1">
      <c r="A1306" s="146" t="inlineStr">
        <is>
          <t>SUB-L3-12-40</t>
        </is>
      </c>
      <c r="B1306" s="39" t="inlineStr">
        <is>
          <t>3 уровень</t>
        </is>
      </c>
      <c r="C1306" s="34" t="inlineStr">
        <is>
          <t>Закрытые условия на абонементы</t>
        </is>
      </c>
      <c r="D1306" s="34" t="inlineStr">
        <is>
          <t>Скидка 40% на абонемент 12 занятий</t>
        </is>
      </c>
      <c r="E1306" s="34" t="inlineStr">
        <is>
          <t>При покупке абонемента на 12 занятий</t>
        </is>
      </c>
      <c r="F1306" s="147" t="inlineStr">
        <is>
          <t>FW-L3-QRN3Q-4D8WQ</t>
        </is>
      </c>
      <c r="G1306" s="39" t="inlineStr">
        <is>
          <t>Не использован</t>
        </is>
      </c>
      <c r="H1306" s="148" t="n"/>
      <c r="I1306" s="34" t="str"/>
      <c r="J1306" s="34" t="str"/>
      <c r="K1306" s="130" t="n">
        <v>102</v>
      </c>
      <c r="L1306" s="43">
        <f>IF(COUNTIF($F$5:$F$2407,F1306)=1,"OK","Дубликат")</f>
        <v/>
      </c>
    </row>
    <row r="1307" ht="38" customHeight="1">
      <c r="A1307" s="146" t="inlineStr">
        <is>
          <t>SUB-L3-12-40</t>
        </is>
      </c>
      <c r="B1307" s="39" t="inlineStr">
        <is>
          <t>3 уровень</t>
        </is>
      </c>
      <c r="C1307" s="34" t="inlineStr">
        <is>
          <t>Закрытые условия на абонементы</t>
        </is>
      </c>
      <c r="D1307" s="34" t="inlineStr">
        <is>
          <t>Скидка 40% на абонемент 12 занятий</t>
        </is>
      </c>
      <c r="E1307" s="34" t="inlineStr">
        <is>
          <t>При покупке абонемента на 12 занятий</t>
        </is>
      </c>
      <c r="F1307" s="147" t="inlineStr">
        <is>
          <t>FW-L3-TD9JR-DBL6B</t>
        </is>
      </c>
      <c r="G1307" s="39" t="inlineStr">
        <is>
          <t>Не использован</t>
        </is>
      </c>
      <c r="H1307" s="148" t="n"/>
      <c r="I1307" s="34" t="str"/>
      <c r="J1307" s="34" t="str"/>
      <c r="K1307" s="130" t="n">
        <v>103</v>
      </c>
      <c r="L1307" s="43">
        <f>IF(COUNTIF($F$5:$F$2407,F1307)=1,"OK","Дубликат")</f>
        <v/>
      </c>
    </row>
    <row r="1308" ht="38" customHeight="1">
      <c r="A1308" s="146" t="inlineStr">
        <is>
          <t>SUB-L3-12-40</t>
        </is>
      </c>
      <c r="B1308" s="39" t="inlineStr">
        <is>
          <t>3 уровень</t>
        </is>
      </c>
      <c r="C1308" s="34" t="inlineStr">
        <is>
          <t>Закрытые условия на абонементы</t>
        </is>
      </c>
      <c r="D1308" s="34" t="inlineStr">
        <is>
          <t>Скидка 40% на абонемент 12 занятий</t>
        </is>
      </c>
      <c r="E1308" s="34" t="inlineStr">
        <is>
          <t>При покупке абонемента на 12 занятий</t>
        </is>
      </c>
      <c r="F1308" s="147" t="inlineStr">
        <is>
          <t>FW-L3-R2VWJ-4HDKJ</t>
        </is>
      </c>
      <c r="G1308" s="39" t="inlineStr">
        <is>
          <t>Не использован</t>
        </is>
      </c>
      <c r="H1308" s="148" t="n"/>
      <c r="I1308" s="34" t="str"/>
      <c r="J1308" s="34" t="str"/>
      <c r="K1308" s="130" t="n">
        <v>104</v>
      </c>
      <c r="L1308" s="43">
        <f>IF(COUNTIF($F$5:$F$2407,F1308)=1,"OK","Дубликат")</f>
        <v/>
      </c>
    </row>
    <row r="1309" ht="38" customHeight="1">
      <c r="A1309" s="146" t="inlineStr">
        <is>
          <t>SUB-L3-12-40</t>
        </is>
      </c>
      <c r="B1309" s="39" t="inlineStr">
        <is>
          <t>3 уровень</t>
        </is>
      </c>
      <c r="C1309" s="34" t="inlineStr">
        <is>
          <t>Закрытые условия на абонементы</t>
        </is>
      </c>
      <c r="D1309" s="34" t="inlineStr">
        <is>
          <t>Скидка 40% на абонемент 12 занятий</t>
        </is>
      </c>
      <c r="E1309" s="34" t="inlineStr">
        <is>
          <t>При покупке абонемента на 12 занятий</t>
        </is>
      </c>
      <c r="F1309" s="147" t="inlineStr">
        <is>
          <t>FW-L3-9AQJ6-LY937</t>
        </is>
      </c>
      <c r="G1309" s="39" t="inlineStr">
        <is>
          <t>Не использован</t>
        </is>
      </c>
      <c r="H1309" s="148" t="n"/>
      <c r="I1309" s="34" t="str"/>
      <c r="J1309" s="34" t="str"/>
      <c r="K1309" s="130" t="n">
        <v>105</v>
      </c>
      <c r="L1309" s="43">
        <f>IF(COUNTIF($F$5:$F$2407,F1309)=1,"OK","Дубликат")</f>
        <v/>
      </c>
    </row>
    <row r="1310" ht="38" customHeight="1">
      <c r="A1310" s="146" t="inlineStr">
        <is>
          <t>SUB-L3-12-40</t>
        </is>
      </c>
      <c r="B1310" s="39" t="inlineStr">
        <is>
          <t>3 уровень</t>
        </is>
      </c>
      <c r="C1310" s="34" t="inlineStr">
        <is>
          <t>Закрытые условия на абонементы</t>
        </is>
      </c>
      <c r="D1310" s="34" t="inlineStr">
        <is>
          <t>Скидка 40% на абонемент 12 занятий</t>
        </is>
      </c>
      <c r="E1310" s="34" t="inlineStr">
        <is>
          <t>При покупке абонемента на 12 занятий</t>
        </is>
      </c>
      <c r="F1310" s="147" t="inlineStr">
        <is>
          <t>FW-L3-YCF9J-C5S3V</t>
        </is>
      </c>
      <c r="G1310" s="39" t="inlineStr">
        <is>
          <t>Не использован</t>
        </is>
      </c>
      <c r="H1310" s="148" t="n"/>
      <c r="I1310" s="34" t="str"/>
      <c r="J1310" s="34" t="str"/>
      <c r="K1310" s="130" t="n">
        <v>106</v>
      </c>
      <c r="L1310" s="43">
        <f>IF(COUNTIF($F$5:$F$2407,F1310)=1,"OK","Дубликат")</f>
        <v/>
      </c>
    </row>
    <row r="1311" ht="38" customHeight="1">
      <c r="A1311" s="146" t="inlineStr">
        <is>
          <t>SUB-L3-12-40</t>
        </is>
      </c>
      <c r="B1311" s="39" t="inlineStr">
        <is>
          <t>3 уровень</t>
        </is>
      </c>
      <c r="C1311" s="34" t="inlineStr">
        <is>
          <t>Закрытые условия на абонементы</t>
        </is>
      </c>
      <c r="D1311" s="34" t="inlineStr">
        <is>
          <t>Скидка 40% на абонемент 12 занятий</t>
        </is>
      </c>
      <c r="E1311" s="34" t="inlineStr">
        <is>
          <t>При покупке абонемента на 12 занятий</t>
        </is>
      </c>
      <c r="F1311" s="147" t="inlineStr">
        <is>
          <t>FW-L3-HTWZC-RJKRV</t>
        </is>
      </c>
      <c r="G1311" s="39" t="inlineStr">
        <is>
          <t>Не использован</t>
        </is>
      </c>
      <c r="H1311" s="148" t="n"/>
      <c r="I1311" s="34" t="str"/>
      <c r="J1311" s="34" t="str"/>
      <c r="K1311" s="130" t="n">
        <v>107</v>
      </c>
      <c r="L1311" s="43">
        <f>IF(COUNTIF($F$5:$F$2407,F1311)=1,"OK","Дубликат")</f>
        <v/>
      </c>
    </row>
    <row r="1312" ht="38" customHeight="1">
      <c r="A1312" s="146" t="inlineStr">
        <is>
          <t>SUB-L3-12-40</t>
        </is>
      </c>
      <c r="B1312" s="39" t="inlineStr">
        <is>
          <t>3 уровень</t>
        </is>
      </c>
      <c r="C1312" s="34" t="inlineStr">
        <is>
          <t>Закрытые условия на абонементы</t>
        </is>
      </c>
      <c r="D1312" s="34" t="inlineStr">
        <is>
          <t>Скидка 40% на абонемент 12 занятий</t>
        </is>
      </c>
      <c r="E1312" s="34" t="inlineStr">
        <is>
          <t>При покупке абонемента на 12 занятий</t>
        </is>
      </c>
      <c r="F1312" s="147" t="inlineStr">
        <is>
          <t>FW-L3-7CTTF-6YHY5</t>
        </is>
      </c>
      <c r="G1312" s="39" t="inlineStr">
        <is>
          <t>Не использован</t>
        </is>
      </c>
      <c r="H1312" s="148" t="n"/>
      <c r="I1312" s="34" t="str"/>
      <c r="J1312" s="34" t="str"/>
      <c r="K1312" s="130" t="n">
        <v>108</v>
      </c>
      <c r="L1312" s="43">
        <f>IF(COUNTIF($F$5:$F$2407,F1312)=1,"OK","Дубликат")</f>
        <v/>
      </c>
    </row>
    <row r="1313" ht="38" customHeight="1">
      <c r="A1313" s="146" t="inlineStr">
        <is>
          <t>SUB-L3-12-40</t>
        </is>
      </c>
      <c r="B1313" s="39" t="inlineStr">
        <is>
          <t>3 уровень</t>
        </is>
      </c>
      <c r="C1313" s="34" t="inlineStr">
        <is>
          <t>Закрытые условия на абонементы</t>
        </is>
      </c>
      <c r="D1313" s="34" t="inlineStr">
        <is>
          <t>Скидка 40% на абонемент 12 занятий</t>
        </is>
      </c>
      <c r="E1313" s="34" t="inlineStr">
        <is>
          <t>При покупке абонемента на 12 занятий</t>
        </is>
      </c>
      <c r="F1313" s="147" t="inlineStr">
        <is>
          <t>FW-L3-5MPSX-JHX5B</t>
        </is>
      </c>
      <c r="G1313" s="39" t="inlineStr">
        <is>
          <t>Не использован</t>
        </is>
      </c>
      <c r="H1313" s="148" t="n"/>
      <c r="I1313" s="34" t="str"/>
      <c r="J1313" s="34" t="str"/>
      <c r="K1313" s="130" t="n">
        <v>109</v>
      </c>
      <c r="L1313" s="43">
        <f>IF(COUNTIF($F$5:$F$2407,F1313)=1,"OK","Дубликат")</f>
        <v/>
      </c>
    </row>
    <row r="1314" ht="38" customHeight="1">
      <c r="A1314" s="146" t="inlineStr">
        <is>
          <t>SUB-L3-12-40</t>
        </is>
      </c>
      <c r="B1314" s="39" t="inlineStr">
        <is>
          <t>3 уровень</t>
        </is>
      </c>
      <c r="C1314" s="34" t="inlineStr">
        <is>
          <t>Закрытые условия на абонементы</t>
        </is>
      </c>
      <c r="D1314" s="34" t="inlineStr">
        <is>
          <t>Скидка 40% на абонемент 12 занятий</t>
        </is>
      </c>
      <c r="E1314" s="34" t="inlineStr">
        <is>
          <t>При покупке абонемента на 12 занятий</t>
        </is>
      </c>
      <c r="F1314" s="147" t="inlineStr">
        <is>
          <t>FW-L3-BM97E-U6N8W</t>
        </is>
      </c>
      <c r="G1314" s="39" t="inlineStr">
        <is>
          <t>Не использован</t>
        </is>
      </c>
      <c r="H1314" s="148" t="n"/>
      <c r="I1314" s="34" t="str"/>
      <c r="J1314" s="34" t="str"/>
      <c r="K1314" s="130" t="n">
        <v>110</v>
      </c>
      <c r="L1314" s="43">
        <f>IF(COUNTIF($F$5:$F$2407,F1314)=1,"OK","Дубликат")</f>
        <v/>
      </c>
    </row>
    <row r="1315" ht="38" customHeight="1">
      <c r="A1315" s="146" t="inlineStr">
        <is>
          <t>SUB-L3-12-40</t>
        </is>
      </c>
      <c r="B1315" s="39" t="inlineStr">
        <is>
          <t>3 уровень</t>
        </is>
      </c>
      <c r="C1315" s="34" t="inlineStr">
        <is>
          <t>Закрытые условия на абонементы</t>
        </is>
      </c>
      <c r="D1315" s="34" t="inlineStr">
        <is>
          <t>Скидка 40% на абонемент 12 занятий</t>
        </is>
      </c>
      <c r="E1315" s="34" t="inlineStr">
        <is>
          <t>При покупке абонемента на 12 занятий</t>
        </is>
      </c>
      <c r="F1315" s="147" t="inlineStr">
        <is>
          <t>FW-L3-3FMZD-HTQJT</t>
        </is>
      </c>
      <c r="G1315" s="39" t="inlineStr">
        <is>
          <t>Не использован</t>
        </is>
      </c>
      <c r="H1315" s="148" t="n"/>
      <c r="I1315" s="34" t="str"/>
      <c r="J1315" s="34" t="str"/>
      <c r="K1315" s="130" t="n">
        <v>111</v>
      </c>
      <c r="L1315" s="43">
        <f>IF(COUNTIF($F$5:$F$2407,F1315)=1,"OK","Дубликат")</f>
        <v/>
      </c>
    </row>
    <row r="1316" ht="38" customHeight="1">
      <c r="A1316" s="146" t="inlineStr">
        <is>
          <t>SUB-L3-12-40</t>
        </is>
      </c>
      <c r="B1316" s="39" t="inlineStr">
        <is>
          <t>3 уровень</t>
        </is>
      </c>
      <c r="C1316" s="34" t="inlineStr">
        <is>
          <t>Закрытые условия на абонементы</t>
        </is>
      </c>
      <c r="D1316" s="34" t="inlineStr">
        <is>
          <t>Скидка 40% на абонемент 12 занятий</t>
        </is>
      </c>
      <c r="E1316" s="34" t="inlineStr">
        <is>
          <t>При покупке абонемента на 12 занятий</t>
        </is>
      </c>
      <c r="F1316" s="147" t="inlineStr">
        <is>
          <t>FW-L3-94W9Z-RVJJF</t>
        </is>
      </c>
      <c r="G1316" s="39" t="inlineStr">
        <is>
          <t>Не использован</t>
        </is>
      </c>
      <c r="H1316" s="148" t="n"/>
      <c r="I1316" s="34" t="str"/>
      <c r="J1316" s="34" t="str"/>
      <c r="K1316" s="130" t="n">
        <v>112</v>
      </c>
      <c r="L1316" s="43">
        <f>IF(COUNTIF($F$5:$F$2407,F1316)=1,"OK","Дубликат")</f>
        <v/>
      </c>
    </row>
    <row r="1317" ht="38" customHeight="1">
      <c r="A1317" s="146" t="inlineStr">
        <is>
          <t>SUB-L3-12-40</t>
        </is>
      </c>
      <c r="B1317" s="39" t="inlineStr">
        <is>
          <t>3 уровень</t>
        </is>
      </c>
      <c r="C1317" s="34" t="inlineStr">
        <is>
          <t>Закрытые условия на абонементы</t>
        </is>
      </c>
      <c r="D1317" s="34" t="inlineStr">
        <is>
          <t>Скидка 40% на абонемент 12 занятий</t>
        </is>
      </c>
      <c r="E1317" s="34" t="inlineStr">
        <is>
          <t>При покупке абонемента на 12 занятий</t>
        </is>
      </c>
      <c r="F1317" s="147" t="inlineStr">
        <is>
          <t>FW-L3-SCZFV-GZRKE</t>
        </is>
      </c>
      <c r="G1317" s="39" t="inlineStr">
        <is>
          <t>Не использован</t>
        </is>
      </c>
      <c r="H1317" s="148" t="n"/>
      <c r="I1317" s="34" t="str"/>
      <c r="J1317" s="34" t="str"/>
      <c r="K1317" s="130" t="n">
        <v>113</v>
      </c>
      <c r="L1317" s="43">
        <f>IF(COUNTIF($F$5:$F$2407,F1317)=1,"OK","Дубликат")</f>
        <v/>
      </c>
    </row>
    <row r="1318" ht="38" customHeight="1">
      <c r="A1318" s="146" t="inlineStr">
        <is>
          <t>SUB-L3-12-40</t>
        </is>
      </c>
      <c r="B1318" s="39" t="inlineStr">
        <is>
          <t>3 уровень</t>
        </is>
      </c>
      <c r="C1318" s="34" t="inlineStr">
        <is>
          <t>Закрытые условия на абонементы</t>
        </is>
      </c>
      <c r="D1318" s="34" t="inlineStr">
        <is>
          <t>Скидка 40% на абонемент 12 занятий</t>
        </is>
      </c>
      <c r="E1318" s="34" t="inlineStr">
        <is>
          <t>При покупке абонемента на 12 занятий</t>
        </is>
      </c>
      <c r="F1318" s="147" t="inlineStr">
        <is>
          <t>FW-L3-VRA3U-PGVMS</t>
        </is>
      </c>
      <c r="G1318" s="39" t="inlineStr">
        <is>
          <t>Не использован</t>
        </is>
      </c>
      <c r="H1318" s="148" t="n"/>
      <c r="I1318" s="34" t="str"/>
      <c r="J1318" s="34" t="str"/>
      <c r="K1318" s="130" t="n">
        <v>114</v>
      </c>
      <c r="L1318" s="43">
        <f>IF(COUNTIF($F$5:$F$2407,F1318)=1,"OK","Дубликат")</f>
        <v/>
      </c>
    </row>
    <row r="1319" ht="38" customHeight="1">
      <c r="A1319" s="146" t="inlineStr">
        <is>
          <t>SUB-L3-12-40</t>
        </is>
      </c>
      <c r="B1319" s="39" t="inlineStr">
        <is>
          <t>3 уровень</t>
        </is>
      </c>
      <c r="C1319" s="34" t="inlineStr">
        <is>
          <t>Закрытые условия на абонементы</t>
        </is>
      </c>
      <c r="D1319" s="34" t="inlineStr">
        <is>
          <t>Скидка 40% на абонемент 12 занятий</t>
        </is>
      </c>
      <c r="E1319" s="34" t="inlineStr">
        <is>
          <t>При покупке абонемента на 12 занятий</t>
        </is>
      </c>
      <c r="F1319" s="147" t="inlineStr">
        <is>
          <t>FW-L3-VARHK-57TAM</t>
        </is>
      </c>
      <c r="G1319" s="39" t="inlineStr">
        <is>
          <t>Не использован</t>
        </is>
      </c>
      <c r="H1319" s="148" t="n"/>
      <c r="I1319" s="34" t="str"/>
      <c r="J1319" s="34" t="str"/>
      <c r="K1319" s="130" t="n">
        <v>115</v>
      </c>
      <c r="L1319" s="43">
        <f>IF(COUNTIF($F$5:$F$2407,F1319)=1,"OK","Дубликат")</f>
        <v/>
      </c>
    </row>
    <row r="1320" ht="38" customHeight="1">
      <c r="A1320" s="146" t="inlineStr">
        <is>
          <t>SUB-L3-12-40</t>
        </is>
      </c>
      <c r="B1320" s="39" t="inlineStr">
        <is>
          <t>3 уровень</t>
        </is>
      </c>
      <c r="C1320" s="34" t="inlineStr">
        <is>
          <t>Закрытые условия на абонементы</t>
        </is>
      </c>
      <c r="D1320" s="34" t="inlineStr">
        <is>
          <t>Скидка 40% на абонемент 12 занятий</t>
        </is>
      </c>
      <c r="E1320" s="34" t="inlineStr">
        <is>
          <t>При покупке абонемента на 12 занятий</t>
        </is>
      </c>
      <c r="F1320" s="147" t="inlineStr">
        <is>
          <t>FW-L3-U6HE4-ZHYVU</t>
        </is>
      </c>
      <c r="G1320" s="39" t="inlineStr">
        <is>
          <t>Не использован</t>
        </is>
      </c>
      <c r="H1320" s="148" t="n"/>
      <c r="I1320" s="34" t="str"/>
      <c r="J1320" s="34" t="str"/>
      <c r="K1320" s="130" t="n">
        <v>116</v>
      </c>
      <c r="L1320" s="43">
        <f>IF(COUNTIF($F$5:$F$2407,F1320)=1,"OK","Дубликат")</f>
        <v/>
      </c>
    </row>
    <row r="1321" ht="38" customHeight="1">
      <c r="A1321" s="146" t="inlineStr">
        <is>
          <t>SUB-L3-12-40</t>
        </is>
      </c>
      <c r="B1321" s="39" t="inlineStr">
        <is>
          <t>3 уровень</t>
        </is>
      </c>
      <c r="C1321" s="34" t="inlineStr">
        <is>
          <t>Закрытые условия на абонементы</t>
        </is>
      </c>
      <c r="D1321" s="34" t="inlineStr">
        <is>
          <t>Скидка 40% на абонемент 12 занятий</t>
        </is>
      </c>
      <c r="E1321" s="34" t="inlineStr">
        <is>
          <t>При покупке абонемента на 12 занятий</t>
        </is>
      </c>
      <c r="F1321" s="147" t="inlineStr">
        <is>
          <t>FW-L3-YE8PE-UCJ2S</t>
        </is>
      </c>
      <c r="G1321" s="39" t="inlineStr">
        <is>
          <t>Не использован</t>
        </is>
      </c>
      <c r="H1321" s="148" t="n"/>
      <c r="I1321" s="34" t="str"/>
      <c r="J1321" s="34" t="str"/>
      <c r="K1321" s="130" t="n">
        <v>117</v>
      </c>
      <c r="L1321" s="43">
        <f>IF(COUNTIF($F$5:$F$2407,F1321)=1,"OK","Дубликат")</f>
        <v/>
      </c>
    </row>
    <row r="1322" ht="38" customHeight="1">
      <c r="A1322" s="146" t="inlineStr">
        <is>
          <t>SUB-L3-12-40</t>
        </is>
      </c>
      <c r="B1322" s="39" t="inlineStr">
        <is>
          <t>3 уровень</t>
        </is>
      </c>
      <c r="C1322" s="34" t="inlineStr">
        <is>
          <t>Закрытые условия на абонементы</t>
        </is>
      </c>
      <c r="D1322" s="34" t="inlineStr">
        <is>
          <t>Скидка 40% на абонемент 12 занятий</t>
        </is>
      </c>
      <c r="E1322" s="34" t="inlineStr">
        <is>
          <t>При покупке абонемента на 12 занятий</t>
        </is>
      </c>
      <c r="F1322" s="147" t="inlineStr">
        <is>
          <t>FW-L3-5CBCG-VP58M</t>
        </is>
      </c>
      <c r="G1322" s="39" t="inlineStr">
        <is>
          <t>Не использован</t>
        </is>
      </c>
      <c r="H1322" s="148" t="n"/>
      <c r="I1322" s="34" t="str"/>
      <c r="J1322" s="34" t="str"/>
      <c r="K1322" s="130" t="n">
        <v>118</v>
      </c>
      <c r="L1322" s="43">
        <f>IF(COUNTIF($F$5:$F$2407,F1322)=1,"OK","Дубликат")</f>
        <v/>
      </c>
    </row>
    <row r="1323" ht="38" customHeight="1">
      <c r="A1323" s="146" t="inlineStr">
        <is>
          <t>SUB-L3-12-40</t>
        </is>
      </c>
      <c r="B1323" s="39" t="inlineStr">
        <is>
          <t>3 уровень</t>
        </is>
      </c>
      <c r="C1323" s="34" t="inlineStr">
        <is>
          <t>Закрытые условия на абонементы</t>
        </is>
      </c>
      <c r="D1323" s="34" t="inlineStr">
        <is>
          <t>Скидка 40% на абонемент 12 занятий</t>
        </is>
      </c>
      <c r="E1323" s="34" t="inlineStr">
        <is>
          <t>При покупке абонемента на 12 занятий</t>
        </is>
      </c>
      <c r="F1323" s="147" t="inlineStr">
        <is>
          <t>FW-L3-4LZ5L-FVB3W</t>
        </is>
      </c>
      <c r="G1323" s="39" t="inlineStr">
        <is>
          <t>Не использован</t>
        </is>
      </c>
      <c r="H1323" s="148" t="n"/>
      <c r="I1323" s="34" t="str"/>
      <c r="J1323" s="34" t="str"/>
      <c r="K1323" s="130" t="n">
        <v>119</v>
      </c>
      <c r="L1323" s="43">
        <f>IF(COUNTIF($F$5:$F$2407,F1323)=1,"OK","Дубликат")</f>
        <v/>
      </c>
    </row>
    <row r="1324" ht="38" customHeight="1">
      <c r="A1324" s="146" t="inlineStr">
        <is>
          <t>SUB-L3-12-40</t>
        </is>
      </c>
      <c r="B1324" s="39" t="inlineStr">
        <is>
          <t>3 уровень</t>
        </is>
      </c>
      <c r="C1324" s="34" t="inlineStr">
        <is>
          <t>Закрытые условия на абонементы</t>
        </is>
      </c>
      <c r="D1324" s="34" t="inlineStr">
        <is>
          <t>Скидка 40% на абонемент 12 занятий</t>
        </is>
      </c>
      <c r="E1324" s="34" t="inlineStr">
        <is>
          <t>При покупке абонемента на 12 занятий</t>
        </is>
      </c>
      <c r="F1324" s="147" t="inlineStr">
        <is>
          <t>FW-L3-PX2UL-3UBD2</t>
        </is>
      </c>
      <c r="G1324" s="39" t="inlineStr">
        <is>
          <t>Не использован</t>
        </is>
      </c>
      <c r="H1324" s="148" t="n"/>
      <c r="I1324" s="34" t="str"/>
      <c r="J1324" s="34" t="str"/>
      <c r="K1324" s="130" t="n">
        <v>120</v>
      </c>
      <c r="L1324" s="43">
        <f>IF(COUNTIF($F$5:$F$2407,F1324)=1,"OK","Дубликат")</f>
        <v/>
      </c>
    </row>
    <row r="1325" ht="38" customHeight="1">
      <c r="A1325" s="146" t="inlineStr">
        <is>
          <t>SUB-L3-12-40</t>
        </is>
      </c>
      <c r="B1325" s="39" t="inlineStr">
        <is>
          <t>3 уровень</t>
        </is>
      </c>
      <c r="C1325" s="34" t="inlineStr">
        <is>
          <t>Закрытые условия на абонементы</t>
        </is>
      </c>
      <c r="D1325" s="34" t="inlineStr">
        <is>
          <t>Скидка 40% на абонемент 12 занятий</t>
        </is>
      </c>
      <c r="E1325" s="34" t="inlineStr">
        <is>
          <t>При покупке абонемента на 12 занятий</t>
        </is>
      </c>
      <c r="F1325" s="147" t="inlineStr">
        <is>
          <t>FW-L3-7L77Q-6FHTF</t>
        </is>
      </c>
      <c r="G1325" s="39" t="inlineStr">
        <is>
          <t>Не использован</t>
        </is>
      </c>
      <c r="H1325" s="148" t="n"/>
      <c r="I1325" s="34" t="str"/>
      <c r="J1325" s="34" t="str"/>
      <c r="K1325" s="130" t="n">
        <v>121</v>
      </c>
      <c r="L1325" s="43">
        <f>IF(COUNTIF($F$5:$F$2407,F1325)=1,"OK","Дубликат")</f>
        <v/>
      </c>
    </row>
    <row r="1326" ht="38" customHeight="1">
      <c r="A1326" s="146" t="inlineStr">
        <is>
          <t>SUB-L3-12-40</t>
        </is>
      </c>
      <c r="B1326" s="39" t="inlineStr">
        <is>
          <t>3 уровень</t>
        </is>
      </c>
      <c r="C1326" s="34" t="inlineStr">
        <is>
          <t>Закрытые условия на абонементы</t>
        </is>
      </c>
      <c r="D1326" s="34" t="inlineStr">
        <is>
          <t>Скидка 40% на абонемент 12 занятий</t>
        </is>
      </c>
      <c r="E1326" s="34" t="inlineStr">
        <is>
          <t>При покупке абонемента на 12 занятий</t>
        </is>
      </c>
      <c r="F1326" s="147" t="inlineStr">
        <is>
          <t>FW-L3-42A5L-U4HMF</t>
        </is>
      </c>
      <c r="G1326" s="39" t="inlineStr">
        <is>
          <t>Не использован</t>
        </is>
      </c>
      <c r="H1326" s="148" t="n"/>
      <c r="I1326" s="34" t="str"/>
      <c r="J1326" s="34" t="str"/>
      <c r="K1326" s="130" t="n">
        <v>122</v>
      </c>
      <c r="L1326" s="43">
        <f>IF(COUNTIF($F$5:$F$2407,F1326)=1,"OK","Дубликат")</f>
        <v/>
      </c>
    </row>
    <row r="1327" ht="38" customHeight="1">
      <c r="A1327" s="146" t="inlineStr">
        <is>
          <t>SUB-L3-12-40</t>
        </is>
      </c>
      <c r="B1327" s="39" t="inlineStr">
        <is>
          <t>3 уровень</t>
        </is>
      </c>
      <c r="C1327" s="34" t="inlineStr">
        <is>
          <t>Закрытые условия на абонементы</t>
        </is>
      </c>
      <c r="D1327" s="34" t="inlineStr">
        <is>
          <t>Скидка 40% на абонемент 12 занятий</t>
        </is>
      </c>
      <c r="E1327" s="34" t="inlineStr">
        <is>
          <t>При покупке абонемента на 12 занятий</t>
        </is>
      </c>
      <c r="F1327" s="147" t="inlineStr">
        <is>
          <t>FW-L3-NJ32L-W3EWW</t>
        </is>
      </c>
      <c r="G1327" s="39" t="inlineStr">
        <is>
          <t>Не использован</t>
        </is>
      </c>
      <c r="H1327" s="148" t="n"/>
      <c r="I1327" s="34" t="str"/>
      <c r="J1327" s="34" t="str"/>
      <c r="K1327" s="130" t="n">
        <v>123</v>
      </c>
      <c r="L1327" s="43">
        <f>IF(COUNTIF($F$5:$F$2407,F1327)=1,"OK","Дубликат")</f>
        <v/>
      </c>
    </row>
    <row r="1328" ht="38" customHeight="1">
      <c r="A1328" s="146" t="inlineStr">
        <is>
          <t>SUB-L3-12-40</t>
        </is>
      </c>
      <c r="B1328" s="39" t="inlineStr">
        <is>
          <t>3 уровень</t>
        </is>
      </c>
      <c r="C1328" s="34" t="inlineStr">
        <is>
          <t>Закрытые условия на абонементы</t>
        </is>
      </c>
      <c r="D1328" s="34" t="inlineStr">
        <is>
          <t>Скидка 40% на абонемент 12 занятий</t>
        </is>
      </c>
      <c r="E1328" s="34" t="inlineStr">
        <is>
          <t>При покупке абонемента на 12 занятий</t>
        </is>
      </c>
      <c r="F1328" s="147" t="inlineStr">
        <is>
          <t>FW-L3-HBXUH-K4WAM</t>
        </is>
      </c>
      <c r="G1328" s="39" t="inlineStr">
        <is>
          <t>Не использован</t>
        </is>
      </c>
      <c r="H1328" s="148" t="n"/>
      <c r="I1328" s="34" t="str"/>
      <c r="J1328" s="34" t="str"/>
      <c r="K1328" s="130" t="n">
        <v>124</v>
      </c>
      <c r="L1328" s="43">
        <f>IF(COUNTIF($F$5:$F$2407,F1328)=1,"OK","Дубликат")</f>
        <v/>
      </c>
    </row>
    <row r="1329" ht="38" customHeight="1">
      <c r="A1329" s="146" t="inlineStr">
        <is>
          <t>SUB-L3-12-40</t>
        </is>
      </c>
      <c r="B1329" s="39" t="inlineStr">
        <is>
          <t>3 уровень</t>
        </is>
      </c>
      <c r="C1329" s="34" t="inlineStr">
        <is>
          <t>Закрытые условия на абонементы</t>
        </is>
      </c>
      <c r="D1329" s="34" t="inlineStr">
        <is>
          <t>Скидка 40% на абонемент 12 занятий</t>
        </is>
      </c>
      <c r="E1329" s="34" t="inlineStr">
        <is>
          <t>При покупке абонемента на 12 занятий</t>
        </is>
      </c>
      <c r="F1329" s="147" t="inlineStr">
        <is>
          <t>FW-L3-APXF2-NJZ8X</t>
        </is>
      </c>
      <c r="G1329" s="39" t="inlineStr">
        <is>
          <t>Не использован</t>
        </is>
      </c>
      <c r="H1329" s="148" t="n"/>
      <c r="I1329" s="34" t="str"/>
      <c r="J1329" s="34" t="str"/>
      <c r="K1329" s="130" t="n">
        <v>125</v>
      </c>
      <c r="L1329" s="43">
        <f>IF(COUNTIF($F$5:$F$2407,F1329)=1,"OK","Дубликат")</f>
        <v/>
      </c>
    </row>
    <row r="1330" ht="38" customHeight="1">
      <c r="A1330" s="146" t="inlineStr">
        <is>
          <t>SUB-L3-12-40</t>
        </is>
      </c>
      <c r="B1330" s="39" t="inlineStr">
        <is>
          <t>3 уровень</t>
        </is>
      </c>
      <c r="C1330" s="34" t="inlineStr">
        <is>
          <t>Закрытые условия на абонементы</t>
        </is>
      </c>
      <c r="D1330" s="34" t="inlineStr">
        <is>
          <t>Скидка 40% на абонемент 12 занятий</t>
        </is>
      </c>
      <c r="E1330" s="34" t="inlineStr">
        <is>
          <t>При покупке абонемента на 12 занятий</t>
        </is>
      </c>
      <c r="F1330" s="147" t="inlineStr">
        <is>
          <t>FW-L3-T6CBU-MCV8A</t>
        </is>
      </c>
      <c r="G1330" s="39" t="inlineStr">
        <is>
          <t>Не использован</t>
        </is>
      </c>
      <c r="H1330" s="148" t="n"/>
      <c r="I1330" s="34" t="str"/>
      <c r="J1330" s="34" t="str"/>
      <c r="K1330" s="130" t="n">
        <v>126</v>
      </c>
      <c r="L1330" s="43">
        <f>IF(COUNTIF($F$5:$F$2407,F1330)=1,"OK","Дубликат")</f>
        <v/>
      </c>
    </row>
    <row r="1331" ht="38" customHeight="1">
      <c r="A1331" s="146" t="inlineStr">
        <is>
          <t>SUB-L3-12-40</t>
        </is>
      </c>
      <c r="B1331" s="39" t="inlineStr">
        <is>
          <t>3 уровень</t>
        </is>
      </c>
      <c r="C1331" s="34" t="inlineStr">
        <is>
          <t>Закрытые условия на абонементы</t>
        </is>
      </c>
      <c r="D1331" s="34" t="inlineStr">
        <is>
          <t>Скидка 40% на абонемент 12 занятий</t>
        </is>
      </c>
      <c r="E1331" s="34" t="inlineStr">
        <is>
          <t>При покупке абонемента на 12 занятий</t>
        </is>
      </c>
      <c r="F1331" s="147" t="inlineStr">
        <is>
          <t>FW-L3-F64R9-BC6D4</t>
        </is>
      </c>
      <c r="G1331" s="39" t="inlineStr">
        <is>
          <t>Не использован</t>
        </is>
      </c>
      <c r="H1331" s="148" t="n"/>
      <c r="I1331" s="34" t="str"/>
      <c r="J1331" s="34" t="str"/>
      <c r="K1331" s="130" t="n">
        <v>127</v>
      </c>
      <c r="L1331" s="43">
        <f>IF(COUNTIF($F$5:$F$2407,F1331)=1,"OK","Дубликат")</f>
        <v/>
      </c>
    </row>
    <row r="1332" ht="38" customHeight="1">
      <c r="A1332" s="146" t="inlineStr">
        <is>
          <t>SUB-L3-12-40</t>
        </is>
      </c>
      <c r="B1332" s="39" t="inlineStr">
        <is>
          <t>3 уровень</t>
        </is>
      </c>
      <c r="C1332" s="34" t="inlineStr">
        <is>
          <t>Закрытые условия на абонементы</t>
        </is>
      </c>
      <c r="D1332" s="34" t="inlineStr">
        <is>
          <t>Скидка 40% на абонемент 12 занятий</t>
        </is>
      </c>
      <c r="E1332" s="34" t="inlineStr">
        <is>
          <t>При покупке абонемента на 12 занятий</t>
        </is>
      </c>
      <c r="F1332" s="147" t="inlineStr">
        <is>
          <t>FW-L3-4SQFR-7TFVU</t>
        </is>
      </c>
      <c r="G1332" s="39" t="inlineStr">
        <is>
          <t>Не использован</t>
        </is>
      </c>
      <c r="H1332" s="148" t="n"/>
      <c r="I1332" s="34" t="str"/>
      <c r="J1332" s="34" t="str"/>
      <c r="K1332" s="130" t="n">
        <v>128</v>
      </c>
      <c r="L1332" s="43">
        <f>IF(COUNTIF($F$5:$F$2407,F1332)=1,"OK","Дубликат")</f>
        <v/>
      </c>
    </row>
    <row r="1333" ht="38" customHeight="1">
      <c r="A1333" s="146" t="inlineStr">
        <is>
          <t>SUB-L3-12-40</t>
        </is>
      </c>
      <c r="B1333" s="39" t="inlineStr">
        <is>
          <t>3 уровень</t>
        </is>
      </c>
      <c r="C1333" s="34" t="inlineStr">
        <is>
          <t>Закрытые условия на абонементы</t>
        </is>
      </c>
      <c r="D1333" s="34" t="inlineStr">
        <is>
          <t>Скидка 40% на абонемент 12 занятий</t>
        </is>
      </c>
      <c r="E1333" s="34" t="inlineStr">
        <is>
          <t>При покупке абонемента на 12 занятий</t>
        </is>
      </c>
      <c r="F1333" s="147" t="inlineStr">
        <is>
          <t>FW-L3-TB5A7-XA2FB</t>
        </is>
      </c>
      <c r="G1333" s="39" t="inlineStr">
        <is>
          <t>Не использован</t>
        </is>
      </c>
      <c r="H1333" s="148" t="n"/>
      <c r="I1333" s="34" t="str"/>
      <c r="J1333" s="34" t="str"/>
      <c r="K1333" s="130" t="n">
        <v>129</v>
      </c>
      <c r="L1333" s="43">
        <f>IF(COUNTIF($F$5:$F$2407,F1333)=1,"OK","Дубликат")</f>
        <v/>
      </c>
    </row>
    <row r="1334" ht="38" customHeight="1">
      <c r="A1334" s="146" t="inlineStr">
        <is>
          <t>SUB-L3-12-40</t>
        </is>
      </c>
      <c r="B1334" s="39" t="inlineStr">
        <is>
          <t>3 уровень</t>
        </is>
      </c>
      <c r="C1334" s="34" t="inlineStr">
        <is>
          <t>Закрытые условия на абонементы</t>
        </is>
      </c>
      <c r="D1334" s="34" t="inlineStr">
        <is>
          <t>Скидка 40% на абонемент 12 занятий</t>
        </is>
      </c>
      <c r="E1334" s="34" t="inlineStr">
        <is>
          <t>При покупке абонемента на 12 занятий</t>
        </is>
      </c>
      <c r="F1334" s="147" t="inlineStr">
        <is>
          <t>FW-L3-LMAPG-Q6XZA</t>
        </is>
      </c>
      <c r="G1334" s="39" t="inlineStr">
        <is>
          <t>Не использован</t>
        </is>
      </c>
      <c r="H1334" s="148" t="n"/>
      <c r="I1334" s="34" t="str"/>
      <c r="J1334" s="34" t="str"/>
      <c r="K1334" s="130" t="n">
        <v>130</v>
      </c>
      <c r="L1334" s="43">
        <f>IF(COUNTIF($F$5:$F$2407,F1334)=1,"OK","Дубликат")</f>
        <v/>
      </c>
    </row>
    <row r="1335" ht="38" customHeight="1">
      <c r="A1335" s="146" t="inlineStr">
        <is>
          <t>SUB-L3-12-40</t>
        </is>
      </c>
      <c r="B1335" s="39" t="inlineStr">
        <is>
          <t>3 уровень</t>
        </is>
      </c>
      <c r="C1335" s="34" t="inlineStr">
        <is>
          <t>Закрытые условия на абонементы</t>
        </is>
      </c>
      <c r="D1335" s="34" t="inlineStr">
        <is>
          <t>Скидка 40% на абонемент 12 занятий</t>
        </is>
      </c>
      <c r="E1335" s="34" t="inlineStr">
        <is>
          <t>При покупке абонемента на 12 занятий</t>
        </is>
      </c>
      <c r="F1335" s="147" t="inlineStr">
        <is>
          <t>FW-L3-PPHG9-EEDWP</t>
        </is>
      </c>
      <c r="G1335" s="39" t="inlineStr">
        <is>
          <t>Не использован</t>
        </is>
      </c>
      <c r="H1335" s="148" t="n"/>
      <c r="I1335" s="34" t="str"/>
      <c r="J1335" s="34" t="str"/>
      <c r="K1335" s="130" t="n">
        <v>131</v>
      </c>
      <c r="L1335" s="43">
        <f>IF(COUNTIF($F$5:$F$2407,F1335)=1,"OK","Дубликат")</f>
        <v/>
      </c>
    </row>
    <row r="1336" ht="38" customHeight="1">
      <c r="A1336" s="146" t="inlineStr">
        <is>
          <t>SUB-L3-12-40</t>
        </is>
      </c>
      <c r="B1336" s="39" t="inlineStr">
        <is>
          <t>3 уровень</t>
        </is>
      </c>
      <c r="C1336" s="34" t="inlineStr">
        <is>
          <t>Закрытые условия на абонементы</t>
        </is>
      </c>
      <c r="D1336" s="34" t="inlineStr">
        <is>
          <t>Скидка 40% на абонемент 12 занятий</t>
        </is>
      </c>
      <c r="E1336" s="34" t="inlineStr">
        <is>
          <t>При покупке абонемента на 12 занятий</t>
        </is>
      </c>
      <c r="F1336" s="147" t="inlineStr">
        <is>
          <t>FW-L3-KF827-JKAKN</t>
        </is>
      </c>
      <c r="G1336" s="39" t="inlineStr">
        <is>
          <t>Не использован</t>
        </is>
      </c>
      <c r="H1336" s="148" t="n"/>
      <c r="I1336" s="34" t="str"/>
      <c r="J1336" s="34" t="str"/>
      <c r="K1336" s="130" t="n">
        <v>132</v>
      </c>
      <c r="L1336" s="43">
        <f>IF(COUNTIF($F$5:$F$2407,F1336)=1,"OK","Дубликат")</f>
        <v/>
      </c>
    </row>
    <row r="1337" ht="38" customHeight="1">
      <c r="A1337" s="146" t="inlineStr">
        <is>
          <t>SUB-L3-12-40</t>
        </is>
      </c>
      <c r="B1337" s="39" t="inlineStr">
        <is>
          <t>3 уровень</t>
        </is>
      </c>
      <c r="C1337" s="34" t="inlineStr">
        <is>
          <t>Закрытые условия на абонементы</t>
        </is>
      </c>
      <c r="D1337" s="34" t="inlineStr">
        <is>
          <t>Скидка 40% на абонемент 12 занятий</t>
        </is>
      </c>
      <c r="E1337" s="34" t="inlineStr">
        <is>
          <t>При покупке абонемента на 12 занятий</t>
        </is>
      </c>
      <c r="F1337" s="147" t="inlineStr">
        <is>
          <t>FW-L3-SSVKK-75T3V</t>
        </is>
      </c>
      <c r="G1337" s="39" t="inlineStr">
        <is>
          <t>Не использован</t>
        </is>
      </c>
      <c r="H1337" s="148" t="n"/>
      <c r="I1337" s="34" t="str"/>
      <c r="J1337" s="34" t="str"/>
      <c r="K1337" s="130" t="n">
        <v>133</v>
      </c>
      <c r="L1337" s="43">
        <f>IF(COUNTIF($F$5:$F$2407,F1337)=1,"OK","Дубликат")</f>
        <v/>
      </c>
    </row>
    <row r="1338" ht="38" customHeight="1">
      <c r="A1338" s="146" t="inlineStr">
        <is>
          <t>SUB-L3-12-40</t>
        </is>
      </c>
      <c r="B1338" s="39" t="inlineStr">
        <is>
          <t>3 уровень</t>
        </is>
      </c>
      <c r="C1338" s="34" t="inlineStr">
        <is>
          <t>Закрытые условия на абонементы</t>
        </is>
      </c>
      <c r="D1338" s="34" t="inlineStr">
        <is>
          <t>Скидка 40% на абонемент 12 занятий</t>
        </is>
      </c>
      <c r="E1338" s="34" t="inlineStr">
        <is>
          <t>При покупке абонемента на 12 занятий</t>
        </is>
      </c>
      <c r="F1338" s="147" t="inlineStr">
        <is>
          <t>FW-L3-87C95-3ERC2</t>
        </is>
      </c>
      <c r="G1338" s="39" t="inlineStr">
        <is>
          <t>Не использован</t>
        </is>
      </c>
      <c r="H1338" s="148" t="n"/>
      <c r="I1338" s="34" t="str"/>
      <c r="J1338" s="34" t="str"/>
      <c r="K1338" s="130" t="n">
        <v>134</v>
      </c>
      <c r="L1338" s="43">
        <f>IF(COUNTIF($F$5:$F$2407,F1338)=1,"OK","Дубликат")</f>
        <v/>
      </c>
    </row>
    <row r="1339" ht="38" customHeight="1">
      <c r="A1339" s="146" t="inlineStr">
        <is>
          <t>SUB-L3-12-40</t>
        </is>
      </c>
      <c r="B1339" s="39" t="inlineStr">
        <is>
          <t>3 уровень</t>
        </is>
      </c>
      <c r="C1339" s="34" t="inlineStr">
        <is>
          <t>Закрытые условия на абонементы</t>
        </is>
      </c>
      <c r="D1339" s="34" t="inlineStr">
        <is>
          <t>Скидка 40% на абонемент 12 занятий</t>
        </is>
      </c>
      <c r="E1339" s="34" t="inlineStr">
        <is>
          <t>При покупке абонемента на 12 занятий</t>
        </is>
      </c>
      <c r="F1339" s="147" t="inlineStr">
        <is>
          <t>FW-L3-EQKH7-XW9U7</t>
        </is>
      </c>
      <c r="G1339" s="39" t="inlineStr">
        <is>
          <t>Не использован</t>
        </is>
      </c>
      <c r="H1339" s="148" t="n"/>
      <c r="I1339" s="34" t="str"/>
      <c r="J1339" s="34" t="str"/>
      <c r="K1339" s="130" t="n">
        <v>135</v>
      </c>
      <c r="L1339" s="43">
        <f>IF(COUNTIF($F$5:$F$2407,F1339)=1,"OK","Дубликат")</f>
        <v/>
      </c>
    </row>
    <row r="1340" ht="38" customHeight="1">
      <c r="A1340" s="146" t="inlineStr">
        <is>
          <t>SUB-L3-12-40</t>
        </is>
      </c>
      <c r="B1340" s="39" t="inlineStr">
        <is>
          <t>3 уровень</t>
        </is>
      </c>
      <c r="C1340" s="34" t="inlineStr">
        <is>
          <t>Закрытые условия на абонементы</t>
        </is>
      </c>
      <c r="D1340" s="34" t="inlineStr">
        <is>
          <t>Скидка 40% на абонемент 12 занятий</t>
        </is>
      </c>
      <c r="E1340" s="34" t="inlineStr">
        <is>
          <t>При покупке абонемента на 12 занятий</t>
        </is>
      </c>
      <c r="F1340" s="147" t="inlineStr">
        <is>
          <t>FW-L3-2D4J8-CCAFG</t>
        </is>
      </c>
      <c r="G1340" s="39" t="inlineStr">
        <is>
          <t>Не использован</t>
        </is>
      </c>
      <c r="H1340" s="148" t="n"/>
      <c r="I1340" s="34" t="str"/>
      <c r="J1340" s="34" t="str"/>
      <c r="K1340" s="130" t="n">
        <v>136</v>
      </c>
      <c r="L1340" s="43">
        <f>IF(COUNTIF($F$5:$F$2407,F1340)=1,"OK","Дубликат")</f>
        <v/>
      </c>
    </row>
    <row r="1341" ht="38" customHeight="1">
      <c r="A1341" s="146" t="inlineStr">
        <is>
          <t>SUB-L3-12-40</t>
        </is>
      </c>
      <c r="B1341" s="39" t="inlineStr">
        <is>
          <t>3 уровень</t>
        </is>
      </c>
      <c r="C1341" s="34" t="inlineStr">
        <is>
          <t>Закрытые условия на абонементы</t>
        </is>
      </c>
      <c r="D1341" s="34" t="inlineStr">
        <is>
          <t>Скидка 40% на абонемент 12 занятий</t>
        </is>
      </c>
      <c r="E1341" s="34" t="inlineStr">
        <is>
          <t>При покупке абонемента на 12 занятий</t>
        </is>
      </c>
      <c r="F1341" s="147" t="inlineStr">
        <is>
          <t>FW-L3-BFD8D-R65QP</t>
        </is>
      </c>
      <c r="G1341" s="39" t="inlineStr">
        <is>
          <t>Не использован</t>
        </is>
      </c>
      <c r="H1341" s="148" t="n"/>
      <c r="I1341" s="34" t="str"/>
      <c r="J1341" s="34" t="str"/>
      <c r="K1341" s="130" t="n">
        <v>137</v>
      </c>
      <c r="L1341" s="43">
        <f>IF(COUNTIF($F$5:$F$2407,F1341)=1,"OK","Дубликат")</f>
        <v/>
      </c>
    </row>
    <row r="1342" ht="38" customHeight="1">
      <c r="A1342" s="146" t="inlineStr">
        <is>
          <t>SUB-L3-12-40</t>
        </is>
      </c>
      <c r="B1342" s="39" t="inlineStr">
        <is>
          <t>3 уровень</t>
        </is>
      </c>
      <c r="C1342" s="34" t="inlineStr">
        <is>
          <t>Закрытые условия на абонементы</t>
        </is>
      </c>
      <c r="D1342" s="34" t="inlineStr">
        <is>
          <t>Скидка 40% на абонемент 12 занятий</t>
        </is>
      </c>
      <c r="E1342" s="34" t="inlineStr">
        <is>
          <t>При покупке абонемента на 12 занятий</t>
        </is>
      </c>
      <c r="F1342" s="147" t="inlineStr">
        <is>
          <t>FW-L3-EV9QF-6LZ4A</t>
        </is>
      </c>
      <c r="G1342" s="39" t="inlineStr">
        <is>
          <t>Не использован</t>
        </is>
      </c>
      <c r="H1342" s="148" t="n"/>
      <c r="I1342" s="34" t="str"/>
      <c r="J1342" s="34" t="str"/>
      <c r="K1342" s="130" t="n">
        <v>138</v>
      </c>
      <c r="L1342" s="43">
        <f>IF(COUNTIF($F$5:$F$2407,F1342)=1,"OK","Дубликат")</f>
        <v/>
      </c>
    </row>
    <row r="1343" ht="38" customHeight="1">
      <c r="A1343" s="146" t="inlineStr">
        <is>
          <t>SUB-L3-12-40</t>
        </is>
      </c>
      <c r="B1343" s="39" t="inlineStr">
        <is>
          <t>3 уровень</t>
        </is>
      </c>
      <c r="C1343" s="34" t="inlineStr">
        <is>
          <t>Закрытые условия на абонементы</t>
        </is>
      </c>
      <c r="D1343" s="34" t="inlineStr">
        <is>
          <t>Скидка 40% на абонемент 12 занятий</t>
        </is>
      </c>
      <c r="E1343" s="34" t="inlineStr">
        <is>
          <t>При покупке абонемента на 12 занятий</t>
        </is>
      </c>
      <c r="F1343" s="147" t="inlineStr">
        <is>
          <t>FW-L3-MEVNY-CZMES</t>
        </is>
      </c>
      <c r="G1343" s="39" t="inlineStr">
        <is>
          <t>Не использован</t>
        </is>
      </c>
      <c r="H1343" s="148" t="n"/>
      <c r="I1343" s="34" t="str"/>
      <c r="J1343" s="34" t="str"/>
      <c r="K1343" s="130" t="n">
        <v>139</v>
      </c>
      <c r="L1343" s="43">
        <f>IF(COUNTIF($F$5:$F$2407,F1343)=1,"OK","Дубликат")</f>
        <v/>
      </c>
    </row>
    <row r="1344" ht="38" customHeight="1">
      <c r="A1344" s="146" t="inlineStr">
        <is>
          <t>SUB-L3-12-40</t>
        </is>
      </c>
      <c r="B1344" s="39" t="inlineStr">
        <is>
          <t>3 уровень</t>
        </is>
      </c>
      <c r="C1344" s="34" t="inlineStr">
        <is>
          <t>Закрытые условия на абонементы</t>
        </is>
      </c>
      <c r="D1344" s="34" t="inlineStr">
        <is>
          <t>Скидка 40% на абонемент 12 занятий</t>
        </is>
      </c>
      <c r="E1344" s="34" t="inlineStr">
        <is>
          <t>При покупке абонемента на 12 занятий</t>
        </is>
      </c>
      <c r="F1344" s="147" t="inlineStr">
        <is>
          <t>FW-L3-CFGMV-5UUDM</t>
        </is>
      </c>
      <c r="G1344" s="39" t="inlineStr">
        <is>
          <t>Не использован</t>
        </is>
      </c>
      <c r="H1344" s="148" t="n"/>
      <c r="I1344" s="34" t="str"/>
      <c r="J1344" s="34" t="str"/>
      <c r="K1344" s="130" t="n">
        <v>140</v>
      </c>
      <c r="L1344" s="43">
        <f>IF(COUNTIF($F$5:$F$2407,F1344)=1,"OK","Дубликат")</f>
        <v/>
      </c>
    </row>
    <row r="1345" ht="38" customHeight="1">
      <c r="A1345" s="146" t="inlineStr">
        <is>
          <t>SUB-L3-12-40</t>
        </is>
      </c>
      <c r="B1345" s="39" t="inlineStr">
        <is>
          <t>3 уровень</t>
        </is>
      </c>
      <c r="C1345" s="34" t="inlineStr">
        <is>
          <t>Закрытые условия на абонементы</t>
        </is>
      </c>
      <c r="D1345" s="34" t="inlineStr">
        <is>
          <t>Скидка 40% на абонемент 12 занятий</t>
        </is>
      </c>
      <c r="E1345" s="34" t="inlineStr">
        <is>
          <t>При покупке абонемента на 12 занятий</t>
        </is>
      </c>
      <c r="F1345" s="147" t="inlineStr">
        <is>
          <t>FW-L3-6PLQB-89FD5</t>
        </is>
      </c>
      <c r="G1345" s="39" t="inlineStr">
        <is>
          <t>Не использован</t>
        </is>
      </c>
      <c r="H1345" s="148" t="n"/>
      <c r="I1345" s="34" t="str"/>
      <c r="J1345" s="34" t="str"/>
      <c r="K1345" s="130" t="n">
        <v>141</v>
      </c>
      <c r="L1345" s="43">
        <f>IF(COUNTIF($F$5:$F$2407,F1345)=1,"OK","Дубликат")</f>
        <v/>
      </c>
    </row>
    <row r="1346" ht="38" customHeight="1">
      <c r="A1346" s="146" t="inlineStr">
        <is>
          <t>SUB-L3-12-40</t>
        </is>
      </c>
      <c r="B1346" s="39" t="inlineStr">
        <is>
          <t>3 уровень</t>
        </is>
      </c>
      <c r="C1346" s="34" t="inlineStr">
        <is>
          <t>Закрытые условия на абонементы</t>
        </is>
      </c>
      <c r="D1346" s="34" t="inlineStr">
        <is>
          <t>Скидка 40% на абонемент 12 занятий</t>
        </is>
      </c>
      <c r="E1346" s="34" t="inlineStr">
        <is>
          <t>При покупке абонемента на 12 занятий</t>
        </is>
      </c>
      <c r="F1346" s="147" t="inlineStr">
        <is>
          <t>FW-L3-4VMCQ-KVNAC</t>
        </is>
      </c>
      <c r="G1346" s="39" t="inlineStr">
        <is>
          <t>Не использован</t>
        </is>
      </c>
      <c r="H1346" s="148" t="n"/>
      <c r="I1346" s="34" t="str"/>
      <c r="J1346" s="34" t="str"/>
      <c r="K1346" s="130" t="n">
        <v>142</v>
      </c>
      <c r="L1346" s="43">
        <f>IF(COUNTIF($F$5:$F$2407,F1346)=1,"OK","Дубликат")</f>
        <v/>
      </c>
    </row>
    <row r="1347" ht="38" customHeight="1">
      <c r="A1347" s="146" t="inlineStr">
        <is>
          <t>SUB-L3-12-40</t>
        </is>
      </c>
      <c r="B1347" s="39" t="inlineStr">
        <is>
          <t>3 уровень</t>
        </is>
      </c>
      <c r="C1347" s="34" t="inlineStr">
        <is>
          <t>Закрытые условия на абонементы</t>
        </is>
      </c>
      <c r="D1347" s="34" t="inlineStr">
        <is>
          <t>Скидка 40% на абонемент 12 занятий</t>
        </is>
      </c>
      <c r="E1347" s="34" t="inlineStr">
        <is>
          <t>При покупке абонемента на 12 занятий</t>
        </is>
      </c>
      <c r="F1347" s="147" t="inlineStr">
        <is>
          <t>FW-L3-GUHKS-5QGKK</t>
        </is>
      </c>
      <c r="G1347" s="39" t="inlineStr">
        <is>
          <t>Не использован</t>
        </is>
      </c>
      <c r="H1347" s="148" t="n"/>
      <c r="I1347" s="34" t="str"/>
      <c r="J1347" s="34" t="str"/>
      <c r="K1347" s="130" t="n">
        <v>143</v>
      </c>
      <c r="L1347" s="43">
        <f>IF(COUNTIF($F$5:$F$2407,F1347)=1,"OK","Дубликат")</f>
        <v/>
      </c>
    </row>
    <row r="1348" ht="38" customHeight="1">
      <c r="A1348" s="146" t="inlineStr">
        <is>
          <t>SUB-L3-12-40</t>
        </is>
      </c>
      <c r="B1348" s="39" t="inlineStr">
        <is>
          <t>3 уровень</t>
        </is>
      </c>
      <c r="C1348" s="34" t="inlineStr">
        <is>
          <t>Закрытые условия на абонементы</t>
        </is>
      </c>
      <c r="D1348" s="34" t="inlineStr">
        <is>
          <t>Скидка 40% на абонемент 12 занятий</t>
        </is>
      </c>
      <c r="E1348" s="34" t="inlineStr">
        <is>
          <t>При покупке абонемента на 12 занятий</t>
        </is>
      </c>
      <c r="F1348" s="147" t="inlineStr">
        <is>
          <t>FW-L3-FXYCH-WR9AF</t>
        </is>
      </c>
      <c r="G1348" s="39" t="inlineStr">
        <is>
          <t>Не использован</t>
        </is>
      </c>
      <c r="H1348" s="148" t="n"/>
      <c r="I1348" s="34" t="str"/>
      <c r="J1348" s="34" t="str"/>
      <c r="K1348" s="130" t="n">
        <v>144</v>
      </c>
      <c r="L1348" s="43">
        <f>IF(COUNTIF($F$5:$F$2407,F1348)=1,"OK","Дубликат")</f>
        <v/>
      </c>
    </row>
    <row r="1349" ht="38" customHeight="1">
      <c r="A1349" s="146" t="inlineStr">
        <is>
          <t>SUB-L3-12-40</t>
        </is>
      </c>
      <c r="B1349" s="39" t="inlineStr">
        <is>
          <t>3 уровень</t>
        </is>
      </c>
      <c r="C1349" s="34" t="inlineStr">
        <is>
          <t>Закрытые условия на абонементы</t>
        </is>
      </c>
      <c r="D1349" s="34" t="inlineStr">
        <is>
          <t>Скидка 40% на абонемент 12 занятий</t>
        </is>
      </c>
      <c r="E1349" s="34" t="inlineStr">
        <is>
          <t>При покупке абонемента на 12 занятий</t>
        </is>
      </c>
      <c r="F1349" s="147" t="inlineStr">
        <is>
          <t>FW-L3-DVTDE-VRSKU</t>
        </is>
      </c>
      <c r="G1349" s="39" t="inlineStr">
        <is>
          <t>Не использован</t>
        </is>
      </c>
      <c r="H1349" s="148" t="n"/>
      <c r="I1349" s="34" t="str"/>
      <c r="J1349" s="34" t="str"/>
      <c r="K1349" s="130" t="n">
        <v>145</v>
      </c>
      <c r="L1349" s="43">
        <f>IF(COUNTIF($F$5:$F$2407,F1349)=1,"OK","Дубликат")</f>
        <v/>
      </c>
    </row>
    <row r="1350" ht="38" customHeight="1">
      <c r="A1350" s="146" t="inlineStr">
        <is>
          <t>SUB-L3-12-40</t>
        </is>
      </c>
      <c r="B1350" s="39" t="inlineStr">
        <is>
          <t>3 уровень</t>
        </is>
      </c>
      <c r="C1350" s="34" t="inlineStr">
        <is>
          <t>Закрытые условия на абонементы</t>
        </is>
      </c>
      <c r="D1350" s="34" t="inlineStr">
        <is>
          <t>Скидка 40% на абонемент 12 занятий</t>
        </is>
      </c>
      <c r="E1350" s="34" t="inlineStr">
        <is>
          <t>При покупке абонемента на 12 занятий</t>
        </is>
      </c>
      <c r="F1350" s="147" t="inlineStr">
        <is>
          <t>FW-L3-NVS3V-F856W</t>
        </is>
      </c>
      <c r="G1350" s="39" t="inlineStr">
        <is>
          <t>Не использован</t>
        </is>
      </c>
      <c r="H1350" s="148" t="n"/>
      <c r="I1350" s="34" t="str"/>
      <c r="J1350" s="34" t="str"/>
      <c r="K1350" s="130" t="n">
        <v>146</v>
      </c>
      <c r="L1350" s="43">
        <f>IF(COUNTIF($F$5:$F$2407,F1350)=1,"OK","Дубликат")</f>
        <v/>
      </c>
    </row>
    <row r="1351" ht="38" customHeight="1">
      <c r="A1351" s="146" t="inlineStr">
        <is>
          <t>SUB-L3-12-40</t>
        </is>
      </c>
      <c r="B1351" s="39" t="inlineStr">
        <is>
          <t>3 уровень</t>
        </is>
      </c>
      <c r="C1351" s="34" t="inlineStr">
        <is>
          <t>Закрытые условия на абонементы</t>
        </is>
      </c>
      <c r="D1351" s="34" t="inlineStr">
        <is>
          <t>Скидка 40% на абонемент 12 занятий</t>
        </is>
      </c>
      <c r="E1351" s="34" t="inlineStr">
        <is>
          <t>При покупке абонемента на 12 занятий</t>
        </is>
      </c>
      <c r="F1351" s="147" t="inlineStr">
        <is>
          <t>FW-L3-4MC8A-HCUWU</t>
        </is>
      </c>
      <c r="G1351" s="39" t="inlineStr">
        <is>
          <t>Не использован</t>
        </is>
      </c>
      <c r="H1351" s="148" t="n"/>
      <c r="I1351" s="34" t="str"/>
      <c r="J1351" s="34" t="str"/>
      <c r="K1351" s="130" t="n">
        <v>147</v>
      </c>
      <c r="L1351" s="43">
        <f>IF(COUNTIF($F$5:$F$2407,F1351)=1,"OK","Дубликат")</f>
        <v/>
      </c>
    </row>
    <row r="1352" ht="38" customHeight="1">
      <c r="A1352" s="146" t="inlineStr">
        <is>
          <t>SUB-L3-12-40</t>
        </is>
      </c>
      <c r="B1352" s="39" t="inlineStr">
        <is>
          <t>3 уровень</t>
        </is>
      </c>
      <c r="C1352" s="34" t="inlineStr">
        <is>
          <t>Закрытые условия на абонементы</t>
        </is>
      </c>
      <c r="D1352" s="34" t="inlineStr">
        <is>
          <t>Скидка 40% на абонемент 12 занятий</t>
        </is>
      </c>
      <c r="E1352" s="34" t="inlineStr">
        <is>
          <t>При покупке абонемента на 12 занятий</t>
        </is>
      </c>
      <c r="F1352" s="147" t="inlineStr">
        <is>
          <t>FW-L3-B6CC8-2F7GT</t>
        </is>
      </c>
      <c r="G1352" s="39" t="inlineStr">
        <is>
          <t>Не использован</t>
        </is>
      </c>
      <c r="H1352" s="148" t="n"/>
      <c r="I1352" s="34" t="str"/>
      <c r="J1352" s="34" t="str"/>
      <c r="K1352" s="130" t="n">
        <v>148</v>
      </c>
      <c r="L1352" s="43">
        <f>IF(COUNTIF($F$5:$F$2407,F1352)=1,"OK","Дубликат")</f>
        <v/>
      </c>
    </row>
    <row r="1353" ht="38" customHeight="1">
      <c r="A1353" s="146" t="inlineStr">
        <is>
          <t>SUB-L3-12-40</t>
        </is>
      </c>
      <c r="B1353" s="39" t="inlineStr">
        <is>
          <t>3 уровень</t>
        </is>
      </c>
      <c r="C1353" s="34" t="inlineStr">
        <is>
          <t>Закрытые условия на абонементы</t>
        </is>
      </c>
      <c r="D1353" s="34" t="inlineStr">
        <is>
          <t>Скидка 40% на абонемент 12 занятий</t>
        </is>
      </c>
      <c r="E1353" s="34" t="inlineStr">
        <is>
          <t>При покупке абонемента на 12 занятий</t>
        </is>
      </c>
      <c r="F1353" s="147" t="inlineStr">
        <is>
          <t>FW-L3-3U9VT-B94LP</t>
        </is>
      </c>
      <c r="G1353" s="39" t="inlineStr">
        <is>
          <t>Не использован</t>
        </is>
      </c>
      <c r="H1353" s="148" t="n"/>
      <c r="I1353" s="34" t="str"/>
      <c r="J1353" s="34" t="str"/>
      <c r="K1353" s="130" t="n">
        <v>149</v>
      </c>
      <c r="L1353" s="43">
        <f>IF(COUNTIF($F$5:$F$2407,F1353)=1,"OK","Дубликат")</f>
        <v/>
      </c>
    </row>
    <row r="1354" ht="38" customHeight="1">
      <c r="A1354" s="146" t="inlineStr">
        <is>
          <t>SUB-L3-12-40</t>
        </is>
      </c>
      <c r="B1354" s="39" t="inlineStr">
        <is>
          <t>3 уровень</t>
        </is>
      </c>
      <c r="C1354" s="34" t="inlineStr">
        <is>
          <t>Закрытые условия на абонементы</t>
        </is>
      </c>
      <c r="D1354" s="34" t="inlineStr">
        <is>
          <t>Скидка 40% на абонемент 12 занятий</t>
        </is>
      </c>
      <c r="E1354" s="34" t="inlineStr">
        <is>
          <t>При покупке абонемента на 12 занятий</t>
        </is>
      </c>
      <c r="F1354" s="147" t="inlineStr">
        <is>
          <t>FW-L3-ZNJTJ-7MKBT</t>
        </is>
      </c>
      <c r="G1354" s="39" t="inlineStr">
        <is>
          <t>Не использован</t>
        </is>
      </c>
      <c r="H1354" s="148" t="n"/>
      <c r="I1354" s="34" t="str"/>
      <c r="J1354" s="34" t="str"/>
      <c r="K1354" s="130" t="n">
        <v>150</v>
      </c>
      <c r="L1354" s="43">
        <f>IF(COUNTIF($F$5:$F$2407,F1354)=1,"OK","Дубликат")</f>
        <v/>
      </c>
    </row>
    <row r="1355" ht="38" customHeight="1">
      <c r="A1355" s="146" t="inlineStr">
        <is>
          <t>SUB-L3-12-40</t>
        </is>
      </c>
      <c r="B1355" s="39" t="inlineStr">
        <is>
          <t>3 уровень</t>
        </is>
      </c>
      <c r="C1355" s="34" t="inlineStr">
        <is>
          <t>Закрытые условия на абонементы</t>
        </is>
      </c>
      <c r="D1355" s="34" t="inlineStr">
        <is>
          <t>Скидка 40% на абонемент 12 занятий</t>
        </is>
      </c>
      <c r="E1355" s="34" t="inlineStr">
        <is>
          <t>При покупке абонемента на 12 занятий</t>
        </is>
      </c>
      <c r="F1355" s="147" t="inlineStr">
        <is>
          <t>FW-L3-B7B2B-HZ3CT</t>
        </is>
      </c>
      <c r="G1355" s="39" t="inlineStr">
        <is>
          <t>Не использован</t>
        </is>
      </c>
      <c r="H1355" s="148" t="n"/>
      <c r="I1355" s="34" t="str"/>
      <c r="J1355" s="34" t="str"/>
      <c r="K1355" s="130" t="n">
        <v>151</v>
      </c>
      <c r="L1355" s="43">
        <f>IF(COUNTIF($F$5:$F$2407,F1355)=1,"OK","Дубликат")</f>
        <v/>
      </c>
    </row>
    <row r="1356" ht="38" customHeight="1">
      <c r="A1356" s="146" t="inlineStr">
        <is>
          <t>SUB-L3-12-40</t>
        </is>
      </c>
      <c r="B1356" s="39" t="inlineStr">
        <is>
          <t>3 уровень</t>
        </is>
      </c>
      <c r="C1356" s="34" t="inlineStr">
        <is>
          <t>Закрытые условия на абонементы</t>
        </is>
      </c>
      <c r="D1356" s="34" t="inlineStr">
        <is>
          <t>Скидка 40% на абонемент 12 занятий</t>
        </is>
      </c>
      <c r="E1356" s="34" t="inlineStr">
        <is>
          <t>При покупке абонемента на 12 занятий</t>
        </is>
      </c>
      <c r="F1356" s="147" t="inlineStr">
        <is>
          <t>FW-L3-54URM-CHX3R</t>
        </is>
      </c>
      <c r="G1356" s="39" t="inlineStr">
        <is>
          <t>Не использован</t>
        </is>
      </c>
      <c r="H1356" s="148" t="n"/>
      <c r="I1356" s="34" t="str"/>
      <c r="J1356" s="34" t="str"/>
      <c r="K1356" s="130" t="n">
        <v>152</v>
      </c>
      <c r="L1356" s="43">
        <f>IF(COUNTIF($F$5:$F$2407,F1356)=1,"OK","Дубликат")</f>
        <v/>
      </c>
    </row>
    <row r="1357" ht="38" customHeight="1">
      <c r="A1357" s="146" t="inlineStr">
        <is>
          <t>SUB-L3-12-40</t>
        </is>
      </c>
      <c r="B1357" s="39" t="inlineStr">
        <is>
          <t>3 уровень</t>
        </is>
      </c>
      <c r="C1357" s="34" t="inlineStr">
        <is>
          <t>Закрытые условия на абонементы</t>
        </is>
      </c>
      <c r="D1357" s="34" t="inlineStr">
        <is>
          <t>Скидка 40% на абонемент 12 занятий</t>
        </is>
      </c>
      <c r="E1357" s="34" t="inlineStr">
        <is>
          <t>При покупке абонемента на 12 занятий</t>
        </is>
      </c>
      <c r="F1357" s="147" t="inlineStr">
        <is>
          <t>FW-L3-GQ9WN-5GKMD</t>
        </is>
      </c>
      <c r="G1357" s="39" t="inlineStr">
        <is>
          <t>Не использован</t>
        </is>
      </c>
      <c r="H1357" s="148" t="n"/>
      <c r="I1357" s="34" t="str"/>
      <c r="J1357" s="34" t="str"/>
      <c r="K1357" s="130" t="n">
        <v>153</v>
      </c>
      <c r="L1357" s="43">
        <f>IF(COUNTIF($F$5:$F$2407,F1357)=1,"OK","Дубликат")</f>
        <v/>
      </c>
    </row>
    <row r="1358" ht="38" customHeight="1">
      <c r="A1358" s="146" t="inlineStr">
        <is>
          <t>SUB-L3-12-40</t>
        </is>
      </c>
      <c r="B1358" s="39" t="inlineStr">
        <is>
          <t>3 уровень</t>
        </is>
      </c>
      <c r="C1358" s="34" t="inlineStr">
        <is>
          <t>Закрытые условия на абонементы</t>
        </is>
      </c>
      <c r="D1358" s="34" t="inlineStr">
        <is>
          <t>Скидка 40% на абонемент 12 занятий</t>
        </is>
      </c>
      <c r="E1358" s="34" t="inlineStr">
        <is>
          <t>При покупке абонемента на 12 занятий</t>
        </is>
      </c>
      <c r="F1358" s="147" t="inlineStr">
        <is>
          <t>FW-L3-L6CVC-Z78PG</t>
        </is>
      </c>
      <c r="G1358" s="39" t="inlineStr">
        <is>
          <t>Не использован</t>
        </is>
      </c>
      <c r="H1358" s="148" t="n"/>
      <c r="I1358" s="34" t="str"/>
      <c r="J1358" s="34" t="str"/>
      <c r="K1358" s="130" t="n">
        <v>154</v>
      </c>
      <c r="L1358" s="43">
        <f>IF(COUNTIF($F$5:$F$2407,F1358)=1,"OK","Дубликат")</f>
        <v/>
      </c>
    </row>
    <row r="1359" ht="38" customHeight="1">
      <c r="A1359" s="146" t="inlineStr">
        <is>
          <t>SUB-L3-12-40</t>
        </is>
      </c>
      <c r="B1359" s="39" t="inlineStr">
        <is>
          <t>3 уровень</t>
        </is>
      </c>
      <c r="C1359" s="34" t="inlineStr">
        <is>
          <t>Закрытые условия на абонементы</t>
        </is>
      </c>
      <c r="D1359" s="34" t="inlineStr">
        <is>
          <t>Скидка 40% на абонемент 12 занятий</t>
        </is>
      </c>
      <c r="E1359" s="34" t="inlineStr">
        <is>
          <t>При покупке абонемента на 12 занятий</t>
        </is>
      </c>
      <c r="F1359" s="147" t="inlineStr">
        <is>
          <t>FW-L3-VB542-BMX2V</t>
        </is>
      </c>
      <c r="G1359" s="39" t="inlineStr">
        <is>
          <t>Не использован</t>
        </is>
      </c>
      <c r="H1359" s="148" t="n"/>
      <c r="I1359" s="34" t="str"/>
      <c r="J1359" s="34" t="str"/>
      <c r="K1359" s="130" t="n">
        <v>155</v>
      </c>
      <c r="L1359" s="43">
        <f>IF(COUNTIF($F$5:$F$2407,F1359)=1,"OK","Дубликат")</f>
        <v/>
      </c>
    </row>
    <row r="1360" ht="38" customHeight="1">
      <c r="A1360" s="146" t="inlineStr">
        <is>
          <t>SUB-L3-12-40</t>
        </is>
      </c>
      <c r="B1360" s="39" t="inlineStr">
        <is>
          <t>3 уровень</t>
        </is>
      </c>
      <c r="C1360" s="34" t="inlineStr">
        <is>
          <t>Закрытые условия на абонементы</t>
        </is>
      </c>
      <c r="D1360" s="34" t="inlineStr">
        <is>
          <t>Скидка 40% на абонемент 12 занятий</t>
        </is>
      </c>
      <c r="E1360" s="34" t="inlineStr">
        <is>
          <t>При покупке абонемента на 12 занятий</t>
        </is>
      </c>
      <c r="F1360" s="147" t="inlineStr">
        <is>
          <t>FW-L3-F4JB2-D436D</t>
        </is>
      </c>
      <c r="G1360" s="39" t="inlineStr">
        <is>
          <t>Не использован</t>
        </is>
      </c>
      <c r="H1360" s="148" t="n"/>
      <c r="I1360" s="34" t="str"/>
      <c r="J1360" s="34" t="str"/>
      <c r="K1360" s="130" t="n">
        <v>156</v>
      </c>
      <c r="L1360" s="43">
        <f>IF(COUNTIF($F$5:$F$2407,F1360)=1,"OK","Дубликат")</f>
        <v/>
      </c>
    </row>
    <row r="1361" ht="38" customHeight="1">
      <c r="A1361" s="146" t="inlineStr">
        <is>
          <t>SUB-L3-12-40</t>
        </is>
      </c>
      <c r="B1361" s="39" t="inlineStr">
        <is>
          <t>3 уровень</t>
        </is>
      </c>
      <c r="C1361" s="34" t="inlineStr">
        <is>
          <t>Закрытые условия на абонементы</t>
        </is>
      </c>
      <c r="D1361" s="34" t="inlineStr">
        <is>
          <t>Скидка 40% на абонемент 12 занятий</t>
        </is>
      </c>
      <c r="E1361" s="34" t="inlineStr">
        <is>
          <t>При покупке абонемента на 12 занятий</t>
        </is>
      </c>
      <c r="F1361" s="147" t="inlineStr">
        <is>
          <t>FW-L3-3WE4X-TE49U</t>
        </is>
      </c>
      <c r="G1361" s="39" t="inlineStr">
        <is>
          <t>Не использован</t>
        </is>
      </c>
      <c r="H1361" s="148" t="n"/>
      <c r="I1361" s="34" t="str"/>
      <c r="J1361" s="34" t="str"/>
      <c r="K1361" s="130" t="n">
        <v>157</v>
      </c>
      <c r="L1361" s="43">
        <f>IF(COUNTIF($F$5:$F$2407,F1361)=1,"OK","Дубликат")</f>
        <v/>
      </c>
    </row>
    <row r="1362" ht="38" customHeight="1">
      <c r="A1362" s="146" t="inlineStr">
        <is>
          <t>SUB-L3-12-40</t>
        </is>
      </c>
      <c r="B1362" s="39" t="inlineStr">
        <is>
          <t>3 уровень</t>
        </is>
      </c>
      <c r="C1362" s="34" t="inlineStr">
        <is>
          <t>Закрытые условия на абонементы</t>
        </is>
      </c>
      <c r="D1362" s="34" t="inlineStr">
        <is>
          <t>Скидка 40% на абонемент 12 занятий</t>
        </is>
      </c>
      <c r="E1362" s="34" t="inlineStr">
        <is>
          <t>При покупке абонемента на 12 занятий</t>
        </is>
      </c>
      <c r="F1362" s="147" t="inlineStr">
        <is>
          <t>FW-L3-N76UP-VL6N5</t>
        </is>
      </c>
      <c r="G1362" s="39" t="inlineStr">
        <is>
          <t>Не использован</t>
        </is>
      </c>
      <c r="H1362" s="148" t="n"/>
      <c r="I1362" s="34" t="str"/>
      <c r="J1362" s="34" t="str"/>
      <c r="K1362" s="130" t="n">
        <v>158</v>
      </c>
      <c r="L1362" s="43">
        <f>IF(COUNTIF($F$5:$F$2407,F1362)=1,"OK","Дубликат")</f>
        <v/>
      </c>
    </row>
    <row r="1363" ht="38" customHeight="1">
      <c r="A1363" s="146" t="inlineStr">
        <is>
          <t>SUB-L3-12-40</t>
        </is>
      </c>
      <c r="B1363" s="39" t="inlineStr">
        <is>
          <t>3 уровень</t>
        </is>
      </c>
      <c r="C1363" s="34" t="inlineStr">
        <is>
          <t>Закрытые условия на абонементы</t>
        </is>
      </c>
      <c r="D1363" s="34" t="inlineStr">
        <is>
          <t>Скидка 40% на абонемент 12 занятий</t>
        </is>
      </c>
      <c r="E1363" s="34" t="inlineStr">
        <is>
          <t>При покупке абонемента на 12 занятий</t>
        </is>
      </c>
      <c r="F1363" s="147" t="inlineStr">
        <is>
          <t>FW-L3-LRS5U-J6D3J</t>
        </is>
      </c>
      <c r="G1363" s="39" t="inlineStr">
        <is>
          <t>Не использован</t>
        </is>
      </c>
      <c r="H1363" s="148" t="n"/>
      <c r="I1363" s="34" t="str"/>
      <c r="J1363" s="34" t="str"/>
      <c r="K1363" s="130" t="n">
        <v>159</v>
      </c>
      <c r="L1363" s="43">
        <f>IF(COUNTIF($F$5:$F$2407,F1363)=1,"OK","Дубликат")</f>
        <v/>
      </c>
    </row>
    <row r="1364" ht="38" customHeight="1">
      <c r="A1364" s="146" t="inlineStr">
        <is>
          <t>SUB-L3-12-40</t>
        </is>
      </c>
      <c r="B1364" s="39" t="inlineStr">
        <is>
          <t>3 уровень</t>
        </is>
      </c>
      <c r="C1364" s="34" t="inlineStr">
        <is>
          <t>Закрытые условия на абонементы</t>
        </is>
      </c>
      <c r="D1364" s="34" t="inlineStr">
        <is>
          <t>Скидка 40% на абонемент 12 занятий</t>
        </is>
      </c>
      <c r="E1364" s="34" t="inlineStr">
        <is>
          <t>При покупке абонемента на 12 занятий</t>
        </is>
      </c>
      <c r="F1364" s="147" t="inlineStr">
        <is>
          <t>FW-L3-CQR4L-A6Q37</t>
        </is>
      </c>
      <c r="G1364" s="39" t="inlineStr">
        <is>
          <t>Не использован</t>
        </is>
      </c>
      <c r="H1364" s="148" t="n"/>
      <c r="I1364" s="34" t="str"/>
      <c r="J1364" s="34" t="str"/>
      <c r="K1364" s="130" t="n">
        <v>160</v>
      </c>
      <c r="L1364" s="43">
        <f>IF(COUNTIF($F$5:$F$2407,F1364)=1,"OK","Дубликат")</f>
        <v/>
      </c>
    </row>
    <row r="1365" ht="38" customHeight="1">
      <c r="A1365" s="146" t="inlineStr">
        <is>
          <t>SUB-L3-12-40</t>
        </is>
      </c>
      <c r="B1365" s="39" t="inlineStr">
        <is>
          <t>3 уровень</t>
        </is>
      </c>
      <c r="C1365" s="34" t="inlineStr">
        <is>
          <t>Закрытые условия на абонементы</t>
        </is>
      </c>
      <c r="D1365" s="34" t="inlineStr">
        <is>
          <t>Скидка 40% на абонемент 12 занятий</t>
        </is>
      </c>
      <c r="E1365" s="34" t="inlineStr">
        <is>
          <t>При покупке абонемента на 12 занятий</t>
        </is>
      </c>
      <c r="F1365" s="147" t="inlineStr">
        <is>
          <t>FW-L3-XFSPS-TQDLA</t>
        </is>
      </c>
      <c r="G1365" s="39" t="inlineStr">
        <is>
          <t>Не использован</t>
        </is>
      </c>
      <c r="H1365" s="148" t="n"/>
      <c r="I1365" s="34" t="str"/>
      <c r="J1365" s="34" t="str"/>
      <c r="K1365" s="130" t="n">
        <v>161</v>
      </c>
      <c r="L1365" s="43">
        <f>IF(COUNTIF($F$5:$F$2407,F1365)=1,"OK","Дубликат")</f>
        <v/>
      </c>
    </row>
    <row r="1366" ht="38" customHeight="1">
      <c r="A1366" s="146" t="inlineStr">
        <is>
          <t>SUB-L3-12-40</t>
        </is>
      </c>
      <c r="B1366" s="39" t="inlineStr">
        <is>
          <t>3 уровень</t>
        </is>
      </c>
      <c r="C1366" s="34" t="inlineStr">
        <is>
          <t>Закрытые условия на абонементы</t>
        </is>
      </c>
      <c r="D1366" s="34" t="inlineStr">
        <is>
          <t>Скидка 40% на абонемент 12 занятий</t>
        </is>
      </c>
      <c r="E1366" s="34" t="inlineStr">
        <is>
          <t>При покупке абонемента на 12 занятий</t>
        </is>
      </c>
      <c r="F1366" s="147" t="inlineStr">
        <is>
          <t>FW-L3-GUVZU-32MHS</t>
        </is>
      </c>
      <c r="G1366" s="39" t="inlineStr">
        <is>
          <t>Не использован</t>
        </is>
      </c>
      <c r="H1366" s="148" t="n"/>
      <c r="I1366" s="34" t="str"/>
      <c r="J1366" s="34" t="str"/>
      <c r="K1366" s="130" t="n">
        <v>162</v>
      </c>
      <c r="L1366" s="43">
        <f>IF(COUNTIF($F$5:$F$2407,F1366)=1,"OK","Дубликат")</f>
        <v/>
      </c>
    </row>
    <row r="1367" ht="38" customHeight="1">
      <c r="A1367" s="146" t="inlineStr">
        <is>
          <t>SUB-L3-12-40</t>
        </is>
      </c>
      <c r="B1367" s="39" t="inlineStr">
        <is>
          <t>3 уровень</t>
        </is>
      </c>
      <c r="C1367" s="34" t="inlineStr">
        <is>
          <t>Закрытые условия на абонементы</t>
        </is>
      </c>
      <c r="D1367" s="34" t="inlineStr">
        <is>
          <t>Скидка 40% на абонемент 12 занятий</t>
        </is>
      </c>
      <c r="E1367" s="34" t="inlineStr">
        <is>
          <t>При покупке абонемента на 12 занятий</t>
        </is>
      </c>
      <c r="F1367" s="147" t="inlineStr">
        <is>
          <t>FW-L3-LEBZA-3AACJ</t>
        </is>
      </c>
      <c r="G1367" s="39" t="inlineStr">
        <is>
          <t>Не использован</t>
        </is>
      </c>
      <c r="H1367" s="148" t="n"/>
      <c r="I1367" s="34" t="str"/>
      <c r="J1367" s="34" t="str"/>
      <c r="K1367" s="130" t="n">
        <v>163</v>
      </c>
      <c r="L1367" s="43">
        <f>IF(COUNTIF($F$5:$F$2407,F1367)=1,"OK","Дубликат")</f>
        <v/>
      </c>
    </row>
    <row r="1368" ht="38" customHeight="1">
      <c r="A1368" s="146" t="inlineStr">
        <is>
          <t>SUB-L3-12-40</t>
        </is>
      </c>
      <c r="B1368" s="39" t="inlineStr">
        <is>
          <t>3 уровень</t>
        </is>
      </c>
      <c r="C1368" s="34" t="inlineStr">
        <is>
          <t>Закрытые условия на абонементы</t>
        </is>
      </c>
      <c r="D1368" s="34" t="inlineStr">
        <is>
          <t>Скидка 40% на абонемент 12 занятий</t>
        </is>
      </c>
      <c r="E1368" s="34" t="inlineStr">
        <is>
          <t>При покупке абонемента на 12 занятий</t>
        </is>
      </c>
      <c r="F1368" s="147" t="inlineStr">
        <is>
          <t>FW-L3-9FNNC-4KKV2</t>
        </is>
      </c>
      <c r="G1368" s="39" t="inlineStr">
        <is>
          <t>Не использован</t>
        </is>
      </c>
      <c r="H1368" s="148" t="n"/>
      <c r="I1368" s="34" t="str"/>
      <c r="J1368" s="34" t="str"/>
      <c r="K1368" s="130" t="n">
        <v>164</v>
      </c>
      <c r="L1368" s="43">
        <f>IF(COUNTIF($F$5:$F$2407,F1368)=1,"OK","Дубликат")</f>
        <v/>
      </c>
    </row>
    <row r="1369" ht="38" customHeight="1">
      <c r="A1369" s="146" t="inlineStr">
        <is>
          <t>SUB-L3-12-40</t>
        </is>
      </c>
      <c r="B1369" s="39" t="inlineStr">
        <is>
          <t>3 уровень</t>
        </is>
      </c>
      <c r="C1369" s="34" t="inlineStr">
        <is>
          <t>Закрытые условия на абонементы</t>
        </is>
      </c>
      <c r="D1369" s="34" t="inlineStr">
        <is>
          <t>Скидка 40% на абонемент 12 занятий</t>
        </is>
      </c>
      <c r="E1369" s="34" t="inlineStr">
        <is>
          <t>При покупке абонемента на 12 занятий</t>
        </is>
      </c>
      <c r="F1369" s="147" t="inlineStr">
        <is>
          <t>FW-L3-Q4XU8-T4BDN</t>
        </is>
      </c>
      <c r="G1369" s="39" t="inlineStr">
        <is>
          <t>Не использован</t>
        </is>
      </c>
      <c r="H1369" s="148" t="n"/>
      <c r="I1369" s="34" t="str"/>
      <c r="J1369" s="34" t="str"/>
      <c r="K1369" s="130" t="n">
        <v>165</v>
      </c>
      <c r="L1369" s="43">
        <f>IF(COUNTIF($F$5:$F$2407,F1369)=1,"OK","Дубликат")</f>
        <v/>
      </c>
    </row>
    <row r="1370" ht="38" customHeight="1">
      <c r="A1370" s="146" t="inlineStr">
        <is>
          <t>SUB-L3-12-40</t>
        </is>
      </c>
      <c r="B1370" s="39" t="inlineStr">
        <is>
          <t>3 уровень</t>
        </is>
      </c>
      <c r="C1370" s="34" t="inlineStr">
        <is>
          <t>Закрытые условия на абонементы</t>
        </is>
      </c>
      <c r="D1370" s="34" t="inlineStr">
        <is>
          <t>Скидка 40% на абонемент 12 занятий</t>
        </is>
      </c>
      <c r="E1370" s="34" t="inlineStr">
        <is>
          <t>При покупке абонемента на 12 занятий</t>
        </is>
      </c>
      <c r="F1370" s="147" t="inlineStr">
        <is>
          <t>FW-L3-9XXA9-B8KLB</t>
        </is>
      </c>
      <c r="G1370" s="39" t="inlineStr">
        <is>
          <t>Не использован</t>
        </is>
      </c>
      <c r="H1370" s="148" t="n"/>
      <c r="I1370" s="34" t="str"/>
      <c r="J1370" s="34" t="str"/>
      <c r="K1370" s="130" t="n">
        <v>166</v>
      </c>
      <c r="L1370" s="43">
        <f>IF(COUNTIF($F$5:$F$2407,F1370)=1,"OK","Дубликат")</f>
        <v/>
      </c>
    </row>
    <row r="1371" ht="38" customHeight="1">
      <c r="A1371" s="146" t="inlineStr">
        <is>
          <t>SUB-L3-12-40</t>
        </is>
      </c>
      <c r="B1371" s="39" t="inlineStr">
        <is>
          <t>3 уровень</t>
        </is>
      </c>
      <c r="C1371" s="34" t="inlineStr">
        <is>
          <t>Закрытые условия на абонементы</t>
        </is>
      </c>
      <c r="D1371" s="34" t="inlineStr">
        <is>
          <t>Скидка 40% на абонемент 12 занятий</t>
        </is>
      </c>
      <c r="E1371" s="34" t="inlineStr">
        <is>
          <t>При покупке абонемента на 12 занятий</t>
        </is>
      </c>
      <c r="F1371" s="147" t="inlineStr">
        <is>
          <t>FW-L3-27RCP-4S8MU</t>
        </is>
      </c>
      <c r="G1371" s="39" t="inlineStr">
        <is>
          <t>Не использован</t>
        </is>
      </c>
      <c r="H1371" s="148" t="n"/>
      <c r="I1371" s="34" t="str"/>
      <c r="J1371" s="34" t="str"/>
      <c r="K1371" s="130" t="n">
        <v>167</v>
      </c>
      <c r="L1371" s="43">
        <f>IF(COUNTIF($F$5:$F$2407,F1371)=1,"OK","Дубликат")</f>
        <v/>
      </c>
    </row>
    <row r="1372" ht="38" customHeight="1">
      <c r="A1372" s="146" t="inlineStr">
        <is>
          <t>SUB-L3-12-40</t>
        </is>
      </c>
      <c r="B1372" s="39" t="inlineStr">
        <is>
          <t>3 уровень</t>
        </is>
      </c>
      <c r="C1372" s="34" t="inlineStr">
        <is>
          <t>Закрытые условия на абонементы</t>
        </is>
      </c>
      <c r="D1372" s="34" t="inlineStr">
        <is>
          <t>Скидка 40% на абонемент 12 занятий</t>
        </is>
      </c>
      <c r="E1372" s="34" t="inlineStr">
        <is>
          <t>При покупке абонемента на 12 занятий</t>
        </is>
      </c>
      <c r="F1372" s="147" t="inlineStr">
        <is>
          <t>FW-L3-YYUGE-K2HYA</t>
        </is>
      </c>
      <c r="G1372" s="39" t="inlineStr">
        <is>
          <t>Не использован</t>
        </is>
      </c>
      <c r="H1372" s="148" t="n"/>
      <c r="I1372" s="34" t="str"/>
      <c r="J1372" s="34" t="str"/>
      <c r="K1372" s="130" t="n">
        <v>168</v>
      </c>
      <c r="L1372" s="43">
        <f>IF(COUNTIF($F$5:$F$2407,F1372)=1,"OK","Дубликат")</f>
        <v/>
      </c>
    </row>
    <row r="1373" ht="38" customHeight="1">
      <c r="A1373" s="146" t="inlineStr">
        <is>
          <t>SUB-L3-12-40</t>
        </is>
      </c>
      <c r="B1373" s="39" t="inlineStr">
        <is>
          <t>3 уровень</t>
        </is>
      </c>
      <c r="C1373" s="34" t="inlineStr">
        <is>
          <t>Закрытые условия на абонементы</t>
        </is>
      </c>
      <c r="D1373" s="34" t="inlineStr">
        <is>
          <t>Скидка 40% на абонемент 12 занятий</t>
        </is>
      </c>
      <c r="E1373" s="34" t="inlineStr">
        <is>
          <t>При покупке абонемента на 12 занятий</t>
        </is>
      </c>
      <c r="F1373" s="147" t="inlineStr">
        <is>
          <t>FW-L3-ZJ6ZQ-YTUSF</t>
        </is>
      </c>
      <c r="G1373" s="39" t="inlineStr">
        <is>
          <t>Не использован</t>
        </is>
      </c>
      <c r="H1373" s="148" t="n"/>
      <c r="I1373" s="34" t="str"/>
      <c r="J1373" s="34" t="str"/>
      <c r="K1373" s="130" t="n">
        <v>169</v>
      </c>
      <c r="L1373" s="43">
        <f>IF(COUNTIF($F$5:$F$2407,F1373)=1,"OK","Дубликат")</f>
        <v/>
      </c>
    </row>
    <row r="1374" ht="38" customHeight="1">
      <c r="A1374" s="146" t="inlineStr">
        <is>
          <t>SUB-L3-12-40</t>
        </is>
      </c>
      <c r="B1374" s="39" t="inlineStr">
        <is>
          <t>3 уровень</t>
        </is>
      </c>
      <c r="C1374" s="34" t="inlineStr">
        <is>
          <t>Закрытые условия на абонементы</t>
        </is>
      </c>
      <c r="D1374" s="34" t="inlineStr">
        <is>
          <t>Скидка 40% на абонемент 12 занятий</t>
        </is>
      </c>
      <c r="E1374" s="34" t="inlineStr">
        <is>
          <t>При покупке абонемента на 12 занятий</t>
        </is>
      </c>
      <c r="F1374" s="147" t="inlineStr">
        <is>
          <t>FW-L3-NK9F2-XMN3W</t>
        </is>
      </c>
      <c r="G1374" s="39" t="inlineStr">
        <is>
          <t>Не использован</t>
        </is>
      </c>
      <c r="H1374" s="148" t="n"/>
      <c r="I1374" s="34" t="str"/>
      <c r="J1374" s="34" t="str"/>
      <c r="K1374" s="130" t="n">
        <v>170</v>
      </c>
      <c r="L1374" s="43">
        <f>IF(COUNTIF($F$5:$F$2407,F1374)=1,"OK","Дубликат")</f>
        <v/>
      </c>
    </row>
    <row r="1375" ht="38" customHeight="1">
      <c r="A1375" s="146" t="inlineStr">
        <is>
          <t>SUB-L3-12-40</t>
        </is>
      </c>
      <c r="B1375" s="39" t="inlineStr">
        <is>
          <t>3 уровень</t>
        </is>
      </c>
      <c r="C1375" s="34" t="inlineStr">
        <is>
          <t>Закрытые условия на абонементы</t>
        </is>
      </c>
      <c r="D1375" s="34" t="inlineStr">
        <is>
          <t>Скидка 40% на абонемент 12 занятий</t>
        </is>
      </c>
      <c r="E1375" s="34" t="inlineStr">
        <is>
          <t>При покупке абонемента на 12 занятий</t>
        </is>
      </c>
      <c r="F1375" s="147" t="inlineStr">
        <is>
          <t>FW-L3-JFA6M-XKWNN</t>
        </is>
      </c>
      <c r="G1375" s="39" t="inlineStr">
        <is>
          <t>Не использован</t>
        </is>
      </c>
      <c r="H1375" s="148" t="n"/>
      <c r="I1375" s="34" t="str"/>
      <c r="J1375" s="34" t="str"/>
      <c r="K1375" s="130" t="n">
        <v>171</v>
      </c>
      <c r="L1375" s="43">
        <f>IF(COUNTIF($F$5:$F$2407,F1375)=1,"OK","Дубликат")</f>
        <v/>
      </c>
    </row>
    <row r="1376" ht="38" customHeight="1">
      <c r="A1376" s="146" t="inlineStr">
        <is>
          <t>SUB-L3-12-40</t>
        </is>
      </c>
      <c r="B1376" s="39" t="inlineStr">
        <is>
          <t>3 уровень</t>
        </is>
      </c>
      <c r="C1376" s="34" t="inlineStr">
        <is>
          <t>Закрытые условия на абонементы</t>
        </is>
      </c>
      <c r="D1376" s="34" t="inlineStr">
        <is>
          <t>Скидка 40% на абонемент 12 занятий</t>
        </is>
      </c>
      <c r="E1376" s="34" t="inlineStr">
        <is>
          <t>При покупке абонемента на 12 занятий</t>
        </is>
      </c>
      <c r="F1376" s="147" t="inlineStr">
        <is>
          <t>FW-L3-WAYYG-U8B6T</t>
        </is>
      </c>
      <c r="G1376" s="39" t="inlineStr">
        <is>
          <t>Не использован</t>
        </is>
      </c>
      <c r="H1376" s="148" t="n"/>
      <c r="I1376" s="34" t="str"/>
      <c r="J1376" s="34" t="str"/>
      <c r="K1376" s="130" t="n">
        <v>172</v>
      </c>
      <c r="L1376" s="43">
        <f>IF(COUNTIF($F$5:$F$2407,F1376)=1,"OK","Дубликат")</f>
        <v/>
      </c>
    </row>
    <row r="1377" ht="38" customHeight="1">
      <c r="A1377" s="146" t="inlineStr">
        <is>
          <t>SUB-L3-12-40</t>
        </is>
      </c>
      <c r="B1377" s="39" t="inlineStr">
        <is>
          <t>3 уровень</t>
        </is>
      </c>
      <c r="C1377" s="34" t="inlineStr">
        <is>
          <t>Закрытые условия на абонементы</t>
        </is>
      </c>
      <c r="D1377" s="34" t="inlineStr">
        <is>
          <t>Скидка 40% на абонемент 12 занятий</t>
        </is>
      </c>
      <c r="E1377" s="34" t="inlineStr">
        <is>
          <t>При покупке абонемента на 12 занятий</t>
        </is>
      </c>
      <c r="F1377" s="147" t="inlineStr">
        <is>
          <t>FW-L3-UD2YV-GFCP8</t>
        </is>
      </c>
      <c r="G1377" s="39" t="inlineStr">
        <is>
          <t>Не использован</t>
        </is>
      </c>
      <c r="H1377" s="148" t="n"/>
      <c r="I1377" s="34" t="str"/>
      <c r="J1377" s="34" t="str"/>
      <c r="K1377" s="130" t="n">
        <v>173</v>
      </c>
      <c r="L1377" s="43">
        <f>IF(COUNTIF($F$5:$F$2407,F1377)=1,"OK","Дубликат")</f>
        <v/>
      </c>
    </row>
    <row r="1378" ht="38" customHeight="1">
      <c r="A1378" s="146" t="inlineStr">
        <is>
          <t>SUB-L3-12-40</t>
        </is>
      </c>
      <c r="B1378" s="39" t="inlineStr">
        <is>
          <t>3 уровень</t>
        </is>
      </c>
      <c r="C1378" s="34" t="inlineStr">
        <is>
          <t>Закрытые условия на абонементы</t>
        </is>
      </c>
      <c r="D1378" s="34" t="inlineStr">
        <is>
          <t>Скидка 40% на абонемент 12 занятий</t>
        </is>
      </c>
      <c r="E1378" s="34" t="inlineStr">
        <is>
          <t>При покупке абонемента на 12 занятий</t>
        </is>
      </c>
      <c r="F1378" s="147" t="inlineStr">
        <is>
          <t>FW-L3-PH3FN-W94N7</t>
        </is>
      </c>
      <c r="G1378" s="39" t="inlineStr">
        <is>
          <t>Не использован</t>
        </is>
      </c>
      <c r="H1378" s="148" t="n"/>
      <c r="I1378" s="34" t="str"/>
      <c r="J1378" s="34" t="str"/>
      <c r="K1378" s="130" t="n">
        <v>174</v>
      </c>
      <c r="L1378" s="43">
        <f>IF(COUNTIF($F$5:$F$2407,F1378)=1,"OK","Дубликат")</f>
        <v/>
      </c>
    </row>
    <row r="1379" ht="38" customHeight="1">
      <c r="A1379" s="146" t="inlineStr">
        <is>
          <t>SUB-L3-12-40</t>
        </is>
      </c>
      <c r="B1379" s="39" t="inlineStr">
        <is>
          <t>3 уровень</t>
        </is>
      </c>
      <c r="C1379" s="34" t="inlineStr">
        <is>
          <t>Закрытые условия на абонементы</t>
        </is>
      </c>
      <c r="D1379" s="34" t="inlineStr">
        <is>
          <t>Скидка 40% на абонемент 12 занятий</t>
        </is>
      </c>
      <c r="E1379" s="34" t="inlineStr">
        <is>
          <t>При покупке абонемента на 12 занятий</t>
        </is>
      </c>
      <c r="F1379" s="147" t="inlineStr">
        <is>
          <t>FW-L3-SNZ67-89V26</t>
        </is>
      </c>
      <c r="G1379" s="39" t="inlineStr">
        <is>
          <t>Не использован</t>
        </is>
      </c>
      <c r="H1379" s="148" t="n"/>
      <c r="I1379" s="34" t="str"/>
      <c r="J1379" s="34" t="str"/>
      <c r="K1379" s="130" t="n">
        <v>175</v>
      </c>
      <c r="L1379" s="43">
        <f>IF(COUNTIF($F$5:$F$2407,F1379)=1,"OK","Дубликат")</f>
        <v/>
      </c>
    </row>
    <row r="1380" ht="38" customHeight="1">
      <c r="A1380" s="146" t="inlineStr">
        <is>
          <t>SUB-L3-12-40</t>
        </is>
      </c>
      <c r="B1380" s="39" t="inlineStr">
        <is>
          <t>3 уровень</t>
        </is>
      </c>
      <c r="C1380" s="34" t="inlineStr">
        <is>
          <t>Закрытые условия на абонементы</t>
        </is>
      </c>
      <c r="D1380" s="34" t="inlineStr">
        <is>
          <t>Скидка 40% на абонемент 12 занятий</t>
        </is>
      </c>
      <c r="E1380" s="34" t="inlineStr">
        <is>
          <t>При покупке абонемента на 12 занятий</t>
        </is>
      </c>
      <c r="F1380" s="147" t="inlineStr">
        <is>
          <t>FW-L3-RRD4P-XS7GA</t>
        </is>
      </c>
      <c r="G1380" s="39" t="inlineStr">
        <is>
          <t>Не использован</t>
        </is>
      </c>
      <c r="H1380" s="148" t="n"/>
      <c r="I1380" s="34" t="str"/>
      <c r="J1380" s="34" t="str"/>
      <c r="K1380" s="130" t="n">
        <v>176</v>
      </c>
      <c r="L1380" s="43">
        <f>IF(COUNTIF($F$5:$F$2407,F1380)=1,"OK","Дубликат")</f>
        <v/>
      </c>
    </row>
    <row r="1381" ht="38" customHeight="1">
      <c r="A1381" s="146" t="inlineStr">
        <is>
          <t>SUB-L3-12-40</t>
        </is>
      </c>
      <c r="B1381" s="39" t="inlineStr">
        <is>
          <t>3 уровень</t>
        </is>
      </c>
      <c r="C1381" s="34" t="inlineStr">
        <is>
          <t>Закрытые условия на абонементы</t>
        </is>
      </c>
      <c r="D1381" s="34" t="inlineStr">
        <is>
          <t>Скидка 40% на абонемент 12 занятий</t>
        </is>
      </c>
      <c r="E1381" s="34" t="inlineStr">
        <is>
          <t>При покупке абонемента на 12 занятий</t>
        </is>
      </c>
      <c r="F1381" s="147" t="inlineStr">
        <is>
          <t>FW-L3-6Z2YJ-4YT72</t>
        </is>
      </c>
      <c r="G1381" s="39" t="inlineStr">
        <is>
          <t>Не использован</t>
        </is>
      </c>
      <c r="H1381" s="148" t="n"/>
      <c r="I1381" s="34" t="str"/>
      <c r="J1381" s="34" t="str"/>
      <c r="K1381" s="130" t="n">
        <v>177</v>
      </c>
      <c r="L1381" s="43">
        <f>IF(COUNTIF($F$5:$F$2407,F1381)=1,"OK","Дубликат")</f>
        <v/>
      </c>
    </row>
    <row r="1382" ht="38" customHeight="1">
      <c r="A1382" s="146" t="inlineStr">
        <is>
          <t>SUB-L3-12-40</t>
        </is>
      </c>
      <c r="B1382" s="39" t="inlineStr">
        <is>
          <t>3 уровень</t>
        </is>
      </c>
      <c r="C1382" s="34" t="inlineStr">
        <is>
          <t>Закрытые условия на абонементы</t>
        </is>
      </c>
      <c r="D1382" s="34" t="inlineStr">
        <is>
          <t>Скидка 40% на абонемент 12 занятий</t>
        </is>
      </c>
      <c r="E1382" s="34" t="inlineStr">
        <is>
          <t>При покупке абонемента на 12 занятий</t>
        </is>
      </c>
      <c r="F1382" s="147" t="inlineStr">
        <is>
          <t>FW-L3-ZJYHC-75T9M</t>
        </is>
      </c>
      <c r="G1382" s="39" t="inlineStr">
        <is>
          <t>Не использован</t>
        </is>
      </c>
      <c r="H1382" s="148" t="n"/>
      <c r="I1382" s="34" t="str"/>
      <c r="J1382" s="34" t="str"/>
      <c r="K1382" s="130" t="n">
        <v>178</v>
      </c>
      <c r="L1382" s="43">
        <f>IF(COUNTIF($F$5:$F$2407,F1382)=1,"OK","Дубликат")</f>
        <v/>
      </c>
    </row>
    <row r="1383" ht="38" customHeight="1">
      <c r="A1383" s="146" t="inlineStr">
        <is>
          <t>SUB-L3-12-40</t>
        </is>
      </c>
      <c r="B1383" s="39" t="inlineStr">
        <is>
          <t>3 уровень</t>
        </is>
      </c>
      <c r="C1383" s="34" t="inlineStr">
        <is>
          <t>Закрытые условия на абонементы</t>
        </is>
      </c>
      <c r="D1383" s="34" t="inlineStr">
        <is>
          <t>Скидка 40% на абонемент 12 занятий</t>
        </is>
      </c>
      <c r="E1383" s="34" t="inlineStr">
        <is>
          <t>При покупке абонемента на 12 занятий</t>
        </is>
      </c>
      <c r="F1383" s="147" t="inlineStr">
        <is>
          <t>FW-L3-B378X-64TGM</t>
        </is>
      </c>
      <c r="G1383" s="39" t="inlineStr">
        <is>
          <t>Не использован</t>
        </is>
      </c>
      <c r="H1383" s="148" t="n"/>
      <c r="I1383" s="34" t="str"/>
      <c r="J1383" s="34" t="str"/>
      <c r="K1383" s="130" t="n">
        <v>179</v>
      </c>
      <c r="L1383" s="43">
        <f>IF(COUNTIF($F$5:$F$2407,F1383)=1,"OK","Дубликат")</f>
        <v/>
      </c>
    </row>
    <row r="1384" ht="38" customHeight="1">
      <c r="A1384" s="146" t="inlineStr">
        <is>
          <t>SUB-L3-12-40</t>
        </is>
      </c>
      <c r="B1384" s="39" t="inlineStr">
        <is>
          <t>3 уровень</t>
        </is>
      </c>
      <c r="C1384" s="34" t="inlineStr">
        <is>
          <t>Закрытые условия на абонементы</t>
        </is>
      </c>
      <c r="D1384" s="34" t="inlineStr">
        <is>
          <t>Скидка 40% на абонемент 12 занятий</t>
        </is>
      </c>
      <c r="E1384" s="34" t="inlineStr">
        <is>
          <t>При покупке абонемента на 12 занятий</t>
        </is>
      </c>
      <c r="F1384" s="147" t="inlineStr">
        <is>
          <t>FW-L3-959BS-VSMU5</t>
        </is>
      </c>
      <c r="G1384" s="39" t="inlineStr">
        <is>
          <t>Не использован</t>
        </is>
      </c>
      <c r="H1384" s="148" t="n"/>
      <c r="I1384" s="34" t="str"/>
      <c r="J1384" s="34" t="str"/>
      <c r="K1384" s="130" t="n">
        <v>180</v>
      </c>
      <c r="L1384" s="43">
        <f>IF(COUNTIF($F$5:$F$2407,F1384)=1,"OK","Дубликат")</f>
        <v/>
      </c>
    </row>
    <row r="1385" ht="38" customHeight="1">
      <c r="A1385" s="146" t="inlineStr">
        <is>
          <t>SUB-L3-12-40</t>
        </is>
      </c>
      <c r="B1385" s="39" t="inlineStr">
        <is>
          <t>3 уровень</t>
        </is>
      </c>
      <c r="C1385" s="34" t="inlineStr">
        <is>
          <t>Закрытые условия на абонементы</t>
        </is>
      </c>
      <c r="D1385" s="34" t="inlineStr">
        <is>
          <t>Скидка 40% на абонемент 12 занятий</t>
        </is>
      </c>
      <c r="E1385" s="34" t="inlineStr">
        <is>
          <t>При покупке абонемента на 12 занятий</t>
        </is>
      </c>
      <c r="F1385" s="147" t="inlineStr">
        <is>
          <t>FW-L3-TMEPL-TJE39</t>
        </is>
      </c>
      <c r="G1385" s="39" t="inlineStr">
        <is>
          <t>Не использован</t>
        </is>
      </c>
      <c r="H1385" s="148" t="n"/>
      <c r="I1385" s="34" t="str"/>
      <c r="J1385" s="34" t="str"/>
      <c r="K1385" s="130" t="n">
        <v>181</v>
      </c>
      <c r="L1385" s="43">
        <f>IF(COUNTIF($F$5:$F$2407,F1385)=1,"OK","Дубликат")</f>
        <v/>
      </c>
    </row>
    <row r="1386" ht="38" customHeight="1">
      <c r="A1386" s="146" t="inlineStr">
        <is>
          <t>SUB-L3-12-40</t>
        </is>
      </c>
      <c r="B1386" s="39" t="inlineStr">
        <is>
          <t>3 уровень</t>
        </is>
      </c>
      <c r="C1386" s="34" t="inlineStr">
        <is>
          <t>Закрытые условия на абонементы</t>
        </is>
      </c>
      <c r="D1386" s="34" t="inlineStr">
        <is>
          <t>Скидка 40% на абонемент 12 занятий</t>
        </is>
      </c>
      <c r="E1386" s="34" t="inlineStr">
        <is>
          <t>При покупке абонемента на 12 занятий</t>
        </is>
      </c>
      <c r="F1386" s="147" t="inlineStr">
        <is>
          <t>FW-L3-7QFUU-8866L</t>
        </is>
      </c>
      <c r="G1386" s="39" t="inlineStr">
        <is>
          <t>Не использован</t>
        </is>
      </c>
      <c r="H1386" s="148" t="n"/>
      <c r="I1386" s="34" t="str"/>
      <c r="J1386" s="34" t="str"/>
      <c r="K1386" s="130" t="n">
        <v>182</v>
      </c>
      <c r="L1386" s="43">
        <f>IF(COUNTIF($F$5:$F$2407,F1386)=1,"OK","Дубликат")</f>
        <v/>
      </c>
    </row>
    <row r="1387" ht="38" customHeight="1">
      <c r="A1387" s="146" t="inlineStr">
        <is>
          <t>SUB-L3-12-40</t>
        </is>
      </c>
      <c r="B1387" s="39" t="inlineStr">
        <is>
          <t>3 уровень</t>
        </is>
      </c>
      <c r="C1387" s="34" t="inlineStr">
        <is>
          <t>Закрытые условия на абонементы</t>
        </is>
      </c>
      <c r="D1387" s="34" t="inlineStr">
        <is>
          <t>Скидка 40% на абонемент 12 занятий</t>
        </is>
      </c>
      <c r="E1387" s="34" t="inlineStr">
        <is>
          <t>При покупке абонемента на 12 занятий</t>
        </is>
      </c>
      <c r="F1387" s="147" t="inlineStr">
        <is>
          <t>FW-L3-EK2U6-QB2DW</t>
        </is>
      </c>
      <c r="G1387" s="39" t="inlineStr">
        <is>
          <t>Не использован</t>
        </is>
      </c>
      <c r="H1387" s="148" t="n"/>
      <c r="I1387" s="34" t="str"/>
      <c r="J1387" s="34" t="str"/>
      <c r="K1387" s="130" t="n">
        <v>183</v>
      </c>
      <c r="L1387" s="43">
        <f>IF(COUNTIF($F$5:$F$2407,F1387)=1,"OK","Дубликат")</f>
        <v/>
      </c>
    </row>
    <row r="1388" ht="38" customHeight="1">
      <c r="A1388" s="146" t="inlineStr">
        <is>
          <t>SUB-L3-12-40</t>
        </is>
      </c>
      <c r="B1388" s="39" t="inlineStr">
        <is>
          <t>3 уровень</t>
        </is>
      </c>
      <c r="C1388" s="34" t="inlineStr">
        <is>
          <t>Закрытые условия на абонементы</t>
        </is>
      </c>
      <c r="D1388" s="34" t="inlineStr">
        <is>
          <t>Скидка 40% на абонемент 12 занятий</t>
        </is>
      </c>
      <c r="E1388" s="34" t="inlineStr">
        <is>
          <t>При покупке абонемента на 12 занятий</t>
        </is>
      </c>
      <c r="F1388" s="147" t="inlineStr">
        <is>
          <t>FW-L3-S4LFJ-2N6KA</t>
        </is>
      </c>
      <c r="G1388" s="39" t="inlineStr">
        <is>
          <t>Не использован</t>
        </is>
      </c>
      <c r="H1388" s="148" t="n"/>
      <c r="I1388" s="34" t="str"/>
      <c r="J1388" s="34" t="str"/>
      <c r="K1388" s="130" t="n">
        <v>184</v>
      </c>
      <c r="L1388" s="43">
        <f>IF(COUNTIF($F$5:$F$2407,F1388)=1,"OK","Дубликат")</f>
        <v/>
      </c>
    </row>
    <row r="1389" ht="38" customHeight="1">
      <c r="A1389" s="146" t="inlineStr">
        <is>
          <t>SUB-L3-12-40</t>
        </is>
      </c>
      <c r="B1389" s="39" t="inlineStr">
        <is>
          <t>3 уровень</t>
        </is>
      </c>
      <c r="C1389" s="34" t="inlineStr">
        <is>
          <t>Закрытые условия на абонементы</t>
        </is>
      </c>
      <c r="D1389" s="34" t="inlineStr">
        <is>
          <t>Скидка 40% на абонемент 12 занятий</t>
        </is>
      </c>
      <c r="E1389" s="34" t="inlineStr">
        <is>
          <t>При покупке абонемента на 12 занятий</t>
        </is>
      </c>
      <c r="F1389" s="147" t="inlineStr">
        <is>
          <t>FW-L3-MZWSD-WUMGP</t>
        </is>
      </c>
      <c r="G1389" s="39" t="inlineStr">
        <is>
          <t>Не использован</t>
        </is>
      </c>
      <c r="H1389" s="148" t="n"/>
      <c r="I1389" s="34" t="str"/>
      <c r="J1389" s="34" t="str"/>
      <c r="K1389" s="130" t="n">
        <v>185</v>
      </c>
      <c r="L1389" s="43">
        <f>IF(COUNTIF($F$5:$F$2407,F1389)=1,"OK","Дубликат")</f>
        <v/>
      </c>
    </row>
    <row r="1390" ht="38" customHeight="1">
      <c r="A1390" s="146" t="inlineStr">
        <is>
          <t>SUB-L3-12-40</t>
        </is>
      </c>
      <c r="B1390" s="39" t="inlineStr">
        <is>
          <t>3 уровень</t>
        </is>
      </c>
      <c r="C1390" s="34" t="inlineStr">
        <is>
          <t>Закрытые условия на абонементы</t>
        </is>
      </c>
      <c r="D1390" s="34" t="inlineStr">
        <is>
          <t>Скидка 40% на абонемент 12 занятий</t>
        </is>
      </c>
      <c r="E1390" s="34" t="inlineStr">
        <is>
          <t>При покупке абонемента на 12 занятий</t>
        </is>
      </c>
      <c r="F1390" s="147" t="inlineStr">
        <is>
          <t>FW-L3-R284F-9S87J</t>
        </is>
      </c>
      <c r="G1390" s="39" t="inlineStr">
        <is>
          <t>Не использован</t>
        </is>
      </c>
      <c r="H1390" s="148" t="n"/>
      <c r="I1390" s="34" t="str"/>
      <c r="J1390" s="34" t="str"/>
      <c r="K1390" s="130" t="n">
        <v>186</v>
      </c>
      <c r="L1390" s="43">
        <f>IF(COUNTIF($F$5:$F$2407,F1390)=1,"OK","Дубликат")</f>
        <v/>
      </c>
    </row>
    <row r="1391" ht="38" customHeight="1">
      <c r="A1391" s="146" t="inlineStr">
        <is>
          <t>SUB-L3-12-40</t>
        </is>
      </c>
      <c r="B1391" s="39" t="inlineStr">
        <is>
          <t>3 уровень</t>
        </is>
      </c>
      <c r="C1391" s="34" t="inlineStr">
        <is>
          <t>Закрытые условия на абонементы</t>
        </is>
      </c>
      <c r="D1391" s="34" t="inlineStr">
        <is>
          <t>Скидка 40% на абонемент 12 занятий</t>
        </is>
      </c>
      <c r="E1391" s="34" t="inlineStr">
        <is>
          <t>При покупке абонемента на 12 занятий</t>
        </is>
      </c>
      <c r="F1391" s="147" t="inlineStr">
        <is>
          <t>FW-L3-95PUZ-DXU5E</t>
        </is>
      </c>
      <c r="G1391" s="39" t="inlineStr">
        <is>
          <t>Не использован</t>
        </is>
      </c>
      <c r="H1391" s="148" t="n"/>
      <c r="I1391" s="34" t="str"/>
      <c r="J1391" s="34" t="str"/>
      <c r="K1391" s="130" t="n">
        <v>187</v>
      </c>
      <c r="L1391" s="43">
        <f>IF(COUNTIF($F$5:$F$2407,F1391)=1,"OK","Дубликат")</f>
        <v/>
      </c>
    </row>
    <row r="1392" ht="38" customHeight="1">
      <c r="A1392" s="146" t="inlineStr">
        <is>
          <t>SUB-L3-12-40</t>
        </is>
      </c>
      <c r="B1392" s="39" t="inlineStr">
        <is>
          <t>3 уровень</t>
        </is>
      </c>
      <c r="C1392" s="34" t="inlineStr">
        <is>
          <t>Закрытые условия на абонементы</t>
        </is>
      </c>
      <c r="D1392" s="34" t="inlineStr">
        <is>
          <t>Скидка 40% на абонемент 12 занятий</t>
        </is>
      </c>
      <c r="E1392" s="34" t="inlineStr">
        <is>
          <t>При покупке абонемента на 12 занятий</t>
        </is>
      </c>
      <c r="F1392" s="147" t="inlineStr">
        <is>
          <t>FW-L3-MSZ9W-G43XL</t>
        </is>
      </c>
      <c r="G1392" s="39" t="inlineStr">
        <is>
          <t>Не использован</t>
        </is>
      </c>
      <c r="H1392" s="148" t="n"/>
      <c r="I1392" s="34" t="str"/>
      <c r="J1392" s="34" t="str"/>
      <c r="K1392" s="130" t="n">
        <v>188</v>
      </c>
      <c r="L1392" s="43">
        <f>IF(COUNTIF($F$5:$F$2407,F1392)=1,"OK","Дубликат")</f>
        <v/>
      </c>
    </row>
    <row r="1393" ht="38" customHeight="1">
      <c r="A1393" s="146" t="inlineStr">
        <is>
          <t>SUB-L3-12-40</t>
        </is>
      </c>
      <c r="B1393" s="39" t="inlineStr">
        <is>
          <t>3 уровень</t>
        </is>
      </c>
      <c r="C1393" s="34" t="inlineStr">
        <is>
          <t>Закрытые условия на абонементы</t>
        </is>
      </c>
      <c r="D1393" s="34" t="inlineStr">
        <is>
          <t>Скидка 40% на абонемент 12 занятий</t>
        </is>
      </c>
      <c r="E1393" s="34" t="inlineStr">
        <is>
          <t>При покупке абонемента на 12 занятий</t>
        </is>
      </c>
      <c r="F1393" s="147" t="inlineStr">
        <is>
          <t>FW-L3-FXPGD-5SB8Y</t>
        </is>
      </c>
      <c r="G1393" s="39" t="inlineStr">
        <is>
          <t>Не использован</t>
        </is>
      </c>
      <c r="H1393" s="148" t="n"/>
      <c r="I1393" s="34" t="str"/>
      <c r="J1393" s="34" t="str"/>
      <c r="K1393" s="130" t="n">
        <v>189</v>
      </c>
      <c r="L1393" s="43">
        <f>IF(COUNTIF($F$5:$F$2407,F1393)=1,"OK","Дубликат")</f>
        <v/>
      </c>
    </row>
    <row r="1394" ht="38" customHeight="1">
      <c r="A1394" s="146" t="inlineStr">
        <is>
          <t>SUB-L3-12-40</t>
        </is>
      </c>
      <c r="B1394" s="39" t="inlineStr">
        <is>
          <t>3 уровень</t>
        </is>
      </c>
      <c r="C1394" s="34" t="inlineStr">
        <is>
          <t>Закрытые условия на абонементы</t>
        </is>
      </c>
      <c r="D1394" s="34" t="inlineStr">
        <is>
          <t>Скидка 40% на абонемент 12 занятий</t>
        </is>
      </c>
      <c r="E1394" s="34" t="inlineStr">
        <is>
          <t>При покупке абонемента на 12 занятий</t>
        </is>
      </c>
      <c r="F1394" s="147" t="inlineStr">
        <is>
          <t>FW-L3-CP3EU-T9PWH</t>
        </is>
      </c>
      <c r="G1394" s="39" t="inlineStr">
        <is>
          <t>Не использован</t>
        </is>
      </c>
      <c r="H1394" s="148" t="n"/>
      <c r="I1394" s="34" t="str"/>
      <c r="J1394" s="34" t="str"/>
      <c r="K1394" s="130" t="n">
        <v>190</v>
      </c>
      <c r="L1394" s="43">
        <f>IF(COUNTIF($F$5:$F$2407,F1394)=1,"OK","Дубликат")</f>
        <v/>
      </c>
    </row>
    <row r="1395" ht="38" customHeight="1">
      <c r="A1395" s="146" t="inlineStr">
        <is>
          <t>SUB-L3-12-40</t>
        </is>
      </c>
      <c r="B1395" s="39" t="inlineStr">
        <is>
          <t>3 уровень</t>
        </is>
      </c>
      <c r="C1395" s="34" t="inlineStr">
        <is>
          <t>Закрытые условия на абонементы</t>
        </is>
      </c>
      <c r="D1395" s="34" t="inlineStr">
        <is>
          <t>Скидка 40% на абонемент 12 занятий</t>
        </is>
      </c>
      <c r="E1395" s="34" t="inlineStr">
        <is>
          <t>При покупке абонемента на 12 занятий</t>
        </is>
      </c>
      <c r="F1395" s="147" t="inlineStr">
        <is>
          <t>FW-L3-KBVNX-C2VTV</t>
        </is>
      </c>
      <c r="G1395" s="39" t="inlineStr">
        <is>
          <t>Не использован</t>
        </is>
      </c>
      <c r="H1395" s="148" t="n"/>
      <c r="I1395" s="34" t="str"/>
      <c r="J1395" s="34" t="str"/>
      <c r="K1395" s="130" t="n">
        <v>191</v>
      </c>
      <c r="L1395" s="43">
        <f>IF(COUNTIF($F$5:$F$2407,F1395)=1,"OK","Дубликат")</f>
        <v/>
      </c>
    </row>
    <row r="1396" ht="38" customHeight="1">
      <c r="A1396" s="146" t="inlineStr">
        <is>
          <t>SUB-L3-12-40</t>
        </is>
      </c>
      <c r="B1396" s="39" t="inlineStr">
        <is>
          <t>3 уровень</t>
        </is>
      </c>
      <c r="C1396" s="34" t="inlineStr">
        <is>
          <t>Закрытые условия на абонементы</t>
        </is>
      </c>
      <c r="D1396" s="34" t="inlineStr">
        <is>
          <t>Скидка 40% на абонемент 12 занятий</t>
        </is>
      </c>
      <c r="E1396" s="34" t="inlineStr">
        <is>
          <t>При покупке абонемента на 12 занятий</t>
        </is>
      </c>
      <c r="F1396" s="147" t="inlineStr">
        <is>
          <t>FW-L3-HRUT6-ZQ86C</t>
        </is>
      </c>
      <c r="G1396" s="39" t="inlineStr">
        <is>
          <t>Не использован</t>
        </is>
      </c>
      <c r="H1396" s="148" t="n"/>
      <c r="I1396" s="34" t="str"/>
      <c r="J1396" s="34" t="str"/>
      <c r="K1396" s="130" t="n">
        <v>192</v>
      </c>
      <c r="L1396" s="43">
        <f>IF(COUNTIF($F$5:$F$2407,F1396)=1,"OK","Дубликат")</f>
        <v/>
      </c>
    </row>
    <row r="1397" ht="38" customHeight="1">
      <c r="A1397" s="146" t="inlineStr">
        <is>
          <t>SUB-L3-12-40</t>
        </is>
      </c>
      <c r="B1397" s="39" t="inlineStr">
        <is>
          <t>3 уровень</t>
        </is>
      </c>
      <c r="C1397" s="34" t="inlineStr">
        <is>
          <t>Закрытые условия на абонементы</t>
        </is>
      </c>
      <c r="D1397" s="34" t="inlineStr">
        <is>
          <t>Скидка 40% на абонемент 12 занятий</t>
        </is>
      </c>
      <c r="E1397" s="34" t="inlineStr">
        <is>
          <t>При покупке абонемента на 12 занятий</t>
        </is>
      </c>
      <c r="F1397" s="147" t="inlineStr">
        <is>
          <t>FW-L3-KLCKX-KQ2KP</t>
        </is>
      </c>
      <c r="G1397" s="39" t="inlineStr">
        <is>
          <t>Не использован</t>
        </is>
      </c>
      <c r="H1397" s="148" t="n"/>
      <c r="I1397" s="34" t="str"/>
      <c r="J1397" s="34" t="str"/>
      <c r="K1397" s="130" t="n">
        <v>193</v>
      </c>
      <c r="L1397" s="43">
        <f>IF(COUNTIF($F$5:$F$2407,F1397)=1,"OK","Дубликат")</f>
        <v/>
      </c>
    </row>
    <row r="1398" ht="38" customHeight="1">
      <c r="A1398" s="146" t="inlineStr">
        <is>
          <t>SUB-L3-12-40</t>
        </is>
      </c>
      <c r="B1398" s="39" t="inlineStr">
        <is>
          <t>3 уровень</t>
        </is>
      </c>
      <c r="C1398" s="34" t="inlineStr">
        <is>
          <t>Закрытые условия на абонементы</t>
        </is>
      </c>
      <c r="D1398" s="34" t="inlineStr">
        <is>
          <t>Скидка 40% на абонемент 12 занятий</t>
        </is>
      </c>
      <c r="E1398" s="34" t="inlineStr">
        <is>
          <t>При покупке абонемента на 12 занятий</t>
        </is>
      </c>
      <c r="F1398" s="147" t="inlineStr">
        <is>
          <t>FW-L3-2TH9L-B7DV2</t>
        </is>
      </c>
      <c r="G1398" s="39" t="inlineStr">
        <is>
          <t>Не использован</t>
        </is>
      </c>
      <c r="H1398" s="148" t="n"/>
      <c r="I1398" s="34" t="str"/>
      <c r="J1398" s="34" t="str"/>
      <c r="K1398" s="130" t="n">
        <v>194</v>
      </c>
      <c r="L1398" s="43">
        <f>IF(COUNTIF($F$5:$F$2407,F1398)=1,"OK","Дубликат")</f>
        <v/>
      </c>
    </row>
    <row r="1399" ht="38" customHeight="1">
      <c r="A1399" s="146" t="inlineStr">
        <is>
          <t>SUB-L3-12-40</t>
        </is>
      </c>
      <c r="B1399" s="39" t="inlineStr">
        <is>
          <t>3 уровень</t>
        </is>
      </c>
      <c r="C1399" s="34" t="inlineStr">
        <is>
          <t>Закрытые условия на абонементы</t>
        </is>
      </c>
      <c r="D1399" s="34" t="inlineStr">
        <is>
          <t>Скидка 40% на абонемент 12 занятий</t>
        </is>
      </c>
      <c r="E1399" s="34" t="inlineStr">
        <is>
          <t>При покупке абонемента на 12 занятий</t>
        </is>
      </c>
      <c r="F1399" s="147" t="inlineStr">
        <is>
          <t>FW-L3-5JQHV-7UNZ9</t>
        </is>
      </c>
      <c r="G1399" s="39" t="inlineStr">
        <is>
          <t>Не использован</t>
        </is>
      </c>
      <c r="H1399" s="148" t="n"/>
      <c r="I1399" s="34" t="str"/>
      <c r="J1399" s="34" t="str"/>
      <c r="K1399" s="130" t="n">
        <v>195</v>
      </c>
      <c r="L1399" s="43">
        <f>IF(COUNTIF($F$5:$F$2407,F1399)=1,"OK","Дубликат")</f>
        <v/>
      </c>
    </row>
    <row r="1400" ht="38" customHeight="1">
      <c r="A1400" s="146" t="inlineStr">
        <is>
          <t>SUB-L3-12-40</t>
        </is>
      </c>
      <c r="B1400" s="39" t="inlineStr">
        <is>
          <t>3 уровень</t>
        </is>
      </c>
      <c r="C1400" s="34" t="inlineStr">
        <is>
          <t>Закрытые условия на абонементы</t>
        </is>
      </c>
      <c r="D1400" s="34" t="inlineStr">
        <is>
          <t>Скидка 40% на абонемент 12 занятий</t>
        </is>
      </c>
      <c r="E1400" s="34" t="inlineStr">
        <is>
          <t>При покупке абонемента на 12 занятий</t>
        </is>
      </c>
      <c r="F1400" s="147" t="inlineStr">
        <is>
          <t>FW-L3-YYBKH-PY9C5</t>
        </is>
      </c>
      <c r="G1400" s="39" t="inlineStr">
        <is>
          <t>Не использован</t>
        </is>
      </c>
      <c r="H1400" s="148" t="n"/>
      <c r="I1400" s="34" t="str"/>
      <c r="J1400" s="34" t="str"/>
      <c r="K1400" s="130" t="n">
        <v>196</v>
      </c>
      <c r="L1400" s="43">
        <f>IF(COUNTIF($F$5:$F$2407,F1400)=1,"OK","Дубликат")</f>
        <v/>
      </c>
    </row>
    <row r="1401" ht="38" customHeight="1">
      <c r="A1401" s="146" t="inlineStr">
        <is>
          <t>SUB-L3-12-40</t>
        </is>
      </c>
      <c r="B1401" s="39" t="inlineStr">
        <is>
          <t>3 уровень</t>
        </is>
      </c>
      <c r="C1401" s="34" t="inlineStr">
        <is>
          <t>Закрытые условия на абонементы</t>
        </is>
      </c>
      <c r="D1401" s="34" t="inlineStr">
        <is>
          <t>Скидка 40% на абонемент 12 занятий</t>
        </is>
      </c>
      <c r="E1401" s="34" t="inlineStr">
        <is>
          <t>При покупке абонемента на 12 занятий</t>
        </is>
      </c>
      <c r="F1401" s="147" t="inlineStr">
        <is>
          <t>FW-L3-APDW7-MYV4F</t>
        </is>
      </c>
      <c r="G1401" s="39" t="inlineStr">
        <is>
          <t>Не использован</t>
        </is>
      </c>
      <c r="H1401" s="148" t="n"/>
      <c r="I1401" s="34" t="str"/>
      <c r="J1401" s="34" t="str"/>
      <c r="K1401" s="130" t="n">
        <v>197</v>
      </c>
      <c r="L1401" s="43">
        <f>IF(COUNTIF($F$5:$F$2407,F1401)=1,"OK","Дубликат")</f>
        <v/>
      </c>
    </row>
    <row r="1402" ht="38" customHeight="1">
      <c r="A1402" s="146" t="inlineStr">
        <is>
          <t>SUB-L3-12-40</t>
        </is>
      </c>
      <c r="B1402" s="39" t="inlineStr">
        <is>
          <t>3 уровень</t>
        </is>
      </c>
      <c r="C1402" s="34" t="inlineStr">
        <is>
          <t>Закрытые условия на абонементы</t>
        </is>
      </c>
      <c r="D1402" s="34" t="inlineStr">
        <is>
          <t>Скидка 40% на абонемент 12 занятий</t>
        </is>
      </c>
      <c r="E1402" s="34" t="inlineStr">
        <is>
          <t>При покупке абонемента на 12 занятий</t>
        </is>
      </c>
      <c r="F1402" s="147" t="inlineStr">
        <is>
          <t>FW-L3-YMLWK-6G89W</t>
        </is>
      </c>
      <c r="G1402" s="39" t="inlineStr">
        <is>
          <t>Не использован</t>
        </is>
      </c>
      <c r="H1402" s="148" t="n"/>
      <c r="I1402" s="34" t="str"/>
      <c r="J1402" s="34" t="str"/>
      <c r="K1402" s="130" t="n">
        <v>198</v>
      </c>
      <c r="L1402" s="43">
        <f>IF(COUNTIF($F$5:$F$2407,F1402)=1,"OK","Дубликат")</f>
        <v/>
      </c>
    </row>
    <row r="1403" ht="38" customHeight="1">
      <c r="A1403" s="146" t="inlineStr">
        <is>
          <t>SUB-L3-12-40</t>
        </is>
      </c>
      <c r="B1403" s="39" t="inlineStr">
        <is>
          <t>3 уровень</t>
        </is>
      </c>
      <c r="C1403" s="34" t="inlineStr">
        <is>
          <t>Закрытые условия на абонементы</t>
        </is>
      </c>
      <c r="D1403" s="34" t="inlineStr">
        <is>
          <t>Скидка 40% на абонемент 12 занятий</t>
        </is>
      </c>
      <c r="E1403" s="34" t="inlineStr">
        <is>
          <t>При покупке абонемента на 12 занятий</t>
        </is>
      </c>
      <c r="F1403" s="147" t="inlineStr">
        <is>
          <t>FW-L3-HZEE8-6AKKT</t>
        </is>
      </c>
      <c r="G1403" s="39" t="inlineStr">
        <is>
          <t>Не использован</t>
        </is>
      </c>
      <c r="H1403" s="148" t="n"/>
      <c r="I1403" s="34" t="str"/>
      <c r="J1403" s="34" t="str"/>
      <c r="K1403" s="130" t="n">
        <v>199</v>
      </c>
      <c r="L1403" s="43">
        <f>IF(COUNTIF($F$5:$F$2407,F1403)=1,"OK","Дубликат")</f>
        <v/>
      </c>
    </row>
    <row r="1404" ht="38" customHeight="1">
      <c r="A1404" s="146" t="inlineStr">
        <is>
          <t>SUB-L3-12-40</t>
        </is>
      </c>
      <c r="B1404" s="39" t="inlineStr">
        <is>
          <t>3 уровень</t>
        </is>
      </c>
      <c r="C1404" s="34" t="inlineStr">
        <is>
          <t>Закрытые условия на абонементы</t>
        </is>
      </c>
      <c r="D1404" s="34" t="inlineStr">
        <is>
          <t>Скидка 40% на абонемент 12 занятий</t>
        </is>
      </c>
      <c r="E1404" s="34" t="inlineStr">
        <is>
          <t>При покупке абонемента на 12 занятий</t>
        </is>
      </c>
      <c r="F1404" s="147" t="inlineStr">
        <is>
          <t>FW-L3-3TDRE-PMPK4</t>
        </is>
      </c>
      <c r="G1404" s="39" t="inlineStr">
        <is>
          <t>Не использован</t>
        </is>
      </c>
      <c r="H1404" s="148" t="n"/>
      <c r="I1404" s="34" t="str"/>
      <c r="J1404" s="34" t="str"/>
      <c r="K1404" s="130" t="n">
        <v>200</v>
      </c>
      <c r="L1404" s="43">
        <f>IF(COUNTIF($F$5:$F$2407,F1404)=1,"OK","Дубликат")</f>
        <v/>
      </c>
    </row>
    <row r="1405" ht="38" customHeight="1">
      <c r="A1405" s="146" t="inlineStr">
        <is>
          <t>SUPER-08-FREE</t>
        </is>
      </c>
      <c r="B1405" s="39" t="inlineStr">
        <is>
          <t>Суперприз</t>
        </is>
      </c>
      <c r="C1405" s="34" t="inlineStr">
        <is>
          <t>Суперприз</t>
        </is>
      </c>
      <c r="D1405" s="34" t="inlineStr">
        <is>
          <t>Бесплатный абонемент на 8 занятий</t>
        </is>
      </c>
      <c r="E1405" s="34" t="inlineStr">
        <is>
          <t>Один промокод дает один бесплатный абонемент на 8 занятий</t>
        </is>
      </c>
      <c r="F1405" s="147" t="inlineStr">
        <is>
          <t>FW-SP-JHML8-SZXLY</t>
        </is>
      </c>
      <c r="G1405" s="39" t="inlineStr">
        <is>
          <t>Не использован</t>
        </is>
      </c>
      <c r="H1405" s="148" t="n"/>
      <c r="I1405" s="34" t="str"/>
      <c r="J1405" s="34" t="str"/>
      <c r="K1405" s="130" t="n">
        <v>1</v>
      </c>
      <c r="L1405" s="43">
        <f>IF(COUNTIF($F$5:$F$2407,F1405)=1,"OK","Дубликат")</f>
        <v/>
      </c>
    </row>
    <row r="1406" ht="38" customHeight="1">
      <c r="A1406" s="146" t="inlineStr">
        <is>
          <t>SUPER-08-FREE</t>
        </is>
      </c>
      <c r="B1406" s="39" t="inlineStr">
        <is>
          <t>Суперприз</t>
        </is>
      </c>
      <c r="C1406" s="34" t="inlineStr">
        <is>
          <t>Суперприз</t>
        </is>
      </c>
      <c r="D1406" s="34" t="inlineStr">
        <is>
          <t>Бесплатный абонемент на 8 занятий</t>
        </is>
      </c>
      <c r="E1406" s="34" t="inlineStr">
        <is>
          <t>Один промокод дает один бесплатный абонемент на 8 занятий</t>
        </is>
      </c>
      <c r="F1406" s="147" t="inlineStr">
        <is>
          <t>FW-SP-HBBYG-BNSJF</t>
        </is>
      </c>
      <c r="G1406" s="39" t="inlineStr">
        <is>
          <t>Не использован</t>
        </is>
      </c>
      <c r="H1406" s="148" t="n"/>
      <c r="I1406" s="34" t="str"/>
      <c r="J1406" s="34" t="str"/>
      <c r="K1406" s="130" t="n">
        <v>2</v>
      </c>
      <c r="L1406" s="43">
        <f>IF(COUNTIF($F$5:$F$2407,F1406)=1,"OK","Дубликат")</f>
        <v/>
      </c>
    </row>
    <row r="1407" ht="38" customHeight="1">
      <c r="A1407" s="146" t="inlineStr">
        <is>
          <t>SUPER-08-FREE</t>
        </is>
      </c>
      <c r="B1407" s="39" t="inlineStr">
        <is>
          <t>Суперприз</t>
        </is>
      </c>
      <c r="C1407" s="34" t="inlineStr">
        <is>
          <t>Суперприз</t>
        </is>
      </c>
      <c r="D1407" s="34" t="inlineStr">
        <is>
          <t>Бесплатный абонемент на 8 занятий</t>
        </is>
      </c>
      <c r="E1407" s="34" t="inlineStr">
        <is>
          <t>Один промокод дает один бесплатный абонемент на 8 занятий</t>
        </is>
      </c>
      <c r="F1407" s="147" t="inlineStr">
        <is>
          <t>FW-SP-4FZKT-GU3FD</t>
        </is>
      </c>
      <c r="G1407" s="39" t="inlineStr">
        <is>
          <t>Не использован</t>
        </is>
      </c>
      <c r="H1407" s="148" t="n"/>
      <c r="I1407" s="34" t="str"/>
      <c r="J1407" s="34" t="str"/>
      <c r="K1407" s="130" t="n">
        <v>3</v>
      </c>
      <c r="L1407" s="43">
        <f>IF(COUNTIF($F$5:$F$2407,F1407)=1,"OK","Дубликат")</f>
        <v/>
      </c>
    </row>
    <row r="1408" ht="38" customHeight="1">
      <c r="A1408" s="146" t="inlineStr">
        <is>
          <t>BONUS-L1-TRIAL-3FOR2</t>
        </is>
      </c>
      <c r="B1408" s="39" t="inlineStr">
        <is>
          <t>1 уровень</t>
        </is>
      </c>
      <c r="C1408" s="34" t="inlineStr">
        <is>
          <t>Призы не на абонементы</t>
        </is>
      </c>
      <c r="D1408" s="34" t="inlineStr">
        <is>
          <t>Апгрейд: 3 пробных занятия по цене 2</t>
        </is>
      </c>
      <c r="E1408" s="34" t="inlineStr">
        <is>
          <t>Оплата двух пробных занятий дает право посетить три</t>
        </is>
      </c>
      <c r="F1408" s="147" t="inlineStr">
        <is>
          <t>FW-L1-3699F-FBFPS</t>
        </is>
      </c>
      <c r="G1408" s="39" t="inlineStr">
        <is>
          <t>Не использован</t>
        </is>
      </c>
      <c r="H1408" s="148" t="n"/>
      <c r="I1408" s="34" t="str"/>
      <c r="J1408" s="34" t="str"/>
      <c r="K1408" s="130" t="n">
        <v>1</v>
      </c>
      <c r="L1408" s="43">
        <f>IF(COUNTIF($F$5:$F$2407,F1408)=1,"OK","Дубликат")</f>
        <v/>
      </c>
    </row>
    <row r="1409" ht="38" customHeight="1">
      <c r="A1409" s="146" t="inlineStr">
        <is>
          <t>BONUS-L1-TRIAL-3FOR2</t>
        </is>
      </c>
      <c r="B1409" s="39" t="inlineStr">
        <is>
          <t>1 уровень</t>
        </is>
      </c>
      <c r="C1409" s="34" t="inlineStr">
        <is>
          <t>Призы не на абонементы</t>
        </is>
      </c>
      <c r="D1409" s="34" t="inlineStr">
        <is>
          <t>Апгрейд: 3 пробных занятия по цене 2</t>
        </is>
      </c>
      <c r="E1409" s="34" t="inlineStr">
        <is>
          <t>Оплата двух пробных занятий дает право посетить три</t>
        </is>
      </c>
      <c r="F1409" s="147" t="inlineStr">
        <is>
          <t>FW-L1-L2UHB-XL9ME</t>
        </is>
      </c>
      <c r="G1409" s="39" t="inlineStr">
        <is>
          <t>Не использован</t>
        </is>
      </c>
      <c r="H1409" s="148" t="n"/>
      <c r="I1409" s="34" t="str"/>
      <c r="J1409" s="34" t="str"/>
      <c r="K1409" s="130" t="n">
        <v>2</v>
      </c>
      <c r="L1409" s="43">
        <f>IF(COUNTIF($F$5:$F$2407,F1409)=1,"OK","Дубликат")</f>
        <v/>
      </c>
    </row>
    <row r="1410" ht="38" customHeight="1">
      <c r="A1410" s="146" t="inlineStr">
        <is>
          <t>BONUS-L1-TRIAL-3FOR2</t>
        </is>
      </c>
      <c r="B1410" s="39" t="inlineStr">
        <is>
          <t>1 уровень</t>
        </is>
      </c>
      <c r="C1410" s="34" t="inlineStr">
        <is>
          <t>Призы не на абонементы</t>
        </is>
      </c>
      <c r="D1410" s="34" t="inlineStr">
        <is>
          <t>Апгрейд: 3 пробных занятия по цене 2</t>
        </is>
      </c>
      <c r="E1410" s="34" t="inlineStr">
        <is>
          <t>Оплата двух пробных занятий дает право посетить три</t>
        </is>
      </c>
      <c r="F1410" s="147" t="inlineStr">
        <is>
          <t>FW-L1-7VF33-RY2DD</t>
        </is>
      </c>
      <c r="G1410" s="39" t="inlineStr">
        <is>
          <t>Не использован</t>
        </is>
      </c>
      <c r="H1410" s="148" t="n"/>
      <c r="I1410" s="34" t="str"/>
      <c r="J1410" s="34" t="str"/>
      <c r="K1410" s="130" t="n">
        <v>3</v>
      </c>
      <c r="L1410" s="43">
        <f>IF(COUNTIF($F$5:$F$2407,F1410)=1,"OK","Дубликат")</f>
        <v/>
      </c>
    </row>
    <row r="1411" ht="38" customHeight="1">
      <c r="A1411" s="146" t="inlineStr">
        <is>
          <t>BONUS-L1-TRIAL-3FOR2</t>
        </is>
      </c>
      <c r="B1411" s="39" t="inlineStr">
        <is>
          <t>1 уровень</t>
        </is>
      </c>
      <c r="C1411" s="34" t="inlineStr">
        <is>
          <t>Призы не на абонементы</t>
        </is>
      </c>
      <c r="D1411" s="34" t="inlineStr">
        <is>
          <t>Апгрейд: 3 пробных занятия по цене 2</t>
        </is>
      </c>
      <c r="E1411" s="34" t="inlineStr">
        <is>
          <t>Оплата двух пробных занятий дает право посетить три</t>
        </is>
      </c>
      <c r="F1411" s="147" t="inlineStr">
        <is>
          <t>FW-L1-LNS5R-592WU</t>
        </is>
      </c>
      <c r="G1411" s="39" t="inlineStr">
        <is>
          <t>Не использован</t>
        </is>
      </c>
      <c r="H1411" s="148" t="n"/>
      <c r="I1411" s="34" t="str"/>
      <c r="J1411" s="34" t="str"/>
      <c r="K1411" s="130" t="n">
        <v>4</v>
      </c>
      <c r="L1411" s="43">
        <f>IF(COUNTIF($F$5:$F$2407,F1411)=1,"OK","Дубликат")</f>
        <v/>
      </c>
    </row>
    <row r="1412" ht="38" customHeight="1">
      <c r="A1412" s="146" t="inlineStr">
        <is>
          <t>BONUS-L1-TRIAL-3FOR2</t>
        </is>
      </c>
      <c r="B1412" s="39" t="inlineStr">
        <is>
          <t>1 уровень</t>
        </is>
      </c>
      <c r="C1412" s="34" t="inlineStr">
        <is>
          <t>Призы не на абонементы</t>
        </is>
      </c>
      <c r="D1412" s="34" t="inlineStr">
        <is>
          <t>Апгрейд: 3 пробных занятия по цене 2</t>
        </is>
      </c>
      <c r="E1412" s="34" t="inlineStr">
        <is>
          <t>Оплата двух пробных занятий дает право посетить три</t>
        </is>
      </c>
      <c r="F1412" s="147" t="inlineStr">
        <is>
          <t>FW-L1-7HGUX-XZKRX</t>
        </is>
      </c>
      <c r="G1412" s="39" t="inlineStr">
        <is>
          <t>Не использован</t>
        </is>
      </c>
      <c r="H1412" s="148" t="n"/>
      <c r="I1412" s="34" t="str"/>
      <c r="J1412" s="34" t="str"/>
      <c r="K1412" s="130" t="n">
        <v>5</v>
      </c>
      <c r="L1412" s="43">
        <f>IF(COUNTIF($F$5:$F$2407,F1412)=1,"OK","Дубликат")</f>
        <v/>
      </c>
    </row>
    <row r="1413" ht="38" customHeight="1">
      <c r="A1413" s="146" t="inlineStr">
        <is>
          <t>BONUS-L1-TRIAL-3FOR2</t>
        </is>
      </c>
      <c r="B1413" s="39" t="inlineStr">
        <is>
          <t>1 уровень</t>
        </is>
      </c>
      <c r="C1413" s="34" t="inlineStr">
        <is>
          <t>Призы не на абонементы</t>
        </is>
      </c>
      <c r="D1413" s="34" t="inlineStr">
        <is>
          <t>Апгрейд: 3 пробных занятия по цене 2</t>
        </is>
      </c>
      <c r="E1413" s="34" t="inlineStr">
        <is>
          <t>Оплата двух пробных занятий дает право посетить три</t>
        </is>
      </c>
      <c r="F1413" s="147" t="inlineStr">
        <is>
          <t>FW-L1-E5T4C-ELWZH</t>
        </is>
      </c>
      <c r="G1413" s="39" t="inlineStr">
        <is>
          <t>Не использован</t>
        </is>
      </c>
      <c r="H1413" s="148" t="n"/>
      <c r="I1413" s="34" t="str"/>
      <c r="J1413" s="34" t="str"/>
      <c r="K1413" s="130" t="n">
        <v>6</v>
      </c>
      <c r="L1413" s="43">
        <f>IF(COUNTIF($F$5:$F$2407,F1413)=1,"OK","Дубликат")</f>
        <v/>
      </c>
    </row>
    <row r="1414" ht="38" customHeight="1">
      <c r="A1414" s="146" t="inlineStr">
        <is>
          <t>BONUS-L1-TRIAL-3FOR2</t>
        </is>
      </c>
      <c r="B1414" s="39" t="inlineStr">
        <is>
          <t>1 уровень</t>
        </is>
      </c>
      <c r="C1414" s="34" t="inlineStr">
        <is>
          <t>Призы не на абонементы</t>
        </is>
      </c>
      <c r="D1414" s="34" t="inlineStr">
        <is>
          <t>Апгрейд: 3 пробных занятия по цене 2</t>
        </is>
      </c>
      <c r="E1414" s="34" t="inlineStr">
        <is>
          <t>Оплата двух пробных занятий дает право посетить три</t>
        </is>
      </c>
      <c r="F1414" s="147" t="inlineStr">
        <is>
          <t>FW-L1-WUMPP-HC6WV</t>
        </is>
      </c>
      <c r="G1414" s="39" t="inlineStr">
        <is>
          <t>Не использован</t>
        </is>
      </c>
      <c r="H1414" s="148" t="n"/>
      <c r="I1414" s="34" t="str"/>
      <c r="J1414" s="34" t="str"/>
      <c r="K1414" s="130" t="n">
        <v>7</v>
      </c>
      <c r="L1414" s="43">
        <f>IF(COUNTIF($F$5:$F$2407,F1414)=1,"OK","Дубликат")</f>
        <v/>
      </c>
    </row>
    <row r="1415" ht="38" customHeight="1">
      <c r="A1415" s="146" t="inlineStr">
        <is>
          <t>BONUS-L1-TRIAL-3FOR2</t>
        </is>
      </c>
      <c r="B1415" s="39" t="inlineStr">
        <is>
          <t>1 уровень</t>
        </is>
      </c>
      <c r="C1415" s="34" t="inlineStr">
        <is>
          <t>Призы не на абонементы</t>
        </is>
      </c>
      <c r="D1415" s="34" t="inlineStr">
        <is>
          <t>Апгрейд: 3 пробных занятия по цене 2</t>
        </is>
      </c>
      <c r="E1415" s="34" t="inlineStr">
        <is>
          <t>Оплата двух пробных занятий дает право посетить три</t>
        </is>
      </c>
      <c r="F1415" s="147" t="inlineStr">
        <is>
          <t>FW-L1-M34RQ-G5G3S</t>
        </is>
      </c>
      <c r="G1415" s="39" t="inlineStr">
        <is>
          <t>Не использован</t>
        </is>
      </c>
      <c r="H1415" s="148" t="n"/>
      <c r="I1415" s="34" t="str"/>
      <c r="J1415" s="34" t="str"/>
      <c r="K1415" s="130" t="n">
        <v>8</v>
      </c>
      <c r="L1415" s="43">
        <f>IF(COUNTIF($F$5:$F$2407,F1415)=1,"OK","Дубликат")</f>
        <v/>
      </c>
    </row>
    <row r="1416" ht="38" customHeight="1">
      <c r="A1416" s="146" t="inlineStr">
        <is>
          <t>BONUS-L1-TRIAL-3FOR2</t>
        </is>
      </c>
      <c r="B1416" s="39" t="inlineStr">
        <is>
          <t>1 уровень</t>
        </is>
      </c>
      <c r="C1416" s="34" t="inlineStr">
        <is>
          <t>Призы не на абонементы</t>
        </is>
      </c>
      <c r="D1416" s="34" t="inlineStr">
        <is>
          <t>Апгрейд: 3 пробных занятия по цене 2</t>
        </is>
      </c>
      <c r="E1416" s="34" t="inlineStr">
        <is>
          <t>Оплата двух пробных занятий дает право посетить три</t>
        </is>
      </c>
      <c r="F1416" s="147" t="inlineStr">
        <is>
          <t>FW-L1-ZDRAF-GCE56</t>
        </is>
      </c>
      <c r="G1416" s="39" t="inlineStr">
        <is>
          <t>Не использован</t>
        </is>
      </c>
      <c r="H1416" s="148" t="n"/>
      <c r="I1416" s="34" t="str"/>
      <c r="J1416" s="34" t="str"/>
      <c r="K1416" s="130" t="n">
        <v>9</v>
      </c>
      <c r="L1416" s="43">
        <f>IF(COUNTIF($F$5:$F$2407,F1416)=1,"OK","Дубликат")</f>
        <v/>
      </c>
    </row>
    <row r="1417" ht="38" customHeight="1">
      <c r="A1417" s="146" t="inlineStr">
        <is>
          <t>BONUS-L1-TRIAL-3FOR2</t>
        </is>
      </c>
      <c r="B1417" s="39" t="inlineStr">
        <is>
          <t>1 уровень</t>
        </is>
      </c>
      <c r="C1417" s="34" t="inlineStr">
        <is>
          <t>Призы не на абонементы</t>
        </is>
      </c>
      <c r="D1417" s="34" t="inlineStr">
        <is>
          <t>Апгрейд: 3 пробных занятия по цене 2</t>
        </is>
      </c>
      <c r="E1417" s="34" t="inlineStr">
        <is>
          <t>Оплата двух пробных занятий дает право посетить три</t>
        </is>
      </c>
      <c r="F1417" s="147" t="inlineStr">
        <is>
          <t>FW-L1-B73P4-2FXWQ</t>
        </is>
      </c>
      <c r="G1417" s="39" t="inlineStr">
        <is>
          <t>Не использован</t>
        </is>
      </c>
      <c r="H1417" s="148" t="n"/>
      <c r="I1417" s="34" t="str"/>
      <c r="J1417" s="34" t="str"/>
      <c r="K1417" s="130" t="n">
        <v>10</v>
      </c>
      <c r="L1417" s="43">
        <f>IF(COUNTIF($F$5:$F$2407,F1417)=1,"OK","Дубликат")</f>
        <v/>
      </c>
    </row>
    <row r="1418" ht="38" customHeight="1">
      <c r="A1418" s="146" t="inlineStr">
        <is>
          <t>BONUS-L1-TRIAL-3FOR2</t>
        </is>
      </c>
      <c r="B1418" s="39" t="inlineStr">
        <is>
          <t>1 уровень</t>
        </is>
      </c>
      <c r="C1418" s="34" t="inlineStr">
        <is>
          <t>Призы не на абонементы</t>
        </is>
      </c>
      <c r="D1418" s="34" t="inlineStr">
        <is>
          <t>Апгрейд: 3 пробных занятия по цене 2</t>
        </is>
      </c>
      <c r="E1418" s="34" t="inlineStr">
        <is>
          <t>Оплата двух пробных занятий дает право посетить три</t>
        </is>
      </c>
      <c r="F1418" s="147" t="inlineStr">
        <is>
          <t>FW-L1-PEFRF-F5HWC</t>
        </is>
      </c>
      <c r="G1418" s="39" t="inlineStr">
        <is>
          <t>Не использован</t>
        </is>
      </c>
      <c r="H1418" s="148" t="n"/>
      <c r="I1418" s="34" t="str"/>
      <c r="J1418" s="34" t="str"/>
      <c r="K1418" s="130" t="n">
        <v>11</v>
      </c>
      <c r="L1418" s="43">
        <f>IF(COUNTIF($F$5:$F$2407,F1418)=1,"OK","Дубликат")</f>
        <v/>
      </c>
    </row>
    <row r="1419" ht="38" customHeight="1">
      <c r="A1419" s="146" t="inlineStr">
        <is>
          <t>BONUS-L1-TRIAL-3FOR2</t>
        </is>
      </c>
      <c r="B1419" s="39" t="inlineStr">
        <is>
          <t>1 уровень</t>
        </is>
      </c>
      <c r="C1419" s="34" t="inlineStr">
        <is>
          <t>Призы не на абонементы</t>
        </is>
      </c>
      <c r="D1419" s="34" t="inlineStr">
        <is>
          <t>Апгрейд: 3 пробных занятия по цене 2</t>
        </is>
      </c>
      <c r="E1419" s="34" t="inlineStr">
        <is>
          <t>Оплата двух пробных занятий дает право посетить три</t>
        </is>
      </c>
      <c r="F1419" s="147" t="inlineStr">
        <is>
          <t>FW-L1-AJ9NE-PWQ45</t>
        </is>
      </c>
      <c r="G1419" s="39" t="inlineStr">
        <is>
          <t>Не использован</t>
        </is>
      </c>
      <c r="H1419" s="148" t="n"/>
      <c r="I1419" s="34" t="str"/>
      <c r="J1419" s="34" t="str"/>
      <c r="K1419" s="130" t="n">
        <v>12</v>
      </c>
      <c r="L1419" s="43">
        <f>IF(COUNTIF($F$5:$F$2407,F1419)=1,"OK","Дубликат")</f>
        <v/>
      </c>
    </row>
    <row r="1420" ht="38" customHeight="1">
      <c r="A1420" s="146" t="inlineStr">
        <is>
          <t>BONUS-L1-TRIAL-3FOR2</t>
        </is>
      </c>
      <c r="B1420" s="39" t="inlineStr">
        <is>
          <t>1 уровень</t>
        </is>
      </c>
      <c r="C1420" s="34" t="inlineStr">
        <is>
          <t>Призы не на абонементы</t>
        </is>
      </c>
      <c r="D1420" s="34" t="inlineStr">
        <is>
          <t>Апгрейд: 3 пробных занятия по цене 2</t>
        </is>
      </c>
      <c r="E1420" s="34" t="inlineStr">
        <is>
          <t>Оплата двух пробных занятий дает право посетить три</t>
        </is>
      </c>
      <c r="F1420" s="147" t="inlineStr">
        <is>
          <t>FW-L1-VKS9H-VZVC5</t>
        </is>
      </c>
      <c r="G1420" s="39" t="inlineStr">
        <is>
          <t>Не использован</t>
        </is>
      </c>
      <c r="H1420" s="148" t="n"/>
      <c r="I1420" s="34" t="str"/>
      <c r="J1420" s="34" t="str"/>
      <c r="K1420" s="130" t="n">
        <v>13</v>
      </c>
      <c r="L1420" s="43">
        <f>IF(COUNTIF($F$5:$F$2407,F1420)=1,"OK","Дубликат")</f>
        <v/>
      </c>
    </row>
    <row r="1421" ht="38" customHeight="1">
      <c r="A1421" s="146" t="inlineStr">
        <is>
          <t>BONUS-L1-TRIAL-3FOR2</t>
        </is>
      </c>
      <c r="B1421" s="39" t="inlineStr">
        <is>
          <t>1 уровень</t>
        </is>
      </c>
      <c r="C1421" s="34" t="inlineStr">
        <is>
          <t>Призы не на абонементы</t>
        </is>
      </c>
      <c r="D1421" s="34" t="inlineStr">
        <is>
          <t>Апгрейд: 3 пробных занятия по цене 2</t>
        </is>
      </c>
      <c r="E1421" s="34" t="inlineStr">
        <is>
          <t>Оплата двух пробных занятий дает право посетить три</t>
        </is>
      </c>
      <c r="F1421" s="147" t="inlineStr">
        <is>
          <t>FW-L1-SKH7A-KADNE</t>
        </is>
      </c>
      <c r="G1421" s="39" t="inlineStr">
        <is>
          <t>Не использован</t>
        </is>
      </c>
      <c r="H1421" s="148" t="n"/>
      <c r="I1421" s="34" t="str"/>
      <c r="J1421" s="34" t="str"/>
      <c r="K1421" s="130" t="n">
        <v>14</v>
      </c>
      <c r="L1421" s="43">
        <f>IF(COUNTIF($F$5:$F$2407,F1421)=1,"OK","Дубликат")</f>
        <v/>
      </c>
    </row>
    <row r="1422" ht="38" customHeight="1">
      <c r="A1422" s="146" t="inlineStr">
        <is>
          <t>BONUS-L1-TRIAL-3FOR2</t>
        </is>
      </c>
      <c r="B1422" s="39" t="inlineStr">
        <is>
          <t>1 уровень</t>
        </is>
      </c>
      <c r="C1422" s="34" t="inlineStr">
        <is>
          <t>Призы не на абонементы</t>
        </is>
      </c>
      <c r="D1422" s="34" t="inlineStr">
        <is>
          <t>Апгрейд: 3 пробных занятия по цене 2</t>
        </is>
      </c>
      <c r="E1422" s="34" t="inlineStr">
        <is>
          <t>Оплата двух пробных занятий дает право посетить три</t>
        </is>
      </c>
      <c r="F1422" s="147" t="inlineStr">
        <is>
          <t>FW-L1-SBPUP-FS4U2</t>
        </is>
      </c>
      <c r="G1422" s="39" t="inlineStr">
        <is>
          <t>Не использован</t>
        </is>
      </c>
      <c r="H1422" s="148" t="n"/>
      <c r="I1422" s="34" t="str"/>
      <c r="J1422" s="34" t="str"/>
      <c r="K1422" s="130" t="n">
        <v>15</v>
      </c>
      <c r="L1422" s="43">
        <f>IF(COUNTIF($F$5:$F$2407,F1422)=1,"OK","Дубликат")</f>
        <v/>
      </c>
    </row>
    <row r="1423" ht="38" customHeight="1">
      <c r="A1423" s="146" t="inlineStr">
        <is>
          <t>BONUS-L1-TRIAL-3FOR2</t>
        </is>
      </c>
      <c r="B1423" s="39" t="inlineStr">
        <is>
          <t>1 уровень</t>
        </is>
      </c>
      <c r="C1423" s="34" t="inlineStr">
        <is>
          <t>Призы не на абонементы</t>
        </is>
      </c>
      <c r="D1423" s="34" t="inlineStr">
        <is>
          <t>Апгрейд: 3 пробных занятия по цене 2</t>
        </is>
      </c>
      <c r="E1423" s="34" t="inlineStr">
        <is>
          <t>Оплата двух пробных занятий дает право посетить три</t>
        </is>
      </c>
      <c r="F1423" s="147" t="inlineStr">
        <is>
          <t>FW-L1-LXHHX-XMP6T</t>
        </is>
      </c>
      <c r="G1423" s="39" t="inlineStr">
        <is>
          <t>Не использован</t>
        </is>
      </c>
      <c r="H1423" s="148" t="n"/>
      <c r="I1423" s="34" t="str"/>
      <c r="J1423" s="34" t="str"/>
      <c r="K1423" s="130" t="n">
        <v>16</v>
      </c>
      <c r="L1423" s="43">
        <f>IF(COUNTIF($F$5:$F$2407,F1423)=1,"OK","Дубликат")</f>
        <v/>
      </c>
    </row>
    <row r="1424" ht="38" customHeight="1">
      <c r="A1424" s="146" t="inlineStr">
        <is>
          <t>BONUS-L1-TRIAL-3FOR2</t>
        </is>
      </c>
      <c r="B1424" s="39" t="inlineStr">
        <is>
          <t>1 уровень</t>
        </is>
      </c>
      <c r="C1424" s="34" t="inlineStr">
        <is>
          <t>Призы не на абонементы</t>
        </is>
      </c>
      <c r="D1424" s="34" t="inlineStr">
        <is>
          <t>Апгрейд: 3 пробных занятия по цене 2</t>
        </is>
      </c>
      <c r="E1424" s="34" t="inlineStr">
        <is>
          <t>Оплата двух пробных занятий дает право посетить три</t>
        </is>
      </c>
      <c r="F1424" s="147" t="inlineStr">
        <is>
          <t>FW-L1-DYFRZ-W5PLD</t>
        </is>
      </c>
      <c r="G1424" s="39" t="inlineStr">
        <is>
          <t>Не использован</t>
        </is>
      </c>
      <c r="H1424" s="148" t="n"/>
      <c r="I1424" s="34" t="str"/>
      <c r="J1424" s="34" t="str"/>
      <c r="K1424" s="130" t="n">
        <v>17</v>
      </c>
      <c r="L1424" s="43">
        <f>IF(COUNTIF($F$5:$F$2407,F1424)=1,"OK","Дубликат")</f>
        <v/>
      </c>
    </row>
    <row r="1425" ht="38" customHeight="1">
      <c r="A1425" s="146" t="inlineStr">
        <is>
          <t>BONUS-L1-TRIAL-3FOR2</t>
        </is>
      </c>
      <c r="B1425" s="39" t="inlineStr">
        <is>
          <t>1 уровень</t>
        </is>
      </c>
      <c r="C1425" s="34" t="inlineStr">
        <is>
          <t>Призы не на абонементы</t>
        </is>
      </c>
      <c r="D1425" s="34" t="inlineStr">
        <is>
          <t>Апгрейд: 3 пробных занятия по цене 2</t>
        </is>
      </c>
      <c r="E1425" s="34" t="inlineStr">
        <is>
          <t>Оплата двух пробных занятий дает право посетить три</t>
        </is>
      </c>
      <c r="F1425" s="147" t="inlineStr">
        <is>
          <t>FW-L1-HYLZC-CLJKV</t>
        </is>
      </c>
      <c r="G1425" s="39" t="inlineStr">
        <is>
          <t>Не использован</t>
        </is>
      </c>
      <c r="H1425" s="148" t="n"/>
      <c r="I1425" s="34" t="str"/>
      <c r="J1425" s="34" t="str"/>
      <c r="K1425" s="130" t="n">
        <v>18</v>
      </c>
      <c r="L1425" s="43">
        <f>IF(COUNTIF($F$5:$F$2407,F1425)=1,"OK","Дубликат")</f>
        <v/>
      </c>
    </row>
    <row r="1426" ht="38" customHeight="1">
      <c r="A1426" s="146" t="inlineStr">
        <is>
          <t>BONUS-L1-TRIAL-3FOR2</t>
        </is>
      </c>
      <c r="B1426" s="39" t="inlineStr">
        <is>
          <t>1 уровень</t>
        </is>
      </c>
      <c r="C1426" s="34" t="inlineStr">
        <is>
          <t>Призы не на абонементы</t>
        </is>
      </c>
      <c r="D1426" s="34" t="inlineStr">
        <is>
          <t>Апгрейд: 3 пробных занятия по цене 2</t>
        </is>
      </c>
      <c r="E1426" s="34" t="inlineStr">
        <is>
          <t>Оплата двух пробных занятий дает право посетить три</t>
        </is>
      </c>
      <c r="F1426" s="147" t="inlineStr">
        <is>
          <t>FW-L1-KC654-Y5X79</t>
        </is>
      </c>
      <c r="G1426" s="39" t="inlineStr">
        <is>
          <t>Не использован</t>
        </is>
      </c>
      <c r="H1426" s="148" t="n"/>
      <c r="I1426" s="34" t="str"/>
      <c r="J1426" s="34" t="str"/>
      <c r="K1426" s="130" t="n">
        <v>19</v>
      </c>
      <c r="L1426" s="43">
        <f>IF(COUNTIF($F$5:$F$2407,F1426)=1,"OK","Дубликат")</f>
        <v/>
      </c>
    </row>
    <row r="1427" ht="38" customHeight="1">
      <c r="A1427" s="146" t="inlineStr">
        <is>
          <t>BONUS-L1-TRIAL-3FOR2</t>
        </is>
      </c>
      <c r="B1427" s="39" t="inlineStr">
        <is>
          <t>1 уровень</t>
        </is>
      </c>
      <c r="C1427" s="34" t="inlineStr">
        <is>
          <t>Призы не на абонементы</t>
        </is>
      </c>
      <c r="D1427" s="34" t="inlineStr">
        <is>
          <t>Апгрейд: 3 пробных занятия по цене 2</t>
        </is>
      </c>
      <c r="E1427" s="34" t="inlineStr">
        <is>
          <t>Оплата двух пробных занятий дает право посетить три</t>
        </is>
      </c>
      <c r="F1427" s="147" t="inlineStr">
        <is>
          <t>FW-L1-5XZNX-47DAV</t>
        </is>
      </c>
      <c r="G1427" s="39" t="inlineStr">
        <is>
          <t>Не использован</t>
        </is>
      </c>
      <c r="H1427" s="148" t="n"/>
      <c r="I1427" s="34" t="str"/>
      <c r="J1427" s="34" t="str"/>
      <c r="K1427" s="130" t="n">
        <v>20</v>
      </c>
      <c r="L1427" s="43">
        <f>IF(COUNTIF($F$5:$F$2407,F1427)=1,"OK","Дубликат")</f>
        <v/>
      </c>
    </row>
    <row r="1428" ht="38" customHeight="1">
      <c r="A1428" s="146" t="inlineStr">
        <is>
          <t>BONUS-L1-TRIAL-3FOR2</t>
        </is>
      </c>
      <c r="B1428" s="39" t="inlineStr">
        <is>
          <t>1 уровень</t>
        </is>
      </c>
      <c r="C1428" s="34" t="inlineStr">
        <is>
          <t>Призы не на абонементы</t>
        </is>
      </c>
      <c r="D1428" s="34" t="inlineStr">
        <is>
          <t>Апгрейд: 3 пробных занятия по цене 2</t>
        </is>
      </c>
      <c r="E1428" s="34" t="inlineStr">
        <is>
          <t>Оплата двух пробных занятий дает право посетить три</t>
        </is>
      </c>
      <c r="F1428" s="147" t="inlineStr">
        <is>
          <t>FW-L1-RWEXE-EH4KJ</t>
        </is>
      </c>
      <c r="G1428" s="39" t="inlineStr">
        <is>
          <t>Не использован</t>
        </is>
      </c>
      <c r="H1428" s="148" t="n"/>
      <c r="I1428" s="34" t="str"/>
      <c r="J1428" s="34" t="str"/>
      <c r="K1428" s="130" t="n">
        <v>21</v>
      </c>
      <c r="L1428" s="43">
        <f>IF(COUNTIF($F$5:$F$2407,F1428)=1,"OK","Дубликат")</f>
        <v/>
      </c>
    </row>
    <row r="1429" ht="38" customHeight="1">
      <c r="A1429" s="146" t="inlineStr">
        <is>
          <t>BONUS-L1-TRIAL-3FOR2</t>
        </is>
      </c>
      <c r="B1429" s="39" t="inlineStr">
        <is>
          <t>1 уровень</t>
        </is>
      </c>
      <c r="C1429" s="34" t="inlineStr">
        <is>
          <t>Призы не на абонементы</t>
        </is>
      </c>
      <c r="D1429" s="34" t="inlineStr">
        <is>
          <t>Апгрейд: 3 пробных занятия по цене 2</t>
        </is>
      </c>
      <c r="E1429" s="34" t="inlineStr">
        <is>
          <t>Оплата двух пробных занятий дает право посетить три</t>
        </is>
      </c>
      <c r="F1429" s="147" t="inlineStr">
        <is>
          <t>FW-L1-87D3G-XK45V</t>
        </is>
      </c>
      <c r="G1429" s="39" t="inlineStr">
        <is>
          <t>Не использован</t>
        </is>
      </c>
      <c r="H1429" s="148" t="n"/>
      <c r="I1429" s="34" t="str"/>
      <c r="J1429" s="34" t="str"/>
      <c r="K1429" s="130" t="n">
        <v>22</v>
      </c>
      <c r="L1429" s="43">
        <f>IF(COUNTIF($F$5:$F$2407,F1429)=1,"OK","Дубликат")</f>
        <v/>
      </c>
    </row>
    <row r="1430" ht="38" customHeight="1">
      <c r="A1430" s="146" t="inlineStr">
        <is>
          <t>BONUS-L1-TRIAL-3FOR2</t>
        </is>
      </c>
      <c r="B1430" s="39" t="inlineStr">
        <is>
          <t>1 уровень</t>
        </is>
      </c>
      <c r="C1430" s="34" t="inlineStr">
        <is>
          <t>Призы не на абонементы</t>
        </is>
      </c>
      <c r="D1430" s="34" t="inlineStr">
        <is>
          <t>Апгрейд: 3 пробных занятия по цене 2</t>
        </is>
      </c>
      <c r="E1430" s="34" t="inlineStr">
        <is>
          <t>Оплата двух пробных занятий дает право посетить три</t>
        </is>
      </c>
      <c r="F1430" s="147" t="inlineStr">
        <is>
          <t>FW-L1-SAAE7-F497Q</t>
        </is>
      </c>
      <c r="G1430" s="39" t="inlineStr">
        <is>
          <t>Не использован</t>
        </is>
      </c>
      <c r="H1430" s="148" t="n"/>
      <c r="I1430" s="34" t="str"/>
      <c r="J1430" s="34" t="str"/>
      <c r="K1430" s="130" t="n">
        <v>23</v>
      </c>
      <c r="L1430" s="43">
        <f>IF(COUNTIF($F$5:$F$2407,F1430)=1,"OK","Дубликат")</f>
        <v/>
      </c>
    </row>
    <row r="1431" ht="38" customHeight="1">
      <c r="A1431" s="146" t="inlineStr">
        <is>
          <t>BONUS-L1-TRIAL-3FOR2</t>
        </is>
      </c>
      <c r="B1431" s="39" t="inlineStr">
        <is>
          <t>1 уровень</t>
        </is>
      </c>
      <c r="C1431" s="34" t="inlineStr">
        <is>
          <t>Призы не на абонементы</t>
        </is>
      </c>
      <c r="D1431" s="34" t="inlineStr">
        <is>
          <t>Апгрейд: 3 пробных занятия по цене 2</t>
        </is>
      </c>
      <c r="E1431" s="34" t="inlineStr">
        <is>
          <t>Оплата двух пробных занятий дает право посетить три</t>
        </is>
      </c>
      <c r="F1431" s="147" t="inlineStr">
        <is>
          <t>FW-L1-M6AXW-DDQ22</t>
        </is>
      </c>
      <c r="G1431" s="39" t="inlineStr">
        <is>
          <t>Не использован</t>
        </is>
      </c>
      <c r="H1431" s="148" t="n"/>
      <c r="I1431" s="34" t="str"/>
      <c r="J1431" s="34" t="str"/>
      <c r="K1431" s="130" t="n">
        <v>24</v>
      </c>
      <c r="L1431" s="43">
        <f>IF(COUNTIF($F$5:$F$2407,F1431)=1,"OK","Дубликат")</f>
        <v/>
      </c>
    </row>
    <row r="1432" ht="38" customHeight="1">
      <c r="A1432" s="146" t="inlineStr">
        <is>
          <t>BONUS-L1-TRIAL-3FOR2</t>
        </is>
      </c>
      <c r="B1432" s="39" t="inlineStr">
        <is>
          <t>1 уровень</t>
        </is>
      </c>
      <c r="C1432" s="34" t="inlineStr">
        <is>
          <t>Призы не на абонементы</t>
        </is>
      </c>
      <c r="D1432" s="34" t="inlineStr">
        <is>
          <t>Апгрейд: 3 пробных занятия по цене 2</t>
        </is>
      </c>
      <c r="E1432" s="34" t="inlineStr">
        <is>
          <t>Оплата двух пробных занятий дает право посетить три</t>
        </is>
      </c>
      <c r="F1432" s="147" t="inlineStr">
        <is>
          <t>FW-L1-XRAHS-D55WS</t>
        </is>
      </c>
      <c r="G1432" s="39" t="inlineStr">
        <is>
          <t>Не использован</t>
        </is>
      </c>
      <c r="H1432" s="148" t="n"/>
      <c r="I1432" s="34" t="str"/>
      <c r="J1432" s="34" t="str"/>
      <c r="K1432" s="130" t="n">
        <v>25</v>
      </c>
      <c r="L1432" s="43">
        <f>IF(COUNTIF($F$5:$F$2407,F1432)=1,"OK","Дубликат")</f>
        <v/>
      </c>
    </row>
    <row r="1433" ht="38" customHeight="1">
      <c r="A1433" s="146" t="inlineStr">
        <is>
          <t>BONUS-L1-TRIAL-3FOR2</t>
        </is>
      </c>
      <c r="B1433" s="39" t="inlineStr">
        <is>
          <t>1 уровень</t>
        </is>
      </c>
      <c r="C1433" s="34" t="inlineStr">
        <is>
          <t>Призы не на абонементы</t>
        </is>
      </c>
      <c r="D1433" s="34" t="inlineStr">
        <is>
          <t>Апгрейд: 3 пробных занятия по цене 2</t>
        </is>
      </c>
      <c r="E1433" s="34" t="inlineStr">
        <is>
          <t>Оплата двух пробных занятий дает право посетить три</t>
        </is>
      </c>
      <c r="F1433" s="147" t="inlineStr">
        <is>
          <t>FW-L1-C8969-GV3B9</t>
        </is>
      </c>
      <c r="G1433" s="39" t="inlineStr">
        <is>
          <t>Не использован</t>
        </is>
      </c>
      <c r="H1433" s="148" t="n"/>
      <c r="I1433" s="34" t="str"/>
      <c r="J1433" s="34" t="str"/>
      <c r="K1433" s="130" t="n">
        <v>26</v>
      </c>
      <c r="L1433" s="43">
        <f>IF(COUNTIF($F$5:$F$2407,F1433)=1,"OK","Дубликат")</f>
        <v/>
      </c>
    </row>
    <row r="1434" ht="38" customHeight="1">
      <c r="A1434" s="146" t="inlineStr">
        <is>
          <t>BONUS-L1-TRIAL-3FOR2</t>
        </is>
      </c>
      <c r="B1434" s="39" t="inlineStr">
        <is>
          <t>1 уровень</t>
        </is>
      </c>
      <c r="C1434" s="34" t="inlineStr">
        <is>
          <t>Призы не на абонементы</t>
        </is>
      </c>
      <c r="D1434" s="34" t="inlineStr">
        <is>
          <t>Апгрейд: 3 пробных занятия по цене 2</t>
        </is>
      </c>
      <c r="E1434" s="34" t="inlineStr">
        <is>
          <t>Оплата двух пробных занятий дает право посетить три</t>
        </is>
      </c>
      <c r="F1434" s="147" t="inlineStr">
        <is>
          <t>FW-L1-VPKDZ-WDTRY</t>
        </is>
      </c>
      <c r="G1434" s="39" t="inlineStr">
        <is>
          <t>Не использован</t>
        </is>
      </c>
      <c r="H1434" s="148" t="n"/>
      <c r="I1434" s="34" t="str"/>
      <c r="J1434" s="34" t="str"/>
      <c r="K1434" s="130" t="n">
        <v>27</v>
      </c>
      <c r="L1434" s="43">
        <f>IF(COUNTIF($F$5:$F$2407,F1434)=1,"OK","Дубликат")</f>
        <v/>
      </c>
    </row>
    <row r="1435" ht="38" customHeight="1">
      <c r="A1435" s="146" t="inlineStr">
        <is>
          <t>BONUS-L1-TRIAL-3FOR2</t>
        </is>
      </c>
      <c r="B1435" s="39" t="inlineStr">
        <is>
          <t>1 уровень</t>
        </is>
      </c>
      <c r="C1435" s="34" t="inlineStr">
        <is>
          <t>Призы не на абонементы</t>
        </is>
      </c>
      <c r="D1435" s="34" t="inlineStr">
        <is>
          <t>Апгрейд: 3 пробных занятия по цене 2</t>
        </is>
      </c>
      <c r="E1435" s="34" t="inlineStr">
        <is>
          <t>Оплата двух пробных занятий дает право посетить три</t>
        </is>
      </c>
      <c r="F1435" s="147" t="inlineStr">
        <is>
          <t>FW-L1-87VYZ-NQJ58</t>
        </is>
      </c>
      <c r="G1435" s="39" t="inlineStr">
        <is>
          <t>Не использован</t>
        </is>
      </c>
      <c r="H1435" s="148" t="n"/>
      <c r="I1435" s="34" t="str"/>
      <c r="J1435" s="34" t="str"/>
      <c r="K1435" s="130" t="n">
        <v>28</v>
      </c>
      <c r="L1435" s="43">
        <f>IF(COUNTIF($F$5:$F$2407,F1435)=1,"OK","Дубликат")</f>
        <v/>
      </c>
    </row>
    <row r="1436" ht="38" customHeight="1">
      <c r="A1436" s="146" t="inlineStr">
        <is>
          <t>BONUS-L1-TRIAL-3FOR2</t>
        </is>
      </c>
      <c r="B1436" s="39" t="inlineStr">
        <is>
          <t>1 уровень</t>
        </is>
      </c>
      <c r="C1436" s="34" t="inlineStr">
        <is>
          <t>Призы не на абонементы</t>
        </is>
      </c>
      <c r="D1436" s="34" t="inlineStr">
        <is>
          <t>Апгрейд: 3 пробных занятия по цене 2</t>
        </is>
      </c>
      <c r="E1436" s="34" t="inlineStr">
        <is>
          <t>Оплата двух пробных занятий дает право посетить три</t>
        </is>
      </c>
      <c r="F1436" s="147" t="inlineStr">
        <is>
          <t>FW-L1-RDETQ-5BYH7</t>
        </is>
      </c>
      <c r="G1436" s="39" t="inlineStr">
        <is>
          <t>Не использован</t>
        </is>
      </c>
      <c r="H1436" s="148" t="n"/>
      <c r="I1436" s="34" t="str"/>
      <c r="J1436" s="34" t="str"/>
      <c r="K1436" s="130" t="n">
        <v>29</v>
      </c>
      <c r="L1436" s="43">
        <f>IF(COUNTIF($F$5:$F$2407,F1436)=1,"OK","Дубликат")</f>
        <v/>
      </c>
    </row>
    <row r="1437" ht="38" customHeight="1">
      <c r="A1437" s="146" t="inlineStr">
        <is>
          <t>BONUS-L1-TRIAL-3FOR2</t>
        </is>
      </c>
      <c r="B1437" s="39" t="inlineStr">
        <is>
          <t>1 уровень</t>
        </is>
      </c>
      <c r="C1437" s="34" t="inlineStr">
        <is>
          <t>Призы не на абонементы</t>
        </is>
      </c>
      <c r="D1437" s="34" t="inlineStr">
        <is>
          <t>Апгрейд: 3 пробных занятия по цене 2</t>
        </is>
      </c>
      <c r="E1437" s="34" t="inlineStr">
        <is>
          <t>Оплата двух пробных занятий дает право посетить три</t>
        </is>
      </c>
      <c r="F1437" s="147" t="inlineStr">
        <is>
          <t>FW-L1-UQPN6-TFZPT</t>
        </is>
      </c>
      <c r="G1437" s="39" t="inlineStr">
        <is>
          <t>Не использован</t>
        </is>
      </c>
      <c r="H1437" s="148" t="n"/>
      <c r="I1437" s="34" t="str"/>
      <c r="J1437" s="34" t="str"/>
      <c r="K1437" s="130" t="n">
        <v>30</v>
      </c>
      <c r="L1437" s="43">
        <f>IF(COUNTIF($F$5:$F$2407,F1437)=1,"OK","Дубликат")</f>
        <v/>
      </c>
    </row>
    <row r="1438" ht="38" customHeight="1">
      <c r="A1438" s="146" t="inlineStr">
        <is>
          <t>BONUS-L1-TRIAL-3FOR2</t>
        </is>
      </c>
      <c r="B1438" s="39" t="inlineStr">
        <is>
          <t>1 уровень</t>
        </is>
      </c>
      <c r="C1438" s="34" t="inlineStr">
        <is>
          <t>Призы не на абонементы</t>
        </is>
      </c>
      <c r="D1438" s="34" t="inlineStr">
        <is>
          <t>Апгрейд: 3 пробных занятия по цене 2</t>
        </is>
      </c>
      <c r="E1438" s="34" t="inlineStr">
        <is>
          <t>Оплата двух пробных занятий дает право посетить три</t>
        </is>
      </c>
      <c r="F1438" s="147" t="inlineStr">
        <is>
          <t>FW-L1-5SETQ-JMHQN</t>
        </is>
      </c>
      <c r="G1438" s="39" t="inlineStr">
        <is>
          <t>Не использован</t>
        </is>
      </c>
      <c r="H1438" s="148" t="n"/>
      <c r="I1438" s="34" t="str"/>
      <c r="J1438" s="34" t="str"/>
      <c r="K1438" s="130" t="n">
        <v>31</v>
      </c>
      <c r="L1438" s="43">
        <f>IF(COUNTIF($F$5:$F$2407,F1438)=1,"OK","Дубликат")</f>
        <v/>
      </c>
    </row>
    <row r="1439" ht="38" customHeight="1">
      <c r="A1439" s="146" t="inlineStr">
        <is>
          <t>BONUS-L1-TRIAL-3FOR2</t>
        </is>
      </c>
      <c r="B1439" s="39" t="inlineStr">
        <is>
          <t>1 уровень</t>
        </is>
      </c>
      <c r="C1439" s="34" t="inlineStr">
        <is>
          <t>Призы не на абонементы</t>
        </is>
      </c>
      <c r="D1439" s="34" t="inlineStr">
        <is>
          <t>Апгрейд: 3 пробных занятия по цене 2</t>
        </is>
      </c>
      <c r="E1439" s="34" t="inlineStr">
        <is>
          <t>Оплата двух пробных занятий дает право посетить три</t>
        </is>
      </c>
      <c r="F1439" s="147" t="inlineStr">
        <is>
          <t>FW-L1-NKJ9M-RL8BA</t>
        </is>
      </c>
      <c r="G1439" s="39" t="inlineStr">
        <is>
          <t>Не использован</t>
        </is>
      </c>
      <c r="H1439" s="148" t="n"/>
      <c r="I1439" s="34" t="str"/>
      <c r="J1439" s="34" t="str"/>
      <c r="K1439" s="130" t="n">
        <v>32</v>
      </c>
      <c r="L1439" s="43">
        <f>IF(COUNTIF($F$5:$F$2407,F1439)=1,"OK","Дубликат")</f>
        <v/>
      </c>
    </row>
    <row r="1440" ht="38" customHeight="1">
      <c r="A1440" s="146" t="inlineStr">
        <is>
          <t>BONUS-L1-TRIAL-3FOR2</t>
        </is>
      </c>
      <c r="B1440" s="39" t="inlineStr">
        <is>
          <t>1 уровень</t>
        </is>
      </c>
      <c r="C1440" s="34" t="inlineStr">
        <is>
          <t>Призы не на абонементы</t>
        </is>
      </c>
      <c r="D1440" s="34" t="inlineStr">
        <is>
          <t>Апгрейд: 3 пробных занятия по цене 2</t>
        </is>
      </c>
      <c r="E1440" s="34" t="inlineStr">
        <is>
          <t>Оплата двух пробных занятий дает право посетить три</t>
        </is>
      </c>
      <c r="F1440" s="147" t="inlineStr">
        <is>
          <t>FW-L1-NV56K-Z2JNV</t>
        </is>
      </c>
      <c r="G1440" s="39" t="inlineStr">
        <is>
          <t>Не использован</t>
        </is>
      </c>
      <c r="H1440" s="148" t="n"/>
      <c r="I1440" s="34" t="str"/>
      <c r="J1440" s="34" t="str"/>
      <c r="K1440" s="130" t="n">
        <v>33</v>
      </c>
      <c r="L1440" s="43">
        <f>IF(COUNTIF($F$5:$F$2407,F1440)=1,"OK","Дубликат")</f>
        <v/>
      </c>
    </row>
    <row r="1441" ht="38" customHeight="1">
      <c r="A1441" s="146" t="inlineStr">
        <is>
          <t>BONUS-L1-TRIAL-3FOR2</t>
        </is>
      </c>
      <c r="B1441" s="39" t="inlineStr">
        <is>
          <t>1 уровень</t>
        </is>
      </c>
      <c r="C1441" s="34" t="inlineStr">
        <is>
          <t>Призы не на абонементы</t>
        </is>
      </c>
      <c r="D1441" s="34" t="inlineStr">
        <is>
          <t>Апгрейд: 3 пробных занятия по цене 2</t>
        </is>
      </c>
      <c r="E1441" s="34" t="inlineStr">
        <is>
          <t>Оплата двух пробных занятий дает право посетить три</t>
        </is>
      </c>
      <c r="F1441" s="147" t="inlineStr">
        <is>
          <t>FW-L1-A3LYH-AK49K</t>
        </is>
      </c>
      <c r="G1441" s="39" t="inlineStr">
        <is>
          <t>Не использован</t>
        </is>
      </c>
      <c r="H1441" s="148" t="n"/>
      <c r="I1441" s="34" t="str"/>
      <c r="J1441" s="34" t="str"/>
      <c r="K1441" s="130" t="n">
        <v>34</v>
      </c>
      <c r="L1441" s="43">
        <f>IF(COUNTIF($F$5:$F$2407,F1441)=1,"OK","Дубликат")</f>
        <v/>
      </c>
    </row>
    <row r="1442" ht="38" customHeight="1">
      <c r="A1442" s="146" t="inlineStr">
        <is>
          <t>BONUS-L1-TRIAL-3FOR2</t>
        </is>
      </c>
      <c r="B1442" s="39" t="inlineStr">
        <is>
          <t>1 уровень</t>
        </is>
      </c>
      <c r="C1442" s="34" t="inlineStr">
        <is>
          <t>Призы не на абонементы</t>
        </is>
      </c>
      <c r="D1442" s="34" t="inlineStr">
        <is>
          <t>Апгрейд: 3 пробных занятия по цене 2</t>
        </is>
      </c>
      <c r="E1442" s="34" t="inlineStr">
        <is>
          <t>Оплата двух пробных занятий дает право посетить три</t>
        </is>
      </c>
      <c r="F1442" s="147" t="inlineStr">
        <is>
          <t>FW-L1-DCXJB-T85VP</t>
        </is>
      </c>
      <c r="G1442" s="39" t="inlineStr">
        <is>
          <t>Не использован</t>
        </is>
      </c>
      <c r="H1442" s="148" t="n"/>
      <c r="I1442" s="34" t="str"/>
      <c r="J1442" s="34" t="str"/>
      <c r="K1442" s="130" t="n">
        <v>35</v>
      </c>
      <c r="L1442" s="43">
        <f>IF(COUNTIF($F$5:$F$2407,F1442)=1,"OK","Дубликат")</f>
        <v/>
      </c>
    </row>
    <row r="1443" ht="38" customHeight="1">
      <c r="A1443" s="146" t="inlineStr">
        <is>
          <t>BONUS-L1-TRIAL-3FOR2</t>
        </is>
      </c>
      <c r="B1443" s="39" t="inlineStr">
        <is>
          <t>1 уровень</t>
        </is>
      </c>
      <c r="C1443" s="34" t="inlineStr">
        <is>
          <t>Призы не на абонементы</t>
        </is>
      </c>
      <c r="D1443" s="34" t="inlineStr">
        <is>
          <t>Апгрейд: 3 пробных занятия по цене 2</t>
        </is>
      </c>
      <c r="E1443" s="34" t="inlineStr">
        <is>
          <t>Оплата двух пробных занятий дает право посетить три</t>
        </is>
      </c>
      <c r="F1443" s="147" t="inlineStr">
        <is>
          <t>FW-L1-5JME4-Q2H8A</t>
        </is>
      </c>
      <c r="G1443" s="39" t="inlineStr">
        <is>
          <t>Не использован</t>
        </is>
      </c>
      <c r="H1443" s="148" t="n"/>
      <c r="I1443" s="34" t="str"/>
      <c r="J1443" s="34" t="str"/>
      <c r="K1443" s="130" t="n">
        <v>36</v>
      </c>
      <c r="L1443" s="43">
        <f>IF(COUNTIF($F$5:$F$2407,F1443)=1,"OK","Дубликат")</f>
        <v/>
      </c>
    </row>
    <row r="1444" ht="38" customHeight="1">
      <c r="A1444" s="146" t="inlineStr">
        <is>
          <t>BONUS-L1-TRIAL-3FOR2</t>
        </is>
      </c>
      <c r="B1444" s="39" t="inlineStr">
        <is>
          <t>1 уровень</t>
        </is>
      </c>
      <c r="C1444" s="34" t="inlineStr">
        <is>
          <t>Призы не на абонементы</t>
        </is>
      </c>
      <c r="D1444" s="34" t="inlineStr">
        <is>
          <t>Апгрейд: 3 пробных занятия по цене 2</t>
        </is>
      </c>
      <c r="E1444" s="34" t="inlineStr">
        <is>
          <t>Оплата двух пробных занятий дает право посетить три</t>
        </is>
      </c>
      <c r="F1444" s="147" t="inlineStr">
        <is>
          <t>FW-L1-TPSXZ-J3Z2E</t>
        </is>
      </c>
      <c r="G1444" s="39" t="inlineStr">
        <is>
          <t>Не использован</t>
        </is>
      </c>
      <c r="H1444" s="148" t="n"/>
      <c r="I1444" s="34" t="str"/>
      <c r="J1444" s="34" t="str"/>
      <c r="K1444" s="130" t="n">
        <v>37</v>
      </c>
      <c r="L1444" s="43">
        <f>IF(COUNTIF($F$5:$F$2407,F1444)=1,"OK","Дубликат")</f>
        <v/>
      </c>
    </row>
    <row r="1445" ht="38" customHeight="1">
      <c r="A1445" s="146" t="inlineStr">
        <is>
          <t>BONUS-L1-TRIAL-3FOR2</t>
        </is>
      </c>
      <c r="B1445" s="39" t="inlineStr">
        <is>
          <t>1 уровень</t>
        </is>
      </c>
      <c r="C1445" s="34" t="inlineStr">
        <is>
          <t>Призы не на абонементы</t>
        </is>
      </c>
      <c r="D1445" s="34" t="inlineStr">
        <is>
          <t>Апгрейд: 3 пробных занятия по цене 2</t>
        </is>
      </c>
      <c r="E1445" s="34" t="inlineStr">
        <is>
          <t>Оплата двух пробных занятий дает право посетить три</t>
        </is>
      </c>
      <c r="F1445" s="147" t="inlineStr">
        <is>
          <t>FW-L1-KZG72-UARJA</t>
        </is>
      </c>
      <c r="G1445" s="39" t="inlineStr">
        <is>
          <t>Не использован</t>
        </is>
      </c>
      <c r="H1445" s="148" t="n"/>
      <c r="I1445" s="34" t="str"/>
      <c r="J1445" s="34" t="str"/>
      <c r="K1445" s="130" t="n">
        <v>38</v>
      </c>
      <c r="L1445" s="43">
        <f>IF(COUNTIF($F$5:$F$2407,F1445)=1,"OK","Дубликат")</f>
        <v/>
      </c>
    </row>
    <row r="1446" ht="38" customHeight="1">
      <c r="A1446" s="146" t="inlineStr">
        <is>
          <t>BONUS-L1-TRIAL-3FOR2</t>
        </is>
      </c>
      <c r="B1446" s="39" t="inlineStr">
        <is>
          <t>1 уровень</t>
        </is>
      </c>
      <c r="C1446" s="34" t="inlineStr">
        <is>
          <t>Призы не на абонементы</t>
        </is>
      </c>
      <c r="D1446" s="34" t="inlineStr">
        <is>
          <t>Апгрейд: 3 пробных занятия по цене 2</t>
        </is>
      </c>
      <c r="E1446" s="34" t="inlineStr">
        <is>
          <t>Оплата двух пробных занятий дает право посетить три</t>
        </is>
      </c>
      <c r="F1446" s="147" t="inlineStr">
        <is>
          <t>FW-L1-YDR76-CNDQD</t>
        </is>
      </c>
      <c r="G1446" s="39" t="inlineStr">
        <is>
          <t>Не использован</t>
        </is>
      </c>
      <c r="H1446" s="148" t="n"/>
      <c r="I1446" s="34" t="str"/>
      <c r="J1446" s="34" t="str"/>
      <c r="K1446" s="130" t="n">
        <v>39</v>
      </c>
      <c r="L1446" s="43">
        <f>IF(COUNTIF($F$5:$F$2407,F1446)=1,"OK","Дубликат")</f>
        <v/>
      </c>
    </row>
    <row r="1447" ht="38" customHeight="1">
      <c r="A1447" s="146" t="inlineStr">
        <is>
          <t>BONUS-L1-TRIAL-3FOR2</t>
        </is>
      </c>
      <c r="B1447" s="39" t="inlineStr">
        <is>
          <t>1 уровень</t>
        </is>
      </c>
      <c r="C1447" s="34" t="inlineStr">
        <is>
          <t>Призы не на абонементы</t>
        </is>
      </c>
      <c r="D1447" s="34" t="inlineStr">
        <is>
          <t>Апгрейд: 3 пробных занятия по цене 2</t>
        </is>
      </c>
      <c r="E1447" s="34" t="inlineStr">
        <is>
          <t>Оплата двух пробных занятий дает право посетить три</t>
        </is>
      </c>
      <c r="F1447" s="147" t="inlineStr">
        <is>
          <t>FW-L1-VWLGM-2Q2AU</t>
        </is>
      </c>
      <c r="G1447" s="39" t="inlineStr">
        <is>
          <t>Не использован</t>
        </is>
      </c>
      <c r="H1447" s="148" t="n"/>
      <c r="I1447" s="34" t="str"/>
      <c r="J1447" s="34" t="str"/>
      <c r="K1447" s="130" t="n">
        <v>40</v>
      </c>
      <c r="L1447" s="43">
        <f>IF(COUNTIF($F$5:$F$2407,F1447)=1,"OK","Дубликат")</f>
        <v/>
      </c>
    </row>
    <row r="1448" ht="38" customHeight="1">
      <c r="A1448" s="146" t="inlineStr">
        <is>
          <t>BONUS-L1-TRIAL-3FOR2</t>
        </is>
      </c>
      <c r="B1448" s="39" t="inlineStr">
        <is>
          <t>1 уровень</t>
        </is>
      </c>
      <c r="C1448" s="34" t="inlineStr">
        <is>
          <t>Призы не на абонементы</t>
        </is>
      </c>
      <c r="D1448" s="34" t="inlineStr">
        <is>
          <t>Апгрейд: 3 пробных занятия по цене 2</t>
        </is>
      </c>
      <c r="E1448" s="34" t="inlineStr">
        <is>
          <t>Оплата двух пробных занятий дает право посетить три</t>
        </is>
      </c>
      <c r="F1448" s="147" t="inlineStr">
        <is>
          <t>FW-L1-W9HW7-PA7B2</t>
        </is>
      </c>
      <c r="G1448" s="39" t="inlineStr">
        <is>
          <t>Не использован</t>
        </is>
      </c>
      <c r="H1448" s="148" t="n"/>
      <c r="I1448" s="34" t="str"/>
      <c r="J1448" s="34" t="str"/>
      <c r="K1448" s="130" t="n">
        <v>41</v>
      </c>
      <c r="L1448" s="43">
        <f>IF(COUNTIF($F$5:$F$2407,F1448)=1,"OK","Дубликат")</f>
        <v/>
      </c>
    </row>
    <row r="1449" ht="38" customHeight="1">
      <c r="A1449" s="146" t="inlineStr">
        <is>
          <t>BONUS-L1-TRIAL-3FOR2</t>
        </is>
      </c>
      <c r="B1449" s="39" t="inlineStr">
        <is>
          <t>1 уровень</t>
        </is>
      </c>
      <c r="C1449" s="34" t="inlineStr">
        <is>
          <t>Призы не на абонементы</t>
        </is>
      </c>
      <c r="D1449" s="34" t="inlineStr">
        <is>
          <t>Апгрейд: 3 пробных занятия по цене 2</t>
        </is>
      </c>
      <c r="E1449" s="34" t="inlineStr">
        <is>
          <t>Оплата двух пробных занятий дает право посетить три</t>
        </is>
      </c>
      <c r="F1449" s="147" t="inlineStr">
        <is>
          <t>FW-L1-UDVDP-YQPEG</t>
        </is>
      </c>
      <c r="G1449" s="39" t="inlineStr">
        <is>
          <t>Не использован</t>
        </is>
      </c>
      <c r="H1449" s="148" t="n"/>
      <c r="I1449" s="34" t="str"/>
      <c r="J1449" s="34" t="str"/>
      <c r="K1449" s="130" t="n">
        <v>42</v>
      </c>
      <c r="L1449" s="43">
        <f>IF(COUNTIF($F$5:$F$2407,F1449)=1,"OK","Дубликат")</f>
        <v/>
      </c>
    </row>
    <row r="1450" ht="38" customHeight="1">
      <c r="A1450" s="146" t="inlineStr">
        <is>
          <t>BONUS-L1-TRIAL-3FOR2</t>
        </is>
      </c>
      <c r="B1450" s="39" t="inlineStr">
        <is>
          <t>1 уровень</t>
        </is>
      </c>
      <c r="C1450" s="34" t="inlineStr">
        <is>
          <t>Призы не на абонементы</t>
        </is>
      </c>
      <c r="D1450" s="34" t="inlineStr">
        <is>
          <t>Апгрейд: 3 пробных занятия по цене 2</t>
        </is>
      </c>
      <c r="E1450" s="34" t="inlineStr">
        <is>
          <t>Оплата двух пробных занятий дает право посетить три</t>
        </is>
      </c>
      <c r="F1450" s="147" t="inlineStr">
        <is>
          <t>FW-L1-VLTMC-R88TL</t>
        </is>
      </c>
      <c r="G1450" s="39" t="inlineStr">
        <is>
          <t>Не использован</t>
        </is>
      </c>
      <c r="H1450" s="148" t="n"/>
      <c r="I1450" s="34" t="str"/>
      <c r="J1450" s="34" t="str"/>
      <c r="K1450" s="130" t="n">
        <v>43</v>
      </c>
      <c r="L1450" s="43">
        <f>IF(COUNTIF($F$5:$F$2407,F1450)=1,"OK","Дубликат")</f>
        <v/>
      </c>
    </row>
    <row r="1451" ht="38" customHeight="1">
      <c r="A1451" s="146" t="inlineStr">
        <is>
          <t>BONUS-L1-TRIAL-3FOR2</t>
        </is>
      </c>
      <c r="B1451" s="39" t="inlineStr">
        <is>
          <t>1 уровень</t>
        </is>
      </c>
      <c r="C1451" s="34" t="inlineStr">
        <is>
          <t>Призы не на абонементы</t>
        </is>
      </c>
      <c r="D1451" s="34" t="inlineStr">
        <is>
          <t>Апгрейд: 3 пробных занятия по цене 2</t>
        </is>
      </c>
      <c r="E1451" s="34" t="inlineStr">
        <is>
          <t>Оплата двух пробных занятий дает право посетить три</t>
        </is>
      </c>
      <c r="F1451" s="147" t="inlineStr">
        <is>
          <t>FW-L1-3L49A-H3MQQ</t>
        </is>
      </c>
      <c r="G1451" s="39" t="inlineStr">
        <is>
          <t>Не использован</t>
        </is>
      </c>
      <c r="H1451" s="148" t="n"/>
      <c r="I1451" s="34" t="str"/>
      <c r="J1451" s="34" t="str"/>
      <c r="K1451" s="130" t="n">
        <v>44</v>
      </c>
      <c r="L1451" s="43">
        <f>IF(COUNTIF($F$5:$F$2407,F1451)=1,"OK","Дубликат")</f>
        <v/>
      </c>
    </row>
    <row r="1452" ht="38" customHeight="1">
      <c r="A1452" s="146" t="inlineStr">
        <is>
          <t>BONUS-L1-TRIAL-3FOR2</t>
        </is>
      </c>
      <c r="B1452" s="39" t="inlineStr">
        <is>
          <t>1 уровень</t>
        </is>
      </c>
      <c r="C1452" s="34" t="inlineStr">
        <is>
          <t>Призы не на абонементы</t>
        </is>
      </c>
      <c r="D1452" s="34" t="inlineStr">
        <is>
          <t>Апгрейд: 3 пробных занятия по цене 2</t>
        </is>
      </c>
      <c r="E1452" s="34" t="inlineStr">
        <is>
          <t>Оплата двух пробных занятий дает право посетить три</t>
        </is>
      </c>
      <c r="F1452" s="147" t="inlineStr">
        <is>
          <t>FW-L1-T757Y-EAD8F</t>
        </is>
      </c>
      <c r="G1452" s="39" t="inlineStr">
        <is>
          <t>Не использован</t>
        </is>
      </c>
      <c r="H1452" s="148" t="n"/>
      <c r="I1452" s="34" t="str"/>
      <c r="J1452" s="34" t="str"/>
      <c r="K1452" s="130" t="n">
        <v>45</v>
      </c>
      <c r="L1452" s="43">
        <f>IF(COUNTIF($F$5:$F$2407,F1452)=1,"OK","Дубликат")</f>
        <v/>
      </c>
    </row>
    <row r="1453" ht="38" customHeight="1">
      <c r="A1453" s="146" t="inlineStr">
        <is>
          <t>BONUS-L1-TRIAL-3FOR2</t>
        </is>
      </c>
      <c r="B1453" s="39" t="inlineStr">
        <is>
          <t>1 уровень</t>
        </is>
      </c>
      <c r="C1453" s="34" t="inlineStr">
        <is>
          <t>Призы не на абонементы</t>
        </is>
      </c>
      <c r="D1453" s="34" t="inlineStr">
        <is>
          <t>Апгрейд: 3 пробных занятия по цене 2</t>
        </is>
      </c>
      <c r="E1453" s="34" t="inlineStr">
        <is>
          <t>Оплата двух пробных занятий дает право посетить три</t>
        </is>
      </c>
      <c r="F1453" s="147" t="inlineStr">
        <is>
          <t>FW-L1-C24S4-4FYCM</t>
        </is>
      </c>
      <c r="G1453" s="39" t="inlineStr">
        <is>
          <t>Не использован</t>
        </is>
      </c>
      <c r="H1453" s="148" t="n"/>
      <c r="I1453" s="34" t="str"/>
      <c r="J1453" s="34" t="str"/>
      <c r="K1453" s="130" t="n">
        <v>46</v>
      </c>
      <c r="L1453" s="43">
        <f>IF(COUNTIF($F$5:$F$2407,F1453)=1,"OK","Дубликат")</f>
        <v/>
      </c>
    </row>
    <row r="1454" ht="38" customHeight="1">
      <c r="A1454" s="146" t="inlineStr">
        <is>
          <t>BONUS-L1-TRIAL-3FOR2</t>
        </is>
      </c>
      <c r="B1454" s="39" t="inlineStr">
        <is>
          <t>1 уровень</t>
        </is>
      </c>
      <c r="C1454" s="34" t="inlineStr">
        <is>
          <t>Призы не на абонементы</t>
        </is>
      </c>
      <c r="D1454" s="34" t="inlineStr">
        <is>
          <t>Апгрейд: 3 пробных занятия по цене 2</t>
        </is>
      </c>
      <c r="E1454" s="34" t="inlineStr">
        <is>
          <t>Оплата двух пробных занятий дает право посетить три</t>
        </is>
      </c>
      <c r="F1454" s="147" t="inlineStr">
        <is>
          <t>FW-L1-SRQ4K-3W8TT</t>
        </is>
      </c>
      <c r="G1454" s="39" t="inlineStr">
        <is>
          <t>Не использован</t>
        </is>
      </c>
      <c r="H1454" s="148" t="n"/>
      <c r="I1454" s="34" t="str"/>
      <c r="J1454" s="34" t="str"/>
      <c r="K1454" s="130" t="n">
        <v>47</v>
      </c>
      <c r="L1454" s="43">
        <f>IF(COUNTIF($F$5:$F$2407,F1454)=1,"OK","Дубликат")</f>
        <v/>
      </c>
    </row>
    <row r="1455" ht="38" customHeight="1">
      <c r="A1455" s="146" t="inlineStr">
        <is>
          <t>BONUS-L1-TRIAL-3FOR2</t>
        </is>
      </c>
      <c r="B1455" s="39" t="inlineStr">
        <is>
          <t>1 уровень</t>
        </is>
      </c>
      <c r="C1455" s="34" t="inlineStr">
        <is>
          <t>Призы не на абонементы</t>
        </is>
      </c>
      <c r="D1455" s="34" t="inlineStr">
        <is>
          <t>Апгрейд: 3 пробных занятия по цене 2</t>
        </is>
      </c>
      <c r="E1455" s="34" t="inlineStr">
        <is>
          <t>Оплата двух пробных занятий дает право посетить три</t>
        </is>
      </c>
      <c r="F1455" s="147" t="inlineStr">
        <is>
          <t>FW-L1-PM8FX-NGWXJ</t>
        </is>
      </c>
      <c r="G1455" s="39" t="inlineStr">
        <is>
          <t>Не использован</t>
        </is>
      </c>
      <c r="H1455" s="148" t="n"/>
      <c r="I1455" s="34" t="str"/>
      <c r="J1455" s="34" t="str"/>
      <c r="K1455" s="130" t="n">
        <v>48</v>
      </c>
      <c r="L1455" s="43">
        <f>IF(COUNTIF($F$5:$F$2407,F1455)=1,"OK","Дубликат")</f>
        <v/>
      </c>
    </row>
    <row r="1456" ht="38" customHeight="1">
      <c r="A1456" s="146" t="inlineStr">
        <is>
          <t>BONUS-L1-TRIAL-3FOR2</t>
        </is>
      </c>
      <c r="B1456" s="39" t="inlineStr">
        <is>
          <t>1 уровень</t>
        </is>
      </c>
      <c r="C1456" s="34" t="inlineStr">
        <is>
          <t>Призы не на абонементы</t>
        </is>
      </c>
      <c r="D1456" s="34" t="inlineStr">
        <is>
          <t>Апгрейд: 3 пробных занятия по цене 2</t>
        </is>
      </c>
      <c r="E1456" s="34" t="inlineStr">
        <is>
          <t>Оплата двух пробных занятий дает право посетить три</t>
        </is>
      </c>
      <c r="F1456" s="147" t="inlineStr">
        <is>
          <t>FW-L1-ZBAZR-LCMV9</t>
        </is>
      </c>
      <c r="G1456" s="39" t="inlineStr">
        <is>
          <t>Не использован</t>
        </is>
      </c>
      <c r="H1456" s="148" t="n"/>
      <c r="I1456" s="34" t="str"/>
      <c r="J1456" s="34" t="str"/>
      <c r="K1456" s="130" t="n">
        <v>49</v>
      </c>
      <c r="L1456" s="43">
        <f>IF(COUNTIF($F$5:$F$2407,F1456)=1,"OK","Дубликат")</f>
        <v/>
      </c>
    </row>
    <row r="1457" ht="38" customHeight="1">
      <c r="A1457" s="146" t="inlineStr">
        <is>
          <t>BONUS-L1-TRIAL-3FOR2</t>
        </is>
      </c>
      <c r="B1457" s="39" t="inlineStr">
        <is>
          <t>1 уровень</t>
        </is>
      </c>
      <c r="C1457" s="34" t="inlineStr">
        <is>
          <t>Призы не на абонементы</t>
        </is>
      </c>
      <c r="D1457" s="34" t="inlineStr">
        <is>
          <t>Апгрейд: 3 пробных занятия по цене 2</t>
        </is>
      </c>
      <c r="E1457" s="34" t="inlineStr">
        <is>
          <t>Оплата двух пробных занятий дает право посетить три</t>
        </is>
      </c>
      <c r="F1457" s="147" t="inlineStr">
        <is>
          <t>FW-L1-83PUC-CWV3U</t>
        </is>
      </c>
      <c r="G1457" s="39" t="inlineStr">
        <is>
          <t>Не использован</t>
        </is>
      </c>
      <c r="H1457" s="148" t="n"/>
      <c r="I1457" s="34" t="str"/>
      <c r="J1457" s="34" t="str"/>
      <c r="K1457" s="130" t="n">
        <v>50</v>
      </c>
      <c r="L1457" s="43">
        <f>IF(COUNTIF($F$5:$F$2407,F1457)=1,"OK","Дубликат")</f>
        <v/>
      </c>
    </row>
    <row r="1458" ht="38" customHeight="1">
      <c r="A1458" s="146" t="inlineStr">
        <is>
          <t>BONUS-L1-TRIAL-3FOR2</t>
        </is>
      </c>
      <c r="B1458" s="39" t="inlineStr">
        <is>
          <t>1 уровень</t>
        </is>
      </c>
      <c r="C1458" s="34" t="inlineStr">
        <is>
          <t>Призы не на абонементы</t>
        </is>
      </c>
      <c r="D1458" s="34" t="inlineStr">
        <is>
          <t>Апгрейд: 3 пробных занятия по цене 2</t>
        </is>
      </c>
      <c r="E1458" s="34" t="inlineStr">
        <is>
          <t>Оплата двух пробных занятий дает право посетить три</t>
        </is>
      </c>
      <c r="F1458" s="147" t="inlineStr">
        <is>
          <t>FW-L1-A2GZC-FBEQV</t>
        </is>
      </c>
      <c r="G1458" s="39" t="inlineStr">
        <is>
          <t>Не использован</t>
        </is>
      </c>
      <c r="H1458" s="148" t="n"/>
      <c r="I1458" s="34" t="str"/>
      <c r="J1458" s="34" t="str"/>
      <c r="K1458" s="130" t="n">
        <v>51</v>
      </c>
      <c r="L1458" s="43">
        <f>IF(COUNTIF($F$5:$F$2407,F1458)=1,"OK","Дубликат")</f>
        <v/>
      </c>
    </row>
    <row r="1459" ht="38" customHeight="1">
      <c r="A1459" s="146" t="inlineStr">
        <is>
          <t>BONUS-L1-TRIAL-3FOR2</t>
        </is>
      </c>
      <c r="B1459" s="39" t="inlineStr">
        <is>
          <t>1 уровень</t>
        </is>
      </c>
      <c r="C1459" s="34" t="inlineStr">
        <is>
          <t>Призы не на абонементы</t>
        </is>
      </c>
      <c r="D1459" s="34" t="inlineStr">
        <is>
          <t>Апгрейд: 3 пробных занятия по цене 2</t>
        </is>
      </c>
      <c r="E1459" s="34" t="inlineStr">
        <is>
          <t>Оплата двух пробных занятий дает право посетить три</t>
        </is>
      </c>
      <c r="F1459" s="147" t="inlineStr">
        <is>
          <t>FW-L1-2UPJS-ND8LV</t>
        </is>
      </c>
      <c r="G1459" s="39" t="inlineStr">
        <is>
          <t>Не использован</t>
        </is>
      </c>
      <c r="H1459" s="148" t="n"/>
      <c r="I1459" s="34" t="str"/>
      <c r="J1459" s="34" t="str"/>
      <c r="K1459" s="130" t="n">
        <v>52</v>
      </c>
      <c r="L1459" s="43">
        <f>IF(COUNTIF($F$5:$F$2407,F1459)=1,"OK","Дубликат")</f>
        <v/>
      </c>
    </row>
    <row r="1460" ht="38" customHeight="1">
      <c r="A1460" s="146" t="inlineStr">
        <is>
          <t>BONUS-L1-TRIAL-3FOR2</t>
        </is>
      </c>
      <c r="B1460" s="39" t="inlineStr">
        <is>
          <t>1 уровень</t>
        </is>
      </c>
      <c r="C1460" s="34" t="inlineStr">
        <is>
          <t>Призы не на абонементы</t>
        </is>
      </c>
      <c r="D1460" s="34" t="inlineStr">
        <is>
          <t>Апгрейд: 3 пробных занятия по цене 2</t>
        </is>
      </c>
      <c r="E1460" s="34" t="inlineStr">
        <is>
          <t>Оплата двух пробных занятий дает право посетить три</t>
        </is>
      </c>
      <c r="F1460" s="147" t="inlineStr">
        <is>
          <t>FW-L1-V4PPZ-2Y7WQ</t>
        </is>
      </c>
      <c r="G1460" s="39" t="inlineStr">
        <is>
          <t>Не использован</t>
        </is>
      </c>
      <c r="H1460" s="148" t="n"/>
      <c r="I1460" s="34" t="str"/>
      <c r="J1460" s="34" t="str"/>
      <c r="K1460" s="130" t="n">
        <v>53</v>
      </c>
      <c r="L1460" s="43">
        <f>IF(COUNTIF($F$5:$F$2407,F1460)=1,"OK","Дубликат")</f>
        <v/>
      </c>
    </row>
    <row r="1461" ht="38" customHeight="1">
      <c r="A1461" s="146" t="inlineStr">
        <is>
          <t>BONUS-L1-TRIAL-3FOR2</t>
        </is>
      </c>
      <c r="B1461" s="39" t="inlineStr">
        <is>
          <t>1 уровень</t>
        </is>
      </c>
      <c r="C1461" s="34" t="inlineStr">
        <is>
          <t>Призы не на абонементы</t>
        </is>
      </c>
      <c r="D1461" s="34" t="inlineStr">
        <is>
          <t>Апгрейд: 3 пробных занятия по цене 2</t>
        </is>
      </c>
      <c r="E1461" s="34" t="inlineStr">
        <is>
          <t>Оплата двух пробных занятий дает право посетить три</t>
        </is>
      </c>
      <c r="F1461" s="147" t="inlineStr">
        <is>
          <t>FW-L1-C8694-94BL5</t>
        </is>
      </c>
      <c r="G1461" s="39" t="inlineStr">
        <is>
          <t>Не использован</t>
        </is>
      </c>
      <c r="H1461" s="148" t="n"/>
      <c r="I1461" s="34" t="str"/>
      <c r="J1461" s="34" t="str"/>
      <c r="K1461" s="130" t="n">
        <v>54</v>
      </c>
      <c r="L1461" s="43">
        <f>IF(COUNTIF($F$5:$F$2407,F1461)=1,"OK","Дубликат")</f>
        <v/>
      </c>
    </row>
    <row r="1462" ht="38" customHeight="1">
      <c r="A1462" s="146" t="inlineStr">
        <is>
          <t>BONUS-L1-TRIAL-3FOR2</t>
        </is>
      </c>
      <c r="B1462" s="39" t="inlineStr">
        <is>
          <t>1 уровень</t>
        </is>
      </c>
      <c r="C1462" s="34" t="inlineStr">
        <is>
          <t>Призы не на абонементы</t>
        </is>
      </c>
      <c r="D1462" s="34" t="inlineStr">
        <is>
          <t>Апгрейд: 3 пробных занятия по цене 2</t>
        </is>
      </c>
      <c r="E1462" s="34" t="inlineStr">
        <is>
          <t>Оплата двух пробных занятий дает право посетить три</t>
        </is>
      </c>
      <c r="F1462" s="147" t="inlineStr">
        <is>
          <t>FW-L1-WE45N-2HS7W</t>
        </is>
      </c>
      <c r="G1462" s="39" t="inlineStr">
        <is>
          <t>Не использован</t>
        </is>
      </c>
      <c r="H1462" s="148" t="n"/>
      <c r="I1462" s="34" t="str"/>
      <c r="J1462" s="34" t="str"/>
      <c r="K1462" s="130" t="n">
        <v>55</v>
      </c>
      <c r="L1462" s="43">
        <f>IF(COUNTIF($F$5:$F$2407,F1462)=1,"OK","Дубликат")</f>
        <v/>
      </c>
    </row>
    <row r="1463" ht="38" customHeight="1">
      <c r="A1463" s="146" t="inlineStr">
        <is>
          <t>BONUS-L1-TRIAL-3FOR2</t>
        </is>
      </c>
      <c r="B1463" s="39" t="inlineStr">
        <is>
          <t>1 уровень</t>
        </is>
      </c>
      <c r="C1463" s="34" t="inlineStr">
        <is>
          <t>Призы не на абонементы</t>
        </is>
      </c>
      <c r="D1463" s="34" t="inlineStr">
        <is>
          <t>Апгрейд: 3 пробных занятия по цене 2</t>
        </is>
      </c>
      <c r="E1463" s="34" t="inlineStr">
        <is>
          <t>Оплата двух пробных занятий дает право посетить три</t>
        </is>
      </c>
      <c r="F1463" s="147" t="inlineStr">
        <is>
          <t>FW-L1-9P9PF-UQC4Y</t>
        </is>
      </c>
      <c r="G1463" s="39" t="inlineStr">
        <is>
          <t>Не использован</t>
        </is>
      </c>
      <c r="H1463" s="148" t="n"/>
      <c r="I1463" s="34" t="str"/>
      <c r="J1463" s="34" t="str"/>
      <c r="K1463" s="130" t="n">
        <v>56</v>
      </c>
      <c r="L1463" s="43">
        <f>IF(COUNTIF($F$5:$F$2407,F1463)=1,"OK","Дубликат")</f>
        <v/>
      </c>
    </row>
    <row r="1464" ht="38" customHeight="1">
      <c r="A1464" s="146" t="inlineStr">
        <is>
          <t>BONUS-L1-TRIAL-3FOR2</t>
        </is>
      </c>
      <c r="B1464" s="39" t="inlineStr">
        <is>
          <t>1 уровень</t>
        </is>
      </c>
      <c r="C1464" s="34" t="inlineStr">
        <is>
          <t>Призы не на абонементы</t>
        </is>
      </c>
      <c r="D1464" s="34" t="inlineStr">
        <is>
          <t>Апгрейд: 3 пробных занятия по цене 2</t>
        </is>
      </c>
      <c r="E1464" s="34" t="inlineStr">
        <is>
          <t>Оплата двух пробных занятий дает право посетить три</t>
        </is>
      </c>
      <c r="F1464" s="147" t="inlineStr">
        <is>
          <t>FW-L1-EUJN5-3K2FB</t>
        </is>
      </c>
      <c r="G1464" s="39" t="inlineStr">
        <is>
          <t>Не использован</t>
        </is>
      </c>
      <c r="H1464" s="148" t="n"/>
      <c r="I1464" s="34" t="str"/>
      <c r="J1464" s="34" t="str"/>
      <c r="K1464" s="130" t="n">
        <v>57</v>
      </c>
      <c r="L1464" s="43">
        <f>IF(COUNTIF($F$5:$F$2407,F1464)=1,"OK","Дубликат")</f>
        <v/>
      </c>
    </row>
    <row r="1465" ht="38" customHeight="1">
      <c r="A1465" s="146" t="inlineStr">
        <is>
          <t>BONUS-L1-TRIAL-3FOR2</t>
        </is>
      </c>
      <c r="B1465" s="39" t="inlineStr">
        <is>
          <t>1 уровень</t>
        </is>
      </c>
      <c r="C1465" s="34" t="inlineStr">
        <is>
          <t>Призы не на абонементы</t>
        </is>
      </c>
      <c r="D1465" s="34" t="inlineStr">
        <is>
          <t>Апгрейд: 3 пробных занятия по цене 2</t>
        </is>
      </c>
      <c r="E1465" s="34" t="inlineStr">
        <is>
          <t>Оплата двух пробных занятий дает право посетить три</t>
        </is>
      </c>
      <c r="F1465" s="147" t="inlineStr">
        <is>
          <t>FW-L1-TW996-F3TF8</t>
        </is>
      </c>
      <c r="G1465" s="39" t="inlineStr">
        <is>
          <t>Не использован</t>
        </is>
      </c>
      <c r="H1465" s="148" t="n"/>
      <c r="I1465" s="34" t="str"/>
      <c r="J1465" s="34" t="str"/>
      <c r="K1465" s="130" t="n">
        <v>58</v>
      </c>
      <c r="L1465" s="43">
        <f>IF(COUNTIF($F$5:$F$2407,F1465)=1,"OK","Дубликат")</f>
        <v/>
      </c>
    </row>
    <row r="1466" ht="38" customHeight="1">
      <c r="A1466" s="146" t="inlineStr">
        <is>
          <t>BONUS-L1-TRIAL-3FOR2</t>
        </is>
      </c>
      <c r="B1466" s="39" t="inlineStr">
        <is>
          <t>1 уровень</t>
        </is>
      </c>
      <c r="C1466" s="34" t="inlineStr">
        <is>
          <t>Призы не на абонементы</t>
        </is>
      </c>
      <c r="D1466" s="34" t="inlineStr">
        <is>
          <t>Апгрейд: 3 пробных занятия по цене 2</t>
        </is>
      </c>
      <c r="E1466" s="34" t="inlineStr">
        <is>
          <t>Оплата двух пробных занятий дает право посетить три</t>
        </is>
      </c>
      <c r="F1466" s="147" t="inlineStr">
        <is>
          <t>FW-L1-4VYVX-FKUVD</t>
        </is>
      </c>
      <c r="G1466" s="39" t="inlineStr">
        <is>
          <t>Не использован</t>
        </is>
      </c>
      <c r="H1466" s="148" t="n"/>
      <c r="I1466" s="34" t="str"/>
      <c r="J1466" s="34" t="str"/>
      <c r="K1466" s="130" t="n">
        <v>59</v>
      </c>
      <c r="L1466" s="43">
        <f>IF(COUNTIF($F$5:$F$2407,F1466)=1,"OK","Дубликат")</f>
        <v/>
      </c>
    </row>
    <row r="1467" ht="38" customHeight="1">
      <c r="A1467" s="146" t="inlineStr">
        <is>
          <t>BONUS-L1-TRIAL-3FOR2</t>
        </is>
      </c>
      <c r="B1467" s="39" t="inlineStr">
        <is>
          <t>1 уровень</t>
        </is>
      </c>
      <c r="C1467" s="34" t="inlineStr">
        <is>
          <t>Призы не на абонементы</t>
        </is>
      </c>
      <c r="D1467" s="34" t="inlineStr">
        <is>
          <t>Апгрейд: 3 пробных занятия по цене 2</t>
        </is>
      </c>
      <c r="E1467" s="34" t="inlineStr">
        <is>
          <t>Оплата двух пробных занятий дает право посетить три</t>
        </is>
      </c>
      <c r="F1467" s="147" t="inlineStr">
        <is>
          <t>FW-L1-EDBCF-YT2LD</t>
        </is>
      </c>
      <c r="G1467" s="39" t="inlineStr">
        <is>
          <t>Не использован</t>
        </is>
      </c>
      <c r="H1467" s="148" t="n"/>
      <c r="I1467" s="34" t="str"/>
      <c r="J1467" s="34" t="str"/>
      <c r="K1467" s="130" t="n">
        <v>60</v>
      </c>
      <c r="L1467" s="43">
        <f>IF(COUNTIF($F$5:$F$2407,F1467)=1,"OK","Дубликат")</f>
        <v/>
      </c>
    </row>
    <row r="1468" ht="38" customHeight="1">
      <c r="A1468" s="146" t="inlineStr">
        <is>
          <t>BONUS-L1-TRIAL-3FOR2</t>
        </is>
      </c>
      <c r="B1468" s="39" t="inlineStr">
        <is>
          <t>1 уровень</t>
        </is>
      </c>
      <c r="C1468" s="34" t="inlineStr">
        <is>
          <t>Призы не на абонементы</t>
        </is>
      </c>
      <c r="D1468" s="34" t="inlineStr">
        <is>
          <t>Апгрейд: 3 пробных занятия по цене 2</t>
        </is>
      </c>
      <c r="E1468" s="34" t="inlineStr">
        <is>
          <t>Оплата двух пробных занятий дает право посетить три</t>
        </is>
      </c>
      <c r="F1468" s="147" t="inlineStr">
        <is>
          <t>FW-L1-ZMSGQ-P7WQW</t>
        </is>
      </c>
      <c r="G1468" s="39" t="inlineStr">
        <is>
          <t>Не использован</t>
        </is>
      </c>
      <c r="H1468" s="148" t="n"/>
      <c r="I1468" s="34" t="str"/>
      <c r="J1468" s="34" t="str"/>
      <c r="K1468" s="130" t="n">
        <v>61</v>
      </c>
      <c r="L1468" s="43">
        <f>IF(COUNTIF($F$5:$F$2407,F1468)=1,"OK","Дубликат")</f>
        <v/>
      </c>
    </row>
    <row r="1469" ht="38" customHeight="1">
      <c r="A1469" s="146" t="inlineStr">
        <is>
          <t>BONUS-L1-TRIAL-3FOR2</t>
        </is>
      </c>
      <c r="B1469" s="39" t="inlineStr">
        <is>
          <t>1 уровень</t>
        </is>
      </c>
      <c r="C1469" s="34" t="inlineStr">
        <is>
          <t>Призы не на абонементы</t>
        </is>
      </c>
      <c r="D1469" s="34" t="inlineStr">
        <is>
          <t>Апгрейд: 3 пробных занятия по цене 2</t>
        </is>
      </c>
      <c r="E1469" s="34" t="inlineStr">
        <is>
          <t>Оплата двух пробных занятий дает право посетить три</t>
        </is>
      </c>
      <c r="F1469" s="147" t="inlineStr">
        <is>
          <t>FW-L1-X9VF3-GQP5P</t>
        </is>
      </c>
      <c r="G1469" s="39" t="inlineStr">
        <is>
          <t>Не использован</t>
        </is>
      </c>
      <c r="H1469" s="148" t="n"/>
      <c r="I1469" s="34" t="str"/>
      <c r="J1469" s="34" t="str"/>
      <c r="K1469" s="130" t="n">
        <v>62</v>
      </c>
      <c r="L1469" s="43">
        <f>IF(COUNTIF($F$5:$F$2407,F1469)=1,"OK","Дубликат")</f>
        <v/>
      </c>
    </row>
    <row r="1470" ht="38" customHeight="1">
      <c r="A1470" s="146" t="inlineStr">
        <is>
          <t>BONUS-L1-TRIAL-3FOR2</t>
        </is>
      </c>
      <c r="B1470" s="39" t="inlineStr">
        <is>
          <t>1 уровень</t>
        </is>
      </c>
      <c r="C1470" s="34" t="inlineStr">
        <is>
          <t>Призы не на абонементы</t>
        </is>
      </c>
      <c r="D1470" s="34" t="inlineStr">
        <is>
          <t>Апгрейд: 3 пробных занятия по цене 2</t>
        </is>
      </c>
      <c r="E1470" s="34" t="inlineStr">
        <is>
          <t>Оплата двух пробных занятий дает право посетить три</t>
        </is>
      </c>
      <c r="F1470" s="147" t="inlineStr">
        <is>
          <t>FW-L1-9ENMT-4WSRK</t>
        </is>
      </c>
      <c r="G1470" s="39" t="inlineStr">
        <is>
          <t>Не использован</t>
        </is>
      </c>
      <c r="H1470" s="148" t="n"/>
      <c r="I1470" s="34" t="str"/>
      <c r="J1470" s="34" t="str"/>
      <c r="K1470" s="130" t="n">
        <v>63</v>
      </c>
      <c r="L1470" s="43">
        <f>IF(COUNTIF($F$5:$F$2407,F1470)=1,"OK","Дубликат")</f>
        <v/>
      </c>
    </row>
    <row r="1471" ht="38" customHeight="1">
      <c r="A1471" s="146" t="inlineStr">
        <is>
          <t>BONUS-L1-TRIAL-3FOR2</t>
        </is>
      </c>
      <c r="B1471" s="39" t="inlineStr">
        <is>
          <t>1 уровень</t>
        </is>
      </c>
      <c r="C1471" s="34" t="inlineStr">
        <is>
          <t>Призы не на абонементы</t>
        </is>
      </c>
      <c r="D1471" s="34" t="inlineStr">
        <is>
          <t>Апгрейд: 3 пробных занятия по цене 2</t>
        </is>
      </c>
      <c r="E1471" s="34" t="inlineStr">
        <is>
          <t>Оплата двух пробных занятий дает право посетить три</t>
        </is>
      </c>
      <c r="F1471" s="147" t="inlineStr">
        <is>
          <t>FW-L1-KEJTR-F3AV3</t>
        </is>
      </c>
      <c r="G1471" s="39" t="inlineStr">
        <is>
          <t>Не использован</t>
        </is>
      </c>
      <c r="H1471" s="148" t="n"/>
      <c r="I1471" s="34" t="str"/>
      <c r="J1471" s="34" t="str"/>
      <c r="K1471" s="130" t="n">
        <v>64</v>
      </c>
      <c r="L1471" s="43">
        <f>IF(COUNTIF($F$5:$F$2407,F1471)=1,"OK","Дубликат")</f>
        <v/>
      </c>
    </row>
    <row r="1472" ht="38" customHeight="1">
      <c r="A1472" s="146" t="inlineStr">
        <is>
          <t>BONUS-L1-TRIAL-3FOR2</t>
        </is>
      </c>
      <c r="B1472" s="39" t="inlineStr">
        <is>
          <t>1 уровень</t>
        </is>
      </c>
      <c r="C1472" s="34" t="inlineStr">
        <is>
          <t>Призы не на абонементы</t>
        </is>
      </c>
      <c r="D1472" s="34" t="inlineStr">
        <is>
          <t>Апгрейд: 3 пробных занятия по цене 2</t>
        </is>
      </c>
      <c r="E1472" s="34" t="inlineStr">
        <is>
          <t>Оплата двух пробных занятий дает право посетить три</t>
        </is>
      </c>
      <c r="F1472" s="147" t="inlineStr">
        <is>
          <t>FW-L1-YQNHH-CZP7K</t>
        </is>
      </c>
      <c r="G1472" s="39" t="inlineStr">
        <is>
          <t>Не использован</t>
        </is>
      </c>
      <c r="H1472" s="148" t="n"/>
      <c r="I1472" s="34" t="str"/>
      <c r="J1472" s="34" t="str"/>
      <c r="K1472" s="130" t="n">
        <v>65</v>
      </c>
      <c r="L1472" s="43">
        <f>IF(COUNTIF($F$5:$F$2407,F1472)=1,"OK","Дубликат")</f>
        <v/>
      </c>
    </row>
    <row r="1473" ht="38" customHeight="1">
      <c r="A1473" s="146" t="inlineStr">
        <is>
          <t>BONUS-L1-TRIAL-3FOR2</t>
        </is>
      </c>
      <c r="B1473" s="39" t="inlineStr">
        <is>
          <t>1 уровень</t>
        </is>
      </c>
      <c r="C1473" s="34" t="inlineStr">
        <is>
          <t>Призы не на абонементы</t>
        </is>
      </c>
      <c r="D1473" s="34" t="inlineStr">
        <is>
          <t>Апгрейд: 3 пробных занятия по цене 2</t>
        </is>
      </c>
      <c r="E1473" s="34" t="inlineStr">
        <is>
          <t>Оплата двух пробных занятий дает право посетить три</t>
        </is>
      </c>
      <c r="F1473" s="147" t="inlineStr">
        <is>
          <t>FW-L1-K3VDJ-9HBWG</t>
        </is>
      </c>
      <c r="G1473" s="39" t="inlineStr">
        <is>
          <t>Не использован</t>
        </is>
      </c>
      <c r="H1473" s="148" t="n"/>
      <c r="I1473" s="34" t="str"/>
      <c r="J1473" s="34" t="str"/>
      <c r="K1473" s="130" t="n">
        <v>66</v>
      </c>
      <c r="L1473" s="43">
        <f>IF(COUNTIF($F$5:$F$2407,F1473)=1,"OK","Дубликат")</f>
        <v/>
      </c>
    </row>
    <row r="1474" ht="38" customHeight="1">
      <c r="A1474" s="146" t="inlineStr">
        <is>
          <t>BONUS-L1-TRIAL-3FOR2</t>
        </is>
      </c>
      <c r="B1474" s="39" t="inlineStr">
        <is>
          <t>1 уровень</t>
        </is>
      </c>
      <c r="C1474" s="34" t="inlineStr">
        <is>
          <t>Призы не на абонементы</t>
        </is>
      </c>
      <c r="D1474" s="34" t="inlineStr">
        <is>
          <t>Апгрейд: 3 пробных занятия по цене 2</t>
        </is>
      </c>
      <c r="E1474" s="34" t="inlineStr">
        <is>
          <t>Оплата двух пробных занятий дает право посетить три</t>
        </is>
      </c>
      <c r="F1474" s="147" t="inlineStr">
        <is>
          <t>FW-L1-Z8UY2-6X6E6</t>
        </is>
      </c>
      <c r="G1474" s="39" t="inlineStr">
        <is>
          <t>Не использован</t>
        </is>
      </c>
      <c r="H1474" s="148" t="n"/>
      <c r="I1474" s="34" t="str"/>
      <c r="J1474" s="34" t="str"/>
      <c r="K1474" s="130" t="n">
        <v>67</v>
      </c>
      <c r="L1474" s="43">
        <f>IF(COUNTIF($F$5:$F$2407,F1474)=1,"OK","Дубликат")</f>
        <v/>
      </c>
    </row>
    <row r="1475" ht="38" customHeight="1">
      <c r="A1475" s="146" t="inlineStr">
        <is>
          <t>BONUS-L1-TRIAL-3FOR2</t>
        </is>
      </c>
      <c r="B1475" s="39" t="inlineStr">
        <is>
          <t>1 уровень</t>
        </is>
      </c>
      <c r="C1475" s="34" t="inlineStr">
        <is>
          <t>Призы не на абонементы</t>
        </is>
      </c>
      <c r="D1475" s="34" t="inlineStr">
        <is>
          <t>Апгрейд: 3 пробных занятия по цене 2</t>
        </is>
      </c>
      <c r="E1475" s="34" t="inlineStr">
        <is>
          <t>Оплата двух пробных занятий дает право посетить три</t>
        </is>
      </c>
      <c r="F1475" s="147" t="inlineStr">
        <is>
          <t>FW-L1-VA7K6-TRX9D</t>
        </is>
      </c>
      <c r="G1475" s="39" t="inlineStr">
        <is>
          <t>Не использован</t>
        </is>
      </c>
      <c r="H1475" s="148" t="n"/>
      <c r="I1475" s="34" t="str"/>
      <c r="J1475" s="34" t="str"/>
      <c r="K1475" s="130" t="n">
        <v>68</v>
      </c>
      <c r="L1475" s="43">
        <f>IF(COUNTIF($F$5:$F$2407,F1475)=1,"OK","Дубликат")</f>
        <v/>
      </c>
    </row>
    <row r="1476" ht="38" customHeight="1">
      <c r="A1476" s="146" t="inlineStr">
        <is>
          <t>BONUS-L1-TRIAL-3FOR2</t>
        </is>
      </c>
      <c r="B1476" s="39" t="inlineStr">
        <is>
          <t>1 уровень</t>
        </is>
      </c>
      <c r="C1476" s="34" t="inlineStr">
        <is>
          <t>Призы не на абонементы</t>
        </is>
      </c>
      <c r="D1476" s="34" t="inlineStr">
        <is>
          <t>Апгрейд: 3 пробных занятия по цене 2</t>
        </is>
      </c>
      <c r="E1476" s="34" t="inlineStr">
        <is>
          <t>Оплата двух пробных занятий дает право посетить три</t>
        </is>
      </c>
      <c r="F1476" s="147" t="inlineStr">
        <is>
          <t>FW-L1-GKU4U-NXY86</t>
        </is>
      </c>
      <c r="G1476" s="39" t="inlineStr">
        <is>
          <t>Не использован</t>
        </is>
      </c>
      <c r="H1476" s="148" t="n"/>
      <c r="I1476" s="34" t="str"/>
      <c r="J1476" s="34" t="str"/>
      <c r="K1476" s="130" t="n">
        <v>69</v>
      </c>
      <c r="L1476" s="43">
        <f>IF(COUNTIF($F$5:$F$2407,F1476)=1,"OK","Дубликат")</f>
        <v/>
      </c>
    </row>
    <row r="1477" ht="38" customHeight="1">
      <c r="A1477" s="146" t="inlineStr">
        <is>
          <t>BONUS-L1-TRIAL-3FOR2</t>
        </is>
      </c>
      <c r="B1477" s="39" t="inlineStr">
        <is>
          <t>1 уровень</t>
        </is>
      </c>
      <c r="C1477" s="34" t="inlineStr">
        <is>
          <t>Призы не на абонементы</t>
        </is>
      </c>
      <c r="D1477" s="34" t="inlineStr">
        <is>
          <t>Апгрейд: 3 пробных занятия по цене 2</t>
        </is>
      </c>
      <c r="E1477" s="34" t="inlineStr">
        <is>
          <t>Оплата двух пробных занятий дает право посетить три</t>
        </is>
      </c>
      <c r="F1477" s="147" t="inlineStr">
        <is>
          <t>FW-L1-KYCDZ-EVNV6</t>
        </is>
      </c>
      <c r="G1477" s="39" t="inlineStr">
        <is>
          <t>Не использован</t>
        </is>
      </c>
      <c r="H1477" s="148" t="n"/>
      <c r="I1477" s="34" t="str"/>
      <c r="J1477" s="34" t="str"/>
      <c r="K1477" s="130" t="n">
        <v>70</v>
      </c>
      <c r="L1477" s="43">
        <f>IF(COUNTIF($F$5:$F$2407,F1477)=1,"OK","Дубликат")</f>
        <v/>
      </c>
    </row>
    <row r="1478" ht="38" customHeight="1">
      <c r="A1478" s="146" t="inlineStr">
        <is>
          <t>BONUS-L1-TRIAL-3FOR2</t>
        </is>
      </c>
      <c r="B1478" s="39" t="inlineStr">
        <is>
          <t>1 уровень</t>
        </is>
      </c>
      <c r="C1478" s="34" t="inlineStr">
        <is>
          <t>Призы не на абонементы</t>
        </is>
      </c>
      <c r="D1478" s="34" t="inlineStr">
        <is>
          <t>Апгрейд: 3 пробных занятия по цене 2</t>
        </is>
      </c>
      <c r="E1478" s="34" t="inlineStr">
        <is>
          <t>Оплата двух пробных занятий дает право посетить три</t>
        </is>
      </c>
      <c r="F1478" s="147" t="inlineStr">
        <is>
          <t>FW-L1-Q84NR-5U8ZE</t>
        </is>
      </c>
      <c r="G1478" s="39" t="inlineStr">
        <is>
          <t>Не использован</t>
        </is>
      </c>
      <c r="H1478" s="148" t="n"/>
      <c r="I1478" s="34" t="str"/>
      <c r="J1478" s="34" t="str"/>
      <c r="K1478" s="130" t="n">
        <v>71</v>
      </c>
      <c r="L1478" s="43">
        <f>IF(COUNTIF($F$5:$F$2407,F1478)=1,"OK","Дубликат")</f>
        <v/>
      </c>
    </row>
    <row r="1479" ht="38" customHeight="1">
      <c r="A1479" s="146" t="inlineStr">
        <is>
          <t>BONUS-L1-TRIAL-3FOR2</t>
        </is>
      </c>
      <c r="B1479" s="39" t="inlineStr">
        <is>
          <t>1 уровень</t>
        </is>
      </c>
      <c r="C1479" s="34" t="inlineStr">
        <is>
          <t>Призы не на абонементы</t>
        </is>
      </c>
      <c r="D1479" s="34" t="inlineStr">
        <is>
          <t>Апгрейд: 3 пробных занятия по цене 2</t>
        </is>
      </c>
      <c r="E1479" s="34" t="inlineStr">
        <is>
          <t>Оплата двух пробных занятий дает право посетить три</t>
        </is>
      </c>
      <c r="F1479" s="147" t="inlineStr">
        <is>
          <t>FW-L1-AC9RS-K2XF5</t>
        </is>
      </c>
      <c r="G1479" s="39" t="inlineStr">
        <is>
          <t>Не использован</t>
        </is>
      </c>
      <c r="H1479" s="148" t="n"/>
      <c r="I1479" s="34" t="str"/>
      <c r="J1479" s="34" t="str"/>
      <c r="K1479" s="130" t="n">
        <v>72</v>
      </c>
      <c r="L1479" s="43">
        <f>IF(COUNTIF($F$5:$F$2407,F1479)=1,"OK","Дубликат")</f>
        <v/>
      </c>
    </row>
    <row r="1480" ht="38" customHeight="1">
      <c r="A1480" s="146" t="inlineStr">
        <is>
          <t>BONUS-L1-TRIAL-3FOR2</t>
        </is>
      </c>
      <c r="B1480" s="39" t="inlineStr">
        <is>
          <t>1 уровень</t>
        </is>
      </c>
      <c r="C1480" s="34" t="inlineStr">
        <is>
          <t>Призы не на абонементы</t>
        </is>
      </c>
      <c r="D1480" s="34" t="inlineStr">
        <is>
          <t>Апгрейд: 3 пробных занятия по цене 2</t>
        </is>
      </c>
      <c r="E1480" s="34" t="inlineStr">
        <is>
          <t>Оплата двух пробных занятий дает право посетить три</t>
        </is>
      </c>
      <c r="F1480" s="147" t="inlineStr">
        <is>
          <t>FW-L1-FTR7B-365X4</t>
        </is>
      </c>
      <c r="G1480" s="39" t="inlineStr">
        <is>
          <t>Не использован</t>
        </is>
      </c>
      <c r="H1480" s="148" t="n"/>
      <c r="I1480" s="34" t="str"/>
      <c r="J1480" s="34" t="str"/>
      <c r="K1480" s="130" t="n">
        <v>73</v>
      </c>
      <c r="L1480" s="43">
        <f>IF(COUNTIF($F$5:$F$2407,F1480)=1,"OK","Дубликат")</f>
        <v/>
      </c>
    </row>
    <row r="1481" ht="38" customHeight="1">
      <c r="A1481" s="146" t="inlineStr">
        <is>
          <t>BONUS-L1-TRIAL-3FOR2</t>
        </is>
      </c>
      <c r="B1481" s="39" t="inlineStr">
        <is>
          <t>1 уровень</t>
        </is>
      </c>
      <c r="C1481" s="34" t="inlineStr">
        <is>
          <t>Призы не на абонементы</t>
        </is>
      </c>
      <c r="D1481" s="34" t="inlineStr">
        <is>
          <t>Апгрейд: 3 пробных занятия по цене 2</t>
        </is>
      </c>
      <c r="E1481" s="34" t="inlineStr">
        <is>
          <t>Оплата двух пробных занятий дает право посетить три</t>
        </is>
      </c>
      <c r="F1481" s="147" t="inlineStr">
        <is>
          <t>FW-L1-H9MAS-78BCZ</t>
        </is>
      </c>
      <c r="G1481" s="39" t="inlineStr">
        <is>
          <t>Не использован</t>
        </is>
      </c>
      <c r="H1481" s="148" t="n"/>
      <c r="I1481" s="34" t="str"/>
      <c r="J1481" s="34" t="str"/>
      <c r="K1481" s="130" t="n">
        <v>74</v>
      </c>
      <c r="L1481" s="43">
        <f>IF(COUNTIF($F$5:$F$2407,F1481)=1,"OK","Дубликат")</f>
        <v/>
      </c>
    </row>
    <row r="1482" ht="38" customHeight="1">
      <c r="A1482" s="146" t="inlineStr">
        <is>
          <t>BONUS-L1-TRIAL-3FOR2</t>
        </is>
      </c>
      <c r="B1482" s="39" t="inlineStr">
        <is>
          <t>1 уровень</t>
        </is>
      </c>
      <c r="C1482" s="34" t="inlineStr">
        <is>
          <t>Призы не на абонементы</t>
        </is>
      </c>
      <c r="D1482" s="34" t="inlineStr">
        <is>
          <t>Апгрейд: 3 пробных занятия по цене 2</t>
        </is>
      </c>
      <c r="E1482" s="34" t="inlineStr">
        <is>
          <t>Оплата двух пробных занятий дает право посетить три</t>
        </is>
      </c>
      <c r="F1482" s="147" t="inlineStr">
        <is>
          <t>FW-L1-W84YN-ELWTM</t>
        </is>
      </c>
      <c r="G1482" s="39" t="inlineStr">
        <is>
          <t>Не использован</t>
        </is>
      </c>
      <c r="H1482" s="148" t="n"/>
      <c r="I1482" s="34" t="str"/>
      <c r="J1482" s="34" t="str"/>
      <c r="K1482" s="130" t="n">
        <v>75</v>
      </c>
      <c r="L1482" s="43">
        <f>IF(COUNTIF($F$5:$F$2407,F1482)=1,"OK","Дубликат")</f>
        <v/>
      </c>
    </row>
    <row r="1483" ht="38" customHeight="1">
      <c r="A1483" s="146" t="inlineStr">
        <is>
          <t>BONUS-L1-TRIAL-3FOR2</t>
        </is>
      </c>
      <c r="B1483" s="39" t="inlineStr">
        <is>
          <t>1 уровень</t>
        </is>
      </c>
      <c r="C1483" s="34" t="inlineStr">
        <is>
          <t>Призы не на абонементы</t>
        </is>
      </c>
      <c r="D1483" s="34" t="inlineStr">
        <is>
          <t>Апгрейд: 3 пробных занятия по цене 2</t>
        </is>
      </c>
      <c r="E1483" s="34" t="inlineStr">
        <is>
          <t>Оплата двух пробных занятий дает право посетить три</t>
        </is>
      </c>
      <c r="F1483" s="147" t="inlineStr">
        <is>
          <t>FW-L1-KZ8WX-YHZWM</t>
        </is>
      </c>
      <c r="G1483" s="39" t="inlineStr">
        <is>
          <t>Не использован</t>
        </is>
      </c>
      <c r="H1483" s="148" t="n"/>
      <c r="I1483" s="34" t="str"/>
      <c r="J1483" s="34" t="str"/>
      <c r="K1483" s="130" t="n">
        <v>76</v>
      </c>
      <c r="L1483" s="43">
        <f>IF(COUNTIF($F$5:$F$2407,F1483)=1,"OK","Дубликат")</f>
        <v/>
      </c>
    </row>
    <row r="1484" ht="38" customHeight="1">
      <c r="A1484" s="146" t="inlineStr">
        <is>
          <t>BONUS-L1-TRIAL-3FOR2</t>
        </is>
      </c>
      <c r="B1484" s="39" t="inlineStr">
        <is>
          <t>1 уровень</t>
        </is>
      </c>
      <c r="C1484" s="34" t="inlineStr">
        <is>
          <t>Призы не на абонементы</t>
        </is>
      </c>
      <c r="D1484" s="34" t="inlineStr">
        <is>
          <t>Апгрейд: 3 пробных занятия по цене 2</t>
        </is>
      </c>
      <c r="E1484" s="34" t="inlineStr">
        <is>
          <t>Оплата двух пробных занятий дает право посетить три</t>
        </is>
      </c>
      <c r="F1484" s="147" t="inlineStr">
        <is>
          <t>FW-L1-5ASGY-L5BXW</t>
        </is>
      </c>
      <c r="G1484" s="39" t="inlineStr">
        <is>
          <t>Не использован</t>
        </is>
      </c>
      <c r="H1484" s="148" t="n"/>
      <c r="I1484" s="34" t="str"/>
      <c r="J1484" s="34" t="str"/>
      <c r="K1484" s="130" t="n">
        <v>77</v>
      </c>
      <c r="L1484" s="43">
        <f>IF(COUNTIF($F$5:$F$2407,F1484)=1,"OK","Дубликат")</f>
        <v/>
      </c>
    </row>
    <row r="1485" ht="38" customHeight="1">
      <c r="A1485" s="146" t="inlineStr">
        <is>
          <t>BONUS-L1-TRIAL-3FOR2</t>
        </is>
      </c>
      <c r="B1485" s="39" t="inlineStr">
        <is>
          <t>1 уровень</t>
        </is>
      </c>
      <c r="C1485" s="34" t="inlineStr">
        <is>
          <t>Призы не на абонементы</t>
        </is>
      </c>
      <c r="D1485" s="34" t="inlineStr">
        <is>
          <t>Апгрейд: 3 пробных занятия по цене 2</t>
        </is>
      </c>
      <c r="E1485" s="34" t="inlineStr">
        <is>
          <t>Оплата двух пробных занятий дает право посетить три</t>
        </is>
      </c>
      <c r="F1485" s="147" t="inlineStr">
        <is>
          <t>FW-L1-5ESKB-UMVEH</t>
        </is>
      </c>
      <c r="G1485" s="39" t="inlineStr">
        <is>
          <t>Не использован</t>
        </is>
      </c>
      <c r="H1485" s="148" t="n"/>
      <c r="I1485" s="34" t="str"/>
      <c r="J1485" s="34" t="str"/>
      <c r="K1485" s="130" t="n">
        <v>78</v>
      </c>
      <c r="L1485" s="43">
        <f>IF(COUNTIF($F$5:$F$2407,F1485)=1,"OK","Дубликат")</f>
        <v/>
      </c>
    </row>
    <row r="1486" ht="38" customHeight="1">
      <c r="A1486" s="146" t="inlineStr">
        <is>
          <t>BONUS-L1-TRIAL-3FOR2</t>
        </is>
      </c>
      <c r="B1486" s="39" t="inlineStr">
        <is>
          <t>1 уровень</t>
        </is>
      </c>
      <c r="C1486" s="34" t="inlineStr">
        <is>
          <t>Призы не на абонементы</t>
        </is>
      </c>
      <c r="D1486" s="34" t="inlineStr">
        <is>
          <t>Апгрейд: 3 пробных занятия по цене 2</t>
        </is>
      </c>
      <c r="E1486" s="34" t="inlineStr">
        <is>
          <t>Оплата двух пробных занятий дает право посетить три</t>
        </is>
      </c>
      <c r="F1486" s="147" t="inlineStr">
        <is>
          <t>FW-L1-TWGMB-QCQY8</t>
        </is>
      </c>
      <c r="G1486" s="39" t="inlineStr">
        <is>
          <t>Не использован</t>
        </is>
      </c>
      <c r="H1486" s="148" t="n"/>
      <c r="I1486" s="34" t="str"/>
      <c r="J1486" s="34" t="str"/>
      <c r="K1486" s="130" t="n">
        <v>79</v>
      </c>
      <c r="L1486" s="43">
        <f>IF(COUNTIF($F$5:$F$2407,F1486)=1,"OK","Дубликат")</f>
        <v/>
      </c>
    </row>
    <row r="1487" ht="38" customHeight="1">
      <c r="A1487" s="146" t="inlineStr">
        <is>
          <t>BONUS-L1-TRIAL-3FOR2</t>
        </is>
      </c>
      <c r="B1487" s="39" t="inlineStr">
        <is>
          <t>1 уровень</t>
        </is>
      </c>
      <c r="C1487" s="34" t="inlineStr">
        <is>
          <t>Призы не на абонементы</t>
        </is>
      </c>
      <c r="D1487" s="34" t="inlineStr">
        <is>
          <t>Апгрейд: 3 пробных занятия по цене 2</t>
        </is>
      </c>
      <c r="E1487" s="34" t="inlineStr">
        <is>
          <t>Оплата двух пробных занятий дает право посетить три</t>
        </is>
      </c>
      <c r="F1487" s="147" t="inlineStr">
        <is>
          <t>FW-L1-BP3BS-23R7Z</t>
        </is>
      </c>
      <c r="G1487" s="39" t="inlineStr">
        <is>
          <t>Не использован</t>
        </is>
      </c>
      <c r="H1487" s="148" t="n"/>
      <c r="I1487" s="34" t="str"/>
      <c r="J1487" s="34" t="str"/>
      <c r="K1487" s="130" t="n">
        <v>80</v>
      </c>
      <c r="L1487" s="43">
        <f>IF(COUNTIF($F$5:$F$2407,F1487)=1,"OK","Дубликат")</f>
        <v/>
      </c>
    </row>
    <row r="1488" ht="38" customHeight="1">
      <c r="A1488" s="146" t="inlineStr">
        <is>
          <t>BONUS-L1-TRIAL-3FOR2</t>
        </is>
      </c>
      <c r="B1488" s="39" t="inlineStr">
        <is>
          <t>1 уровень</t>
        </is>
      </c>
      <c r="C1488" s="34" t="inlineStr">
        <is>
          <t>Призы не на абонементы</t>
        </is>
      </c>
      <c r="D1488" s="34" t="inlineStr">
        <is>
          <t>Апгрейд: 3 пробных занятия по цене 2</t>
        </is>
      </c>
      <c r="E1488" s="34" t="inlineStr">
        <is>
          <t>Оплата двух пробных занятий дает право посетить три</t>
        </is>
      </c>
      <c r="F1488" s="147" t="inlineStr">
        <is>
          <t>FW-L1-Q2J3U-HJNGL</t>
        </is>
      </c>
      <c r="G1488" s="39" t="inlineStr">
        <is>
          <t>Не использован</t>
        </is>
      </c>
      <c r="H1488" s="148" t="n"/>
      <c r="I1488" s="34" t="str"/>
      <c r="J1488" s="34" t="str"/>
      <c r="K1488" s="130" t="n">
        <v>81</v>
      </c>
      <c r="L1488" s="43">
        <f>IF(COUNTIF($F$5:$F$2407,F1488)=1,"OK","Дубликат")</f>
        <v/>
      </c>
    </row>
    <row r="1489" ht="38" customHeight="1">
      <c r="A1489" s="146" t="inlineStr">
        <is>
          <t>BONUS-L1-TRIAL-3FOR2</t>
        </is>
      </c>
      <c r="B1489" s="39" t="inlineStr">
        <is>
          <t>1 уровень</t>
        </is>
      </c>
      <c r="C1489" s="34" t="inlineStr">
        <is>
          <t>Призы не на абонементы</t>
        </is>
      </c>
      <c r="D1489" s="34" t="inlineStr">
        <is>
          <t>Апгрейд: 3 пробных занятия по цене 2</t>
        </is>
      </c>
      <c r="E1489" s="34" t="inlineStr">
        <is>
          <t>Оплата двух пробных занятий дает право посетить три</t>
        </is>
      </c>
      <c r="F1489" s="147" t="inlineStr">
        <is>
          <t>FW-L1-SCGTM-KG7BS</t>
        </is>
      </c>
      <c r="G1489" s="39" t="inlineStr">
        <is>
          <t>Не использован</t>
        </is>
      </c>
      <c r="H1489" s="148" t="n"/>
      <c r="I1489" s="34" t="str"/>
      <c r="J1489" s="34" t="str"/>
      <c r="K1489" s="130" t="n">
        <v>82</v>
      </c>
      <c r="L1489" s="43">
        <f>IF(COUNTIF($F$5:$F$2407,F1489)=1,"OK","Дубликат")</f>
        <v/>
      </c>
    </row>
    <row r="1490" ht="38" customHeight="1">
      <c r="A1490" s="146" t="inlineStr">
        <is>
          <t>BONUS-L1-TRIAL-3FOR2</t>
        </is>
      </c>
      <c r="B1490" s="39" t="inlineStr">
        <is>
          <t>1 уровень</t>
        </is>
      </c>
      <c r="C1490" s="34" t="inlineStr">
        <is>
          <t>Призы не на абонементы</t>
        </is>
      </c>
      <c r="D1490" s="34" t="inlineStr">
        <is>
          <t>Апгрейд: 3 пробных занятия по цене 2</t>
        </is>
      </c>
      <c r="E1490" s="34" t="inlineStr">
        <is>
          <t>Оплата двух пробных занятий дает право посетить три</t>
        </is>
      </c>
      <c r="F1490" s="147" t="inlineStr">
        <is>
          <t>FW-L1-2DH7V-W8S5Q</t>
        </is>
      </c>
      <c r="G1490" s="39" t="inlineStr">
        <is>
          <t>Не использован</t>
        </is>
      </c>
      <c r="H1490" s="148" t="n"/>
      <c r="I1490" s="34" t="str"/>
      <c r="J1490" s="34" t="str"/>
      <c r="K1490" s="130" t="n">
        <v>83</v>
      </c>
      <c r="L1490" s="43">
        <f>IF(COUNTIF($F$5:$F$2407,F1490)=1,"OK","Дубликат")</f>
        <v/>
      </c>
    </row>
    <row r="1491" ht="38" customHeight="1">
      <c r="A1491" s="146" t="inlineStr">
        <is>
          <t>BONUS-L1-TRIAL-3FOR2</t>
        </is>
      </c>
      <c r="B1491" s="39" t="inlineStr">
        <is>
          <t>1 уровень</t>
        </is>
      </c>
      <c r="C1491" s="34" t="inlineStr">
        <is>
          <t>Призы не на абонементы</t>
        </is>
      </c>
      <c r="D1491" s="34" t="inlineStr">
        <is>
          <t>Апгрейд: 3 пробных занятия по цене 2</t>
        </is>
      </c>
      <c r="E1491" s="34" t="inlineStr">
        <is>
          <t>Оплата двух пробных занятий дает право посетить три</t>
        </is>
      </c>
      <c r="F1491" s="147" t="inlineStr">
        <is>
          <t>FW-L1-MQVPE-B7HMK</t>
        </is>
      </c>
      <c r="G1491" s="39" t="inlineStr">
        <is>
          <t>Не использован</t>
        </is>
      </c>
      <c r="H1491" s="148" t="n"/>
      <c r="I1491" s="34" t="str"/>
      <c r="J1491" s="34" t="str"/>
      <c r="K1491" s="130" t="n">
        <v>84</v>
      </c>
      <c r="L1491" s="43">
        <f>IF(COUNTIF($F$5:$F$2407,F1491)=1,"OK","Дубликат")</f>
        <v/>
      </c>
    </row>
    <row r="1492" ht="38" customHeight="1">
      <c r="A1492" s="146" t="inlineStr">
        <is>
          <t>BONUS-L1-TRIAL-3FOR2</t>
        </is>
      </c>
      <c r="B1492" s="39" t="inlineStr">
        <is>
          <t>1 уровень</t>
        </is>
      </c>
      <c r="C1492" s="34" t="inlineStr">
        <is>
          <t>Призы не на абонементы</t>
        </is>
      </c>
      <c r="D1492" s="34" t="inlineStr">
        <is>
          <t>Апгрейд: 3 пробных занятия по цене 2</t>
        </is>
      </c>
      <c r="E1492" s="34" t="inlineStr">
        <is>
          <t>Оплата двух пробных занятий дает право посетить три</t>
        </is>
      </c>
      <c r="F1492" s="147" t="inlineStr">
        <is>
          <t>FW-L1-YW8T9-2JFW4</t>
        </is>
      </c>
      <c r="G1492" s="39" t="inlineStr">
        <is>
          <t>Не использован</t>
        </is>
      </c>
      <c r="H1492" s="148" t="n"/>
      <c r="I1492" s="34" t="str"/>
      <c r="J1492" s="34" t="str"/>
      <c r="K1492" s="130" t="n">
        <v>85</v>
      </c>
      <c r="L1492" s="43">
        <f>IF(COUNTIF($F$5:$F$2407,F1492)=1,"OK","Дубликат")</f>
        <v/>
      </c>
    </row>
    <row r="1493" ht="38" customHeight="1">
      <c r="A1493" s="146" t="inlineStr">
        <is>
          <t>BONUS-L1-TRIAL-3FOR2</t>
        </is>
      </c>
      <c r="B1493" s="39" t="inlineStr">
        <is>
          <t>1 уровень</t>
        </is>
      </c>
      <c r="C1493" s="34" t="inlineStr">
        <is>
          <t>Призы не на абонементы</t>
        </is>
      </c>
      <c r="D1493" s="34" t="inlineStr">
        <is>
          <t>Апгрейд: 3 пробных занятия по цене 2</t>
        </is>
      </c>
      <c r="E1493" s="34" t="inlineStr">
        <is>
          <t>Оплата двух пробных занятий дает право посетить три</t>
        </is>
      </c>
      <c r="F1493" s="147" t="inlineStr">
        <is>
          <t>FW-L1-K8UWG-Q9YPK</t>
        </is>
      </c>
      <c r="G1493" s="39" t="inlineStr">
        <is>
          <t>Не использован</t>
        </is>
      </c>
      <c r="H1493" s="148" t="n"/>
      <c r="I1493" s="34" t="str"/>
      <c r="J1493" s="34" t="str"/>
      <c r="K1493" s="130" t="n">
        <v>86</v>
      </c>
      <c r="L1493" s="43">
        <f>IF(COUNTIF($F$5:$F$2407,F1493)=1,"OK","Дубликат")</f>
        <v/>
      </c>
    </row>
    <row r="1494" ht="38" customHeight="1">
      <c r="A1494" s="146" t="inlineStr">
        <is>
          <t>BONUS-L1-TRIAL-3FOR2</t>
        </is>
      </c>
      <c r="B1494" s="39" t="inlineStr">
        <is>
          <t>1 уровень</t>
        </is>
      </c>
      <c r="C1494" s="34" t="inlineStr">
        <is>
          <t>Призы не на абонементы</t>
        </is>
      </c>
      <c r="D1494" s="34" t="inlineStr">
        <is>
          <t>Апгрейд: 3 пробных занятия по цене 2</t>
        </is>
      </c>
      <c r="E1494" s="34" t="inlineStr">
        <is>
          <t>Оплата двух пробных занятий дает право посетить три</t>
        </is>
      </c>
      <c r="F1494" s="147" t="inlineStr">
        <is>
          <t>FW-L1-CZ4R4-HUJQG</t>
        </is>
      </c>
      <c r="G1494" s="39" t="inlineStr">
        <is>
          <t>Не использован</t>
        </is>
      </c>
      <c r="H1494" s="148" t="n"/>
      <c r="I1494" s="34" t="str"/>
      <c r="J1494" s="34" t="str"/>
      <c r="K1494" s="130" t="n">
        <v>87</v>
      </c>
      <c r="L1494" s="43">
        <f>IF(COUNTIF($F$5:$F$2407,F1494)=1,"OK","Дубликат")</f>
        <v/>
      </c>
    </row>
    <row r="1495" ht="38" customHeight="1">
      <c r="A1495" s="146" t="inlineStr">
        <is>
          <t>BONUS-L1-TRIAL-3FOR2</t>
        </is>
      </c>
      <c r="B1495" s="39" t="inlineStr">
        <is>
          <t>1 уровень</t>
        </is>
      </c>
      <c r="C1495" s="34" t="inlineStr">
        <is>
          <t>Призы не на абонементы</t>
        </is>
      </c>
      <c r="D1495" s="34" t="inlineStr">
        <is>
          <t>Апгрейд: 3 пробных занятия по цене 2</t>
        </is>
      </c>
      <c r="E1495" s="34" t="inlineStr">
        <is>
          <t>Оплата двух пробных занятий дает право посетить три</t>
        </is>
      </c>
      <c r="F1495" s="147" t="inlineStr">
        <is>
          <t>FW-L1-JYQS2-W6YXQ</t>
        </is>
      </c>
      <c r="G1495" s="39" t="inlineStr">
        <is>
          <t>Не использован</t>
        </is>
      </c>
      <c r="H1495" s="148" t="n"/>
      <c r="I1495" s="34" t="str"/>
      <c r="J1495" s="34" t="str"/>
      <c r="K1495" s="130" t="n">
        <v>88</v>
      </c>
      <c r="L1495" s="43">
        <f>IF(COUNTIF($F$5:$F$2407,F1495)=1,"OK","Дубликат")</f>
        <v/>
      </c>
    </row>
    <row r="1496" ht="38" customHeight="1">
      <c r="A1496" s="146" t="inlineStr">
        <is>
          <t>BONUS-L1-TRIAL-3FOR2</t>
        </is>
      </c>
      <c r="B1496" s="39" t="inlineStr">
        <is>
          <t>1 уровень</t>
        </is>
      </c>
      <c r="C1496" s="34" t="inlineStr">
        <is>
          <t>Призы не на абонементы</t>
        </is>
      </c>
      <c r="D1496" s="34" t="inlineStr">
        <is>
          <t>Апгрейд: 3 пробных занятия по цене 2</t>
        </is>
      </c>
      <c r="E1496" s="34" t="inlineStr">
        <is>
          <t>Оплата двух пробных занятий дает право посетить три</t>
        </is>
      </c>
      <c r="F1496" s="147" t="inlineStr">
        <is>
          <t>FW-L1-89ZBV-BCRYJ</t>
        </is>
      </c>
      <c r="G1496" s="39" t="inlineStr">
        <is>
          <t>Не использован</t>
        </is>
      </c>
      <c r="H1496" s="148" t="n"/>
      <c r="I1496" s="34" t="str"/>
      <c r="J1496" s="34" t="str"/>
      <c r="K1496" s="130" t="n">
        <v>89</v>
      </c>
      <c r="L1496" s="43">
        <f>IF(COUNTIF($F$5:$F$2407,F1496)=1,"OK","Дубликат")</f>
        <v/>
      </c>
    </row>
    <row r="1497" ht="38" customHeight="1">
      <c r="A1497" s="146" t="inlineStr">
        <is>
          <t>BONUS-L1-TRIAL-3FOR2</t>
        </is>
      </c>
      <c r="B1497" s="39" t="inlineStr">
        <is>
          <t>1 уровень</t>
        </is>
      </c>
      <c r="C1497" s="34" t="inlineStr">
        <is>
          <t>Призы не на абонементы</t>
        </is>
      </c>
      <c r="D1497" s="34" t="inlineStr">
        <is>
          <t>Апгрейд: 3 пробных занятия по цене 2</t>
        </is>
      </c>
      <c r="E1497" s="34" t="inlineStr">
        <is>
          <t>Оплата двух пробных занятий дает право посетить три</t>
        </is>
      </c>
      <c r="F1497" s="147" t="inlineStr">
        <is>
          <t>FW-L1-2NCXV-LDJWT</t>
        </is>
      </c>
      <c r="G1497" s="39" t="inlineStr">
        <is>
          <t>Не использован</t>
        </is>
      </c>
      <c r="H1497" s="148" t="n"/>
      <c r="I1497" s="34" t="str"/>
      <c r="J1497" s="34" t="str"/>
      <c r="K1497" s="130" t="n">
        <v>90</v>
      </c>
      <c r="L1497" s="43">
        <f>IF(COUNTIF($F$5:$F$2407,F1497)=1,"OK","Дубликат")</f>
        <v/>
      </c>
    </row>
    <row r="1498" ht="38" customHeight="1">
      <c r="A1498" s="146" t="inlineStr">
        <is>
          <t>BONUS-L1-TRIAL-3FOR2</t>
        </is>
      </c>
      <c r="B1498" s="39" t="inlineStr">
        <is>
          <t>1 уровень</t>
        </is>
      </c>
      <c r="C1498" s="34" t="inlineStr">
        <is>
          <t>Призы не на абонементы</t>
        </is>
      </c>
      <c r="D1498" s="34" t="inlineStr">
        <is>
          <t>Апгрейд: 3 пробных занятия по цене 2</t>
        </is>
      </c>
      <c r="E1498" s="34" t="inlineStr">
        <is>
          <t>Оплата двух пробных занятий дает право посетить три</t>
        </is>
      </c>
      <c r="F1498" s="147" t="inlineStr">
        <is>
          <t>FW-L1-NSUKJ-UJBNK</t>
        </is>
      </c>
      <c r="G1498" s="39" t="inlineStr">
        <is>
          <t>Не использован</t>
        </is>
      </c>
      <c r="H1498" s="148" t="n"/>
      <c r="I1498" s="34" t="str"/>
      <c r="J1498" s="34" t="str"/>
      <c r="K1498" s="130" t="n">
        <v>91</v>
      </c>
      <c r="L1498" s="43">
        <f>IF(COUNTIF($F$5:$F$2407,F1498)=1,"OK","Дубликат")</f>
        <v/>
      </c>
    </row>
    <row r="1499" ht="38" customHeight="1">
      <c r="A1499" s="146" t="inlineStr">
        <is>
          <t>BONUS-L1-TRIAL-3FOR2</t>
        </is>
      </c>
      <c r="B1499" s="39" t="inlineStr">
        <is>
          <t>1 уровень</t>
        </is>
      </c>
      <c r="C1499" s="34" t="inlineStr">
        <is>
          <t>Призы не на абонементы</t>
        </is>
      </c>
      <c r="D1499" s="34" t="inlineStr">
        <is>
          <t>Апгрейд: 3 пробных занятия по цене 2</t>
        </is>
      </c>
      <c r="E1499" s="34" t="inlineStr">
        <is>
          <t>Оплата двух пробных занятий дает право посетить три</t>
        </is>
      </c>
      <c r="F1499" s="147" t="inlineStr">
        <is>
          <t>FW-L1-DJQ7N-EEDKP</t>
        </is>
      </c>
      <c r="G1499" s="39" t="inlineStr">
        <is>
          <t>Не использован</t>
        </is>
      </c>
      <c r="H1499" s="148" t="n"/>
      <c r="I1499" s="34" t="str"/>
      <c r="J1499" s="34" t="str"/>
      <c r="K1499" s="130" t="n">
        <v>92</v>
      </c>
      <c r="L1499" s="43">
        <f>IF(COUNTIF($F$5:$F$2407,F1499)=1,"OK","Дубликат")</f>
        <v/>
      </c>
    </row>
    <row r="1500" ht="38" customHeight="1">
      <c r="A1500" s="146" t="inlineStr">
        <is>
          <t>BONUS-L1-TRIAL-3FOR2</t>
        </is>
      </c>
      <c r="B1500" s="39" t="inlineStr">
        <is>
          <t>1 уровень</t>
        </is>
      </c>
      <c r="C1500" s="34" t="inlineStr">
        <is>
          <t>Призы не на абонементы</t>
        </is>
      </c>
      <c r="D1500" s="34" t="inlineStr">
        <is>
          <t>Апгрейд: 3 пробных занятия по цене 2</t>
        </is>
      </c>
      <c r="E1500" s="34" t="inlineStr">
        <is>
          <t>Оплата двух пробных занятий дает право посетить три</t>
        </is>
      </c>
      <c r="F1500" s="147" t="inlineStr">
        <is>
          <t>FW-L1-MT6VB-PKNNY</t>
        </is>
      </c>
      <c r="G1500" s="39" t="inlineStr">
        <is>
          <t>Не использован</t>
        </is>
      </c>
      <c r="H1500" s="148" t="n"/>
      <c r="I1500" s="34" t="str"/>
      <c r="J1500" s="34" t="str"/>
      <c r="K1500" s="130" t="n">
        <v>93</v>
      </c>
      <c r="L1500" s="43">
        <f>IF(COUNTIF($F$5:$F$2407,F1500)=1,"OK","Дубликат")</f>
        <v/>
      </c>
    </row>
    <row r="1501" ht="38" customHeight="1">
      <c r="A1501" s="146" t="inlineStr">
        <is>
          <t>BONUS-L1-TRIAL-3FOR2</t>
        </is>
      </c>
      <c r="B1501" s="39" t="inlineStr">
        <is>
          <t>1 уровень</t>
        </is>
      </c>
      <c r="C1501" s="34" t="inlineStr">
        <is>
          <t>Призы не на абонементы</t>
        </is>
      </c>
      <c r="D1501" s="34" t="inlineStr">
        <is>
          <t>Апгрейд: 3 пробных занятия по цене 2</t>
        </is>
      </c>
      <c r="E1501" s="34" t="inlineStr">
        <is>
          <t>Оплата двух пробных занятий дает право посетить три</t>
        </is>
      </c>
      <c r="F1501" s="147" t="inlineStr">
        <is>
          <t>FW-L1-ZSLRB-L539W</t>
        </is>
      </c>
      <c r="G1501" s="39" t="inlineStr">
        <is>
          <t>Не использован</t>
        </is>
      </c>
      <c r="H1501" s="148" t="n"/>
      <c r="I1501" s="34" t="str"/>
      <c r="J1501" s="34" t="str"/>
      <c r="K1501" s="130" t="n">
        <v>94</v>
      </c>
      <c r="L1501" s="43">
        <f>IF(COUNTIF($F$5:$F$2407,F1501)=1,"OK","Дубликат")</f>
        <v/>
      </c>
    </row>
    <row r="1502" ht="38" customHeight="1">
      <c r="A1502" s="146" t="inlineStr">
        <is>
          <t>BONUS-L1-TRIAL-3FOR2</t>
        </is>
      </c>
      <c r="B1502" s="39" t="inlineStr">
        <is>
          <t>1 уровень</t>
        </is>
      </c>
      <c r="C1502" s="34" t="inlineStr">
        <is>
          <t>Призы не на абонементы</t>
        </is>
      </c>
      <c r="D1502" s="34" t="inlineStr">
        <is>
          <t>Апгрейд: 3 пробных занятия по цене 2</t>
        </is>
      </c>
      <c r="E1502" s="34" t="inlineStr">
        <is>
          <t>Оплата двух пробных занятий дает право посетить три</t>
        </is>
      </c>
      <c r="F1502" s="147" t="inlineStr">
        <is>
          <t>FW-L1-WNJCW-2PTQT</t>
        </is>
      </c>
      <c r="G1502" s="39" t="inlineStr">
        <is>
          <t>Не использован</t>
        </is>
      </c>
      <c r="H1502" s="148" t="n"/>
      <c r="I1502" s="34" t="str"/>
      <c r="J1502" s="34" t="str"/>
      <c r="K1502" s="130" t="n">
        <v>95</v>
      </c>
      <c r="L1502" s="43">
        <f>IF(COUNTIF($F$5:$F$2407,F1502)=1,"OK","Дубликат")</f>
        <v/>
      </c>
    </row>
    <row r="1503" ht="38" customHeight="1">
      <c r="A1503" s="146" t="inlineStr">
        <is>
          <t>BONUS-L1-TRIAL-3FOR2</t>
        </is>
      </c>
      <c r="B1503" s="39" t="inlineStr">
        <is>
          <t>1 уровень</t>
        </is>
      </c>
      <c r="C1503" s="34" t="inlineStr">
        <is>
          <t>Призы не на абонементы</t>
        </is>
      </c>
      <c r="D1503" s="34" t="inlineStr">
        <is>
          <t>Апгрейд: 3 пробных занятия по цене 2</t>
        </is>
      </c>
      <c r="E1503" s="34" t="inlineStr">
        <is>
          <t>Оплата двух пробных занятий дает право посетить три</t>
        </is>
      </c>
      <c r="F1503" s="147" t="inlineStr">
        <is>
          <t>FW-L1-TTR8E-TYJES</t>
        </is>
      </c>
      <c r="G1503" s="39" t="inlineStr">
        <is>
          <t>Не использован</t>
        </is>
      </c>
      <c r="H1503" s="148" t="n"/>
      <c r="I1503" s="34" t="str"/>
      <c r="J1503" s="34" t="str"/>
      <c r="K1503" s="130" t="n">
        <v>96</v>
      </c>
      <c r="L1503" s="43">
        <f>IF(COUNTIF($F$5:$F$2407,F1503)=1,"OK","Дубликат")</f>
        <v/>
      </c>
    </row>
    <row r="1504" ht="38" customHeight="1">
      <c r="A1504" s="146" t="inlineStr">
        <is>
          <t>BONUS-L1-TRIAL-3FOR2</t>
        </is>
      </c>
      <c r="B1504" s="39" t="inlineStr">
        <is>
          <t>1 уровень</t>
        </is>
      </c>
      <c r="C1504" s="34" t="inlineStr">
        <is>
          <t>Призы не на абонементы</t>
        </is>
      </c>
      <c r="D1504" s="34" t="inlineStr">
        <is>
          <t>Апгрейд: 3 пробных занятия по цене 2</t>
        </is>
      </c>
      <c r="E1504" s="34" t="inlineStr">
        <is>
          <t>Оплата двух пробных занятий дает право посетить три</t>
        </is>
      </c>
      <c r="F1504" s="147" t="inlineStr">
        <is>
          <t>FW-L1-EEHDJ-J2SMJ</t>
        </is>
      </c>
      <c r="G1504" s="39" t="inlineStr">
        <is>
          <t>Не использован</t>
        </is>
      </c>
      <c r="H1504" s="148" t="n"/>
      <c r="I1504" s="34" t="str"/>
      <c r="J1504" s="34" t="str"/>
      <c r="K1504" s="130" t="n">
        <v>97</v>
      </c>
      <c r="L1504" s="43">
        <f>IF(COUNTIF($F$5:$F$2407,F1504)=1,"OK","Дубликат")</f>
        <v/>
      </c>
    </row>
    <row r="1505" ht="38" customHeight="1">
      <c r="A1505" s="146" t="inlineStr">
        <is>
          <t>BONUS-L1-TRIAL-3FOR2</t>
        </is>
      </c>
      <c r="B1505" s="39" t="inlineStr">
        <is>
          <t>1 уровень</t>
        </is>
      </c>
      <c r="C1505" s="34" t="inlineStr">
        <is>
          <t>Призы не на абонементы</t>
        </is>
      </c>
      <c r="D1505" s="34" t="inlineStr">
        <is>
          <t>Апгрейд: 3 пробных занятия по цене 2</t>
        </is>
      </c>
      <c r="E1505" s="34" t="inlineStr">
        <is>
          <t>Оплата двух пробных занятий дает право посетить три</t>
        </is>
      </c>
      <c r="F1505" s="147" t="inlineStr">
        <is>
          <t>FW-L1-E2VX9-573UF</t>
        </is>
      </c>
      <c r="G1505" s="39" t="inlineStr">
        <is>
          <t>Не использован</t>
        </is>
      </c>
      <c r="H1505" s="148" t="n"/>
      <c r="I1505" s="34" t="str"/>
      <c r="J1505" s="34" t="str"/>
      <c r="K1505" s="130" t="n">
        <v>98</v>
      </c>
      <c r="L1505" s="43">
        <f>IF(COUNTIF($F$5:$F$2407,F1505)=1,"OK","Дубликат")</f>
        <v/>
      </c>
    </row>
    <row r="1506" ht="38" customHeight="1">
      <c r="A1506" s="146" t="inlineStr">
        <is>
          <t>BONUS-L1-TRIAL-3FOR2</t>
        </is>
      </c>
      <c r="B1506" s="39" t="inlineStr">
        <is>
          <t>1 уровень</t>
        </is>
      </c>
      <c r="C1506" s="34" t="inlineStr">
        <is>
          <t>Призы не на абонементы</t>
        </is>
      </c>
      <c r="D1506" s="34" t="inlineStr">
        <is>
          <t>Апгрейд: 3 пробных занятия по цене 2</t>
        </is>
      </c>
      <c r="E1506" s="34" t="inlineStr">
        <is>
          <t>Оплата двух пробных занятий дает право посетить три</t>
        </is>
      </c>
      <c r="F1506" s="147" t="inlineStr">
        <is>
          <t>FW-L1-SRABX-D3HW5</t>
        </is>
      </c>
      <c r="G1506" s="39" t="inlineStr">
        <is>
          <t>Не использован</t>
        </is>
      </c>
      <c r="H1506" s="148" t="n"/>
      <c r="I1506" s="34" t="str"/>
      <c r="J1506" s="34" t="str"/>
      <c r="K1506" s="130" t="n">
        <v>99</v>
      </c>
      <c r="L1506" s="43">
        <f>IF(COUNTIF($F$5:$F$2407,F1506)=1,"OK","Дубликат")</f>
        <v/>
      </c>
    </row>
    <row r="1507" ht="38" customHeight="1">
      <c r="A1507" s="146" t="inlineStr">
        <is>
          <t>BONUS-L1-TRIAL-3FOR2</t>
        </is>
      </c>
      <c r="B1507" s="39" t="inlineStr">
        <is>
          <t>1 уровень</t>
        </is>
      </c>
      <c r="C1507" s="34" t="inlineStr">
        <is>
          <t>Призы не на абонементы</t>
        </is>
      </c>
      <c r="D1507" s="34" t="inlineStr">
        <is>
          <t>Апгрейд: 3 пробных занятия по цене 2</t>
        </is>
      </c>
      <c r="E1507" s="34" t="inlineStr">
        <is>
          <t>Оплата двух пробных занятий дает право посетить три</t>
        </is>
      </c>
      <c r="F1507" s="147" t="inlineStr">
        <is>
          <t>FW-L1-NMUB5-SFKUV</t>
        </is>
      </c>
      <c r="G1507" s="39" t="inlineStr">
        <is>
          <t>Не использован</t>
        </is>
      </c>
      <c r="H1507" s="148" t="n"/>
      <c r="I1507" s="34" t="str"/>
      <c r="J1507" s="34" t="str"/>
      <c r="K1507" s="130" t="n">
        <v>100</v>
      </c>
      <c r="L1507" s="43">
        <f>IF(COUNTIF($F$5:$F$2407,F1507)=1,"OK","Дубликат")</f>
        <v/>
      </c>
    </row>
    <row r="1508" ht="38" customHeight="1">
      <c r="A1508" s="146" t="inlineStr">
        <is>
          <t>BONUS-L1-TRIAL-3FOR2</t>
        </is>
      </c>
      <c r="B1508" s="39" t="inlineStr">
        <is>
          <t>1 уровень</t>
        </is>
      </c>
      <c r="C1508" s="34" t="inlineStr">
        <is>
          <t>Призы не на абонементы</t>
        </is>
      </c>
      <c r="D1508" s="34" t="inlineStr">
        <is>
          <t>Апгрейд: 3 пробных занятия по цене 2</t>
        </is>
      </c>
      <c r="E1508" s="34" t="inlineStr">
        <is>
          <t>Оплата двух пробных занятий дает право посетить три</t>
        </is>
      </c>
      <c r="F1508" s="147" t="inlineStr">
        <is>
          <t>FW-L1-E94LZ-MKRDM</t>
        </is>
      </c>
      <c r="G1508" s="39" t="inlineStr">
        <is>
          <t>Не использован</t>
        </is>
      </c>
      <c r="H1508" s="148" t="n"/>
      <c r="I1508" s="34" t="str"/>
      <c r="J1508" s="34" t="str"/>
      <c r="K1508" s="130" t="n">
        <v>101</v>
      </c>
      <c r="L1508" s="43">
        <f>IF(COUNTIF($F$5:$F$2407,F1508)=1,"OK","Дубликат")</f>
        <v/>
      </c>
    </row>
    <row r="1509" ht="38" customHeight="1">
      <c r="A1509" s="146" t="inlineStr">
        <is>
          <t>BONUS-L1-TRIAL-3FOR2</t>
        </is>
      </c>
      <c r="B1509" s="39" t="inlineStr">
        <is>
          <t>1 уровень</t>
        </is>
      </c>
      <c r="C1509" s="34" t="inlineStr">
        <is>
          <t>Призы не на абонементы</t>
        </is>
      </c>
      <c r="D1509" s="34" t="inlineStr">
        <is>
          <t>Апгрейд: 3 пробных занятия по цене 2</t>
        </is>
      </c>
      <c r="E1509" s="34" t="inlineStr">
        <is>
          <t>Оплата двух пробных занятий дает право посетить три</t>
        </is>
      </c>
      <c r="F1509" s="147" t="inlineStr">
        <is>
          <t>FW-L1-FS95C-B42A7</t>
        </is>
      </c>
      <c r="G1509" s="39" t="inlineStr">
        <is>
          <t>Не использован</t>
        </is>
      </c>
      <c r="H1509" s="148" t="n"/>
      <c r="I1509" s="34" t="str"/>
      <c r="J1509" s="34" t="str"/>
      <c r="K1509" s="130" t="n">
        <v>102</v>
      </c>
      <c r="L1509" s="43">
        <f>IF(COUNTIF($F$5:$F$2407,F1509)=1,"OK","Дубликат")</f>
        <v/>
      </c>
    </row>
    <row r="1510" ht="38" customHeight="1">
      <c r="A1510" s="146" t="inlineStr">
        <is>
          <t>BONUS-L1-TRIAL-3FOR2</t>
        </is>
      </c>
      <c r="B1510" s="39" t="inlineStr">
        <is>
          <t>1 уровень</t>
        </is>
      </c>
      <c r="C1510" s="34" t="inlineStr">
        <is>
          <t>Призы не на абонементы</t>
        </is>
      </c>
      <c r="D1510" s="34" t="inlineStr">
        <is>
          <t>Апгрейд: 3 пробных занятия по цене 2</t>
        </is>
      </c>
      <c r="E1510" s="34" t="inlineStr">
        <is>
          <t>Оплата двух пробных занятий дает право посетить три</t>
        </is>
      </c>
      <c r="F1510" s="147" t="inlineStr">
        <is>
          <t>FW-L1-HEPFA-VFWHT</t>
        </is>
      </c>
      <c r="G1510" s="39" t="inlineStr">
        <is>
          <t>Не использован</t>
        </is>
      </c>
      <c r="H1510" s="148" t="n"/>
      <c r="I1510" s="34" t="str"/>
      <c r="J1510" s="34" t="str"/>
      <c r="K1510" s="130" t="n">
        <v>103</v>
      </c>
      <c r="L1510" s="43">
        <f>IF(COUNTIF($F$5:$F$2407,F1510)=1,"OK","Дубликат")</f>
        <v/>
      </c>
    </row>
    <row r="1511" ht="38" customHeight="1">
      <c r="A1511" s="146" t="inlineStr">
        <is>
          <t>BONUS-L1-TRIAL-3FOR2</t>
        </is>
      </c>
      <c r="B1511" s="39" t="inlineStr">
        <is>
          <t>1 уровень</t>
        </is>
      </c>
      <c r="C1511" s="34" t="inlineStr">
        <is>
          <t>Призы не на абонементы</t>
        </is>
      </c>
      <c r="D1511" s="34" t="inlineStr">
        <is>
          <t>Апгрейд: 3 пробных занятия по цене 2</t>
        </is>
      </c>
      <c r="E1511" s="34" t="inlineStr">
        <is>
          <t>Оплата двух пробных занятий дает право посетить три</t>
        </is>
      </c>
      <c r="F1511" s="147" t="inlineStr">
        <is>
          <t>FW-L1-7U5WL-7VRBJ</t>
        </is>
      </c>
      <c r="G1511" s="39" t="inlineStr">
        <is>
          <t>Не использован</t>
        </is>
      </c>
      <c r="H1511" s="148" t="n"/>
      <c r="I1511" s="34" t="str"/>
      <c r="J1511" s="34" t="str"/>
      <c r="K1511" s="130" t="n">
        <v>104</v>
      </c>
      <c r="L1511" s="43">
        <f>IF(COUNTIF($F$5:$F$2407,F1511)=1,"OK","Дубликат")</f>
        <v/>
      </c>
    </row>
    <row r="1512" ht="38" customHeight="1">
      <c r="A1512" s="146" t="inlineStr">
        <is>
          <t>BONUS-L1-TRIAL-3FOR2</t>
        </is>
      </c>
      <c r="B1512" s="39" t="inlineStr">
        <is>
          <t>1 уровень</t>
        </is>
      </c>
      <c r="C1512" s="34" t="inlineStr">
        <is>
          <t>Призы не на абонементы</t>
        </is>
      </c>
      <c r="D1512" s="34" t="inlineStr">
        <is>
          <t>Апгрейд: 3 пробных занятия по цене 2</t>
        </is>
      </c>
      <c r="E1512" s="34" t="inlineStr">
        <is>
          <t>Оплата двух пробных занятий дает право посетить три</t>
        </is>
      </c>
      <c r="F1512" s="147" t="inlineStr">
        <is>
          <t>FW-L1-NQFQA-B3J5U</t>
        </is>
      </c>
      <c r="G1512" s="39" t="inlineStr">
        <is>
          <t>Не использован</t>
        </is>
      </c>
      <c r="H1512" s="148" t="n"/>
      <c r="I1512" s="34" t="str"/>
      <c r="J1512" s="34" t="str"/>
      <c r="K1512" s="130" t="n">
        <v>105</v>
      </c>
      <c r="L1512" s="43">
        <f>IF(COUNTIF($F$5:$F$2407,F1512)=1,"OK","Дубликат")</f>
        <v/>
      </c>
    </row>
    <row r="1513" ht="38" customHeight="1">
      <c r="A1513" s="146" t="inlineStr">
        <is>
          <t>BONUS-L1-TRIAL-3FOR2</t>
        </is>
      </c>
      <c r="B1513" s="39" t="inlineStr">
        <is>
          <t>1 уровень</t>
        </is>
      </c>
      <c r="C1513" s="34" t="inlineStr">
        <is>
          <t>Призы не на абонементы</t>
        </is>
      </c>
      <c r="D1513" s="34" t="inlineStr">
        <is>
          <t>Апгрейд: 3 пробных занятия по цене 2</t>
        </is>
      </c>
      <c r="E1513" s="34" t="inlineStr">
        <is>
          <t>Оплата двух пробных занятий дает право посетить три</t>
        </is>
      </c>
      <c r="F1513" s="147" t="inlineStr">
        <is>
          <t>FW-L1-Z3RTK-BLJJ9</t>
        </is>
      </c>
      <c r="G1513" s="39" t="inlineStr">
        <is>
          <t>Не использован</t>
        </is>
      </c>
      <c r="H1513" s="148" t="n"/>
      <c r="I1513" s="34" t="str"/>
      <c r="J1513" s="34" t="str"/>
      <c r="K1513" s="130" t="n">
        <v>106</v>
      </c>
      <c r="L1513" s="43">
        <f>IF(COUNTIF($F$5:$F$2407,F1513)=1,"OK","Дубликат")</f>
        <v/>
      </c>
    </row>
    <row r="1514" ht="38" customHeight="1">
      <c r="A1514" s="146" t="inlineStr">
        <is>
          <t>BONUS-L1-TRIAL-3FOR2</t>
        </is>
      </c>
      <c r="B1514" s="39" t="inlineStr">
        <is>
          <t>1 уровень</t>
        </is>
      </c>
      <c r="C1514" s="34" t="inlineStr">
        <is>
          <t>Призы не на абонементы</t>
        </is>
      </c>
      <c r="D1514" s="34" t="inlineStr">
        <is>
          <t>Апгрейд: 3 пробных занятия по цене 2</t>
        </is>
      </c>
      <c r="E1514" s="34" t="inlineStr">
        <is>
          <t>Оплата двух пробных занятий дает право посетить три</t>
        </is>
      </c>
      <c r="F1514" s="147" t="inlineStr">
        <is>
          <t>FW-L1-YUHZH-ZGJ4L</t>
        </is>
      </c>
      <c r="G1514" s="39" t="inlineStr">
        <is>
          <t>Не использован</t>
        </is>
      </c>
      <c r="H1514" s="148" t="n"/>
      <c r="I1514" s="34" t="str"/>
      <c r="J1514" s="34" t="str"/>
      <c r="K1514" s="130" t="n">
        <v>107</v>
      </c>
      <c r="L1514" s="43">
        <f>IF(COUNTIF($F$5:$F$2407,F1514)=1,"OK","Дубликат")</f>
        <v/>
      </c>
    </row>
    <row r="1515" ht="38" customHeight="1">
      <c r="A1515" s="146" t="inlineStr">
        <is>
          <t>BONUS-L1-TRIAL-3FOR2</t>
        </is>
      </c>
      <c r="B1515" s="39" t="inlineStr">
        <is>
          <t>1 уровень</t>
        </is>
      </c>
      <c r="C1515" s="34" t="inlineStr">
        <is>
          <t>Призы не на абонементы</t>
        </is>
      </c>
      <c r="D1515" s="34" t="inlineStr">
        <is>
          <t>Апгрейд: 3 пробных занятия по цене 2</t>
        </is>
      </c>
      <c r="E1515" s="34" t="inlineStr">
        <is>
          <t>Оплата двух пробных занятий дает право посетить три</t>
        </is>
      </c>
      <c r="F1515" s="147" t="inlineStr">
        <is>
          <t>FW-L1-XLQ7L-AWGJA</t>
        </is>
      </c>
      <c r="G1515" s="39" t="inlineStr">
        <is>
          <t>Не использован</t>
        </is>
      </c>
      <c r="H1515" s="148" t="n"/>
      <c r="I1515" s="34" t="str"/>
      <c r="J1515" s="34" t="str"/>
      <c r="K1515" s="130" t="n">
        <v>108</v>
      </c>
      <c r="L1515" s="43">
        <f>IF(COUNTIF($F$5:$F$2407,F1515)=1,"OK","Дубликат")</f>
        <v/>
      </c>
    </row>
    <row r="1516" ht="38" customHeight="1">
      <c r="A1516" s="146" t="inlineStr">
        <is>
          <t>BONUS-L1-TRIAL-3FOR2</t>
        </is>
      </c>
      <c r="B1516" s="39" t="inlineStr">
        <is>
          <t>1 уровень</t>
        </is>
      </c>
      <c r="C1516" s="34" t="inlineStr">
        <is>
          <t>Призы не на абонементы</t>
        </is>
      </c>
      <c r="D1516" s="34" t="inlineStr">
        <is>
          <t>Апгрейд: 3 пробных занятия по цене 2</t>
        </is>
      </c>
      <c r="E1516" s="34" t="inlineStr">
        <is>
          <t>Оплата двух пробных занятий дает право посетить три</t>
        </is>
      </c>
      <c r="F1516" s="147" t="inlineStr">
        <is>
          <t>FW-L1-CUA5A-S4GFP</t>
        </is>
      </c>
      <c r="G1516" s="39" t="inlineStr">
        <is>
          <t>Не использован</t>
        </is>
      </c>
      <c r="H1516" s="148" t="n"/>
      <c r="I1516" s="34" t="str"/>
      <c r="J1516" s="34" t="str"/>
      <c r="K1516" s="130" t="n">
        <v>109</v>
      </c>
      <c r="L1516" s="43">
        <f>IF(COUNTIF($F$5:$F$2407,F1516)=1,"OK","Дубликат")</f>
        <v/>
      </c>
    </row>
    <row r="1517" ht="38" customHeight="1">
      <c r="A1517" s="146" t="inlineStr">
        <is>
          <t>BONUS-L1-TRIAL-3FOR2</t>
        </is>
      </c>
      <c r="B1517" s="39" t="inlineStr">
        <is>
          <t>1 уровень</t>
        </is>
      </c>
      <c r="C1517" s="34" t="inlineStr">
        <is>
          <t>Призы не на абонементы</t>
        </is>
      </c>
      <c r="D1517" s="34" t="inlineStr">
        <is>
          <t>Апгрейд: 3 пробных занятия по цене 2</t>
        </is>
      </c>
      <c r="E1517" s="34" t="inlineStr">
        <is>
          <t>Оплата двух пробных занятий дает право посетить три</t>
        </is>
      </c>
      <c r="F1517" s="147" t="inlineStr">
        <is>
          <t>FW-L1-GR9NJ-PP3UE</t>
        </is>
      </c>
      <c r="G1517" s="39" t="inlineStr">
        <is>
          <t>Не использован</t>
        </is>
      </c>
      <c r="H1517" s="148" t="n"/>
      <c r="I1517" s="34" t="str"/>
      <c r="J1517" s="34" t="str"/>
      <c r="K1517" s="130" t="n">
        <v>110</v>
      </c>
      <c r="L1517" s="43">
        <f>IF(COUNTIF($F$5:$F$2407,F1517)=1,"OK","Дубликат")</f>
        <v/>
      </c>
    </row>
    <row r="1518" ht="38" customHeight="1">
      <c r="A1518" s="146" t="inlineStr">
        <is>
          <t>BONUS-L1-TRIAL-3FOR2</t>
        </is>
      </c>
      <c r="B1518" s="39" t="inlineStr">
        <is>
          <t>1 уровень</t>
        </is>
      </c>
      <c r="C1518" s="34" t="inlineStr">
        <is>
          <t>Призы не на абонементы</t>
        </is>
      </c>
      <c r="D1518" s="34" t="inlineStr">
        <is>
          <t>Апгрейд: 3 пробных занятия по цене 2</t>
        </is>
      </c>
      <c r="E1518" s="34" t="inlineStr">
        <is>
          <t>Оплата двух пробных занятий дает право посетить три</t>
        </is>
      </c>
      <c r="F1518" s="147" t="inlineStr">
        <is>
          <t>FW-L1-Z4PX2-DMT4K</t>
        </is>
      </c>
      <c r="G1518" s="39" t="inlineStr">
        <is>
          <t>Не использован</t>
        </is>
      </c>
      <c r="H1518" s="148" t="n"/>
      <c r="I1518" s="34" t="str"/>
      <c r="J1518" s="34" t="str"/>
      <c r="K1518" s="130" t="n">
        <v>111</v>
      </c>
      <c r="L1518" s="43">
        <f>IF(COUNTIF($F$5:$F$2407,F1518)=1,"OK","Дубликат")</f>
        <v/>
      </c>
    </row>
    <row r="1519" ht="38" customHeight="1">
      <c r="A1519" s="146" t="inlineStr">
        <is>
          <t>BONUS-L1-TRIAL-3FOR2</t>
        </is>
      </c>
      <c r="B1519" s="39" t="inlineStr">
        <is>
          <t>1 уровень</t>
        </is>
      </c>
      <c r="C1519" s="34" t="inlineStr">
        <is>
          <t>Призы не на абонементы</t>
        </is>
      </c>
      <c r="D1519" s="34" t="inlineStr">
        <is>
          <t>Апгрейд: 3 пробных занятия по цене 2</t>
        </is>
      </c>
      <c r="E1519" s="34" t="inlineStr">
        <is>
          <t>Оплата двух пробных занятий дает право посетить три</t>
        </is>
      </c>
      <c r="F1519" s="147" t="inlineStr">
        <is>
          <t>FW-L1-Z5MB7-R8ZHK</t>
        </is>
      </c>
      <c r="G1519" s="39" t="inlineStr">
        <is>
          <t>Не использован</t>
        </is>
      </c>
      <c r="H1519" s="148" t="n"/>
      <c r="I1519" s="34" t="str"/>
      <c r="J1519" s="34" t="str"/>
      <c r="K1519" s="130" t="n">
        <v>112</v>
      </c>
      <c r="L1519" s="43">
        <f>IF(COUNTIF($F$5:$F$2407,F1519)=1,"OK","Дубликат")</f>
        <v/>
      </c>
    </row>
    <row r="1520" ht="38" customHeight="1">
      <c r="A1520" s="146" t="inlineStr">
        <is>
          <t>BONUS-L1-TRIAL-3FOR2</t>
        </is>
      </c>
      <c r="B1520" s="39" t="inlineStr">
        <is>
          <t>1 уровень</t>
        </is>
      </c>
      <c r="C1520" s="34" t="inlineStr">
        <is>
          <t>Призы не на абонементы</t>
        </is>
      </c>
      <c r="D1520" s="34" t="inlineStr">
        <is>
          <t>Апгрейд: 3 пробных занятия по цене 2</t>
        </is>
      </c>
      <c r="E1520" s="34" t="inlineStr">
        <is>
          <t>Оплата двух пробных занятий дает право посетить три</t>
        </is>
      </c>
      <c r="F1520" s="147" t="inlineStr">
        <is>
          <t>FW-L1-SRSYU-UTUAD</t>
        </is>
      </c>
      <c r="G1520" s="39" t="inlineStr">
        <is>
          <t>Не использован</t>
        </is>
      </c>
      <c r="H1520" s="148" t="n"/>
      <c r="I1520" s="34" t="str"/>
      <c r="J1520" s="34" t="str"/>
      <c r="K1520" s="130" t="n">
        <v>113</v>
      </c>
      <c r="L1520" s="43">
        <f>IF(COUNTIF($F$5:$F$2407,F1520)=1,"OK","Дубликат")</f>
        <v/>
      </c>
    </row>
    <row r="1521" ht="38" customHeight="1">
      <c r="A1521" s="146" t="inlineStr">
        <is>
          <t>BONUS-L1-TRIAL-3FOR2</t>
        </is>
      </c>
      <c r="B1521" s="39" t="inlineStr">
        <is>
          <t>1 уровень</t>
        </is>
      </c>
      <c r="C1521" s="34" t="inlineStr">
        <is>
          <t>Призы не на абонементы</t>
        </is>
      </c>
      <c r="D1521" s="34" t="inlineStr">
        <is>
          <t>Апгрейд: 3 пробных занятия по цене 2</t>
        </is>
      </c>
      <c r="E1521" s="34" t="inlineStr">
        <is>
          <t>Оплата двух пробных занятий дает право посетить три</t>
        </is>
      </c>
      <c r="F1521" s="147" t="inlineStr">
        <is>
          <t>FW-L1-MYTAS-NHYHF</t>
        </is>
      </c>
      <c r="G1521" s="39" t="inlineStr">
        <is>
          <t>Не использован</t>
        </is>
      </c>
      <c r="H1521" s="148" t="n"/>
      <c r="I1521" s="34" t="str"/>
      <c r="J1521" s="34" t="str"/>
      <c r="K1521" s="130" t="n">
        <v>114</v>
      </c>
      <c r="L1521" s="43">
        <f>IF(COUNTIF($F$5:$F$2407,F1521)=1,"OK","Дубликат")</f>
        <v/>
      </c>
    </row>
    <row r="1522" ht="38" customHeight="1">
      <c r="A1522" s="146" t="inlineStr">
        <is>
          <t>BONUS-L1-TRIAL-3FOR2</t>
        </is>
      </c>
      <c r="B1522" s="39" t="inlineStr">
        <is>
          <t>1 уровень</t>
        </is>
      </c>
      <c r="C1522" s="34" t="inlineStr">
        <is>
          <t>Призы не на абонементы</t>
        </is>
      </c>
      <c r="D1522" s="34" t="inlineStr">
        <is>
          <t>Апгрейд: 3 пробных занятия по цене 2</t>
        </is>
      </c>
      <c r="E1522" s="34" t="inlineStr">
        <is>
          <t>Оплата двух пробных занятий дает право посетить три</t>
        </is>
      </c>
      <c r="F1522" s="147" t="inlineStr">
        <is>
          <t>FW-L1-LQBDE-HNPRV</t>
        </is>
      </c>
      <c r="G1522" s="39" t="inlineStr">
        <is>
          <t>Не использован</t>
        </is>
      </c>
      <c r="H1522" s="148" t="n"/>
      <c r="I1522" s="34" t="str"/>
      <c r="J1522" s="34" t="str"/>
      <c r="K1522" s="130" t="n">
        <v>115</v>
      </c>
      <c r="L1522" s="43">
        <f>IF(COUNTIF($F$5:$F$2407,F1522)=1,"OK","Дубликат")</f>
        <v/>
      </c>
    </row>
    <row r="1523" ht="38" customHeight="1">
      <c r="A1523" s="146" t="inlineStr">
        <is>
          <t>BONUS-L1-TRIAL-3FOR2</t>
        </is>
      </c>
      <c r="B1523" s="39" t="inlineStr">
        <is>
          <t>1 уровень</t>
        </is>
      </c>
      <c r="C1523" s="34" t="inlineStr">
        <is>
          <t>Призы не на абонементы</t>
        </is>
      </c>
      <c r="D1523" s="34" t="inlineStr">
        <is>
          <t>Апгрейд: 3 пробных занятия по цене 2</t>
        </is>
      </c>
      <c r="E1523" s="34" t="inlineStr">
        <is>
          <t>Оплата двух пробных занятий дает право посетить три</t>
        </is>
      </c>
      <c r="F1523" s="147" t="inlineStr">
        <is>
          <t>FW-L1-SUFFR-NJS7U</t>
        </is>
      </c>
      <c r="G1523" s="39" t="inlineStr">
        <is>
          <t>Не использован</t>
        </is>
      </c>
      <c r="H1523" s="148" t="n"/>
      <c r="I1523" s="34" t="str"/>
      <c r="J1523" s="34" t="str"/>
      <c r="K1523" s="130" t="n">
        <v>116</v>
      </c>
      <c r="L1523" s="43">
        <f>IF(COUNTIF($F$5:$F$2407,F1523)=1,"OK","Дубликат")</f>
        <v/>
      </c>
    </row>
    <row r="1524" ht="38" customHeight="1">
      <c r="A1524" s="146" t="inlineStr">
        <is>
          <t>BONUS-L1-TRIAL-3FOR2</t>
        </is>
      </c>
      <c r="B1524" s="39" t="inlineStr">
        <is>
          <t>1 уровень</t>
        </is>
      </c>
      <c r="C1524" s="34" t="inlineStr">
        <is>
          <t>Призы не на абонементы</t>
        </is>
      </c>
      <c r="D1524" s="34" t="inlineStr">
        <is>
          <t>Апгрейд: 3 пробных занятия по цене 2</t>
        </is>
      </c>
      <c r="E1524" s="34" t="inlineStr">
        <is>
          <t>Оплата двух пробных занятий дает право посетить три</t>
        </is>
      </c>
      <c r="F1524" s="147" t="inlineStr">
        <is>
          <t>FW-L1-CKYLR-MTXDQ</t>
        </is>
      </c>
      <c r="G1524" s="39" t="inlineStr">
        <is>
          <t>Не использован</t>
        </is>
      </c>
      <c r="H1524" s="148" t="n"/>
      <c r="I1524" s="34" t="str"/>
      <c r="J1524" s="34" t="str"/>
      <c r="K1524" s="130" t="n">
        <v>117</v>
      </c>
      <c r="L1524" s="43">
        <f>IF(COUNTIF($F$5:$F$2407,F1524)=1,"OK","Дубликат")</f>
        <v/>
      </c>
    </row>
    <row r="1525" ht="38" customHeight="1">
      <c r="A1525" s="146" t="inlineStr">
        <is>
          <t>BONUS-L1-TRIAL-3FOR2</t>
        </is>
      </c>
      <c r="B1525" s="39" t="inlineStr">
        <is>
          <t>1 уровень</t>
        </is>
      </c>
      <c r="C1525" s="34" t="inlineStr">
        <is>
          <t>Призы не на абонементы</t>
        </is>
      </c>
      <c r="D1525" s="34" t="inlineStr">
        <is>
          <t>Апгрейд: 3 пробных занятия по цене 2</t>
        </is>
      </c>
      <c r="E1525" s="34" t="inlineStr">
        <is>
          <t>Оплата двух пробных занятий дает право посетить три</t>
        </is>
      </c>
      <c r="F1525" s="147" t="inlineStr">
        <is>
          <t>FW-L1-YNLMN-3NLMJ</t>
        </is>
      </c>
      <c r="G1525" s="39" t="inlineStr">
        <is>
          <t>Не использован</t>
        </is>
      </c>
      <c r="H1525" s="148" t="n"/>
      <c r="I1525" s="34" t="str"/>
      <c r="J1525" s="34" t="str"/>
      <c r="K1525" s="130" t="n">
        <v>118</v>
      </c>
      <c r="L1525" s="43">
        <f>IF(COUNTIF($F$5:$F$2407,F1525)=1,"OK","Дубликат")</f>
        <v/>
      </c>
    </row>
    <row r="1526" ht="38" customHeight="1">
      <c r="A1526" s="146" t="inlineStr">
        <is>
          <t>BONUS-L1-TRIAL-3FOR2</t>
        </is>
      </c>
      <c r="B1526" s="39" t="inlineStr">
        <is>
          <t>1 уровень</t>
        </is>
      </c>
      <c r="C1526" s="34" t="inlineStr">
        <is>
          <t>Призы не на абонементы</t>
        </is>
      </c>
      <c r="D1526" s="34" t="inlineStr">
        <is>
          <t>Апгрейд: 3 пробных занятия по цене 2</t>
        </is>
      </c>
      <c r="E1526" s="34" t="inlineStr">
        <is>
          <t>Оплата двух пробных занятий дает право посетить три</t>
        </is>
      </c>
      <c r="F1526" s="147" t="inlineStr">
        <is>
          <t>FW-L1-EKZKM-JB837</t>
        </is>
      </c>
      <c r="G1526" s="39" t="inlineStr">
        <is>
          <t>Не использован</t>
        </is>
      </c>
      <c r="H1526" s="148" t="n"/>
      <c r="I1526" s="34" t="str"/>
      <c r="J1526" s="34" t="str"/>
      <c r="K1526" s="130" t="n">
        <v>119</v>
      </c>
      <c r="L1526" s="43">
        <f>IF(COUNTIF($F$5:$F$2407,F1526)=1,"OK","Дубликат")</f>
        <v/>
      </c>
    </row>
    <row r="1527" ht="38" customHeight="1">
      <c r="A1527" s="146" t="inlineStr">
        <is>
          <t>BONUS-L1-TRIAL-3FOR2</t>
        </is>
      </c>
      <c r="B1527" s="39" t="inlineStr">
        <is>
          <t>1 уровень</t>
        </is>
      </c>
      <c r="C1527" s="34" t="inlineStr">
        <is>
          <t>Призы не на абонементы</t>
        </is>
      </c>
      <c r="D1527" s="34" t="inlineStr">
        <is>
          <t>Апгрейд: 3 пробных занятия по цене 2</t>
        </is>
      </c>
      <c r="E1527" s="34" t="inlineStr">
        <is>
          <t>Оплата двух пробных занятий дает право посетить три</t>
        </is>
      </c>
      <c r="F1527" s="147" t="inlineStr">
        <is>
          <t>FW-L1-4AZZ6-5FGMP</t>
        </is>
      </c>
      <c r="G1527" s="39" t="inlineStr">
        <is>
          <t>Не использован</t>
        </is>
      </c>
      <c r="H1527" s="148" t="n"/>
      <c r="I1527" s="34" t="str"/>
      <c r="J1527" s="34" t="str"/>
      <c r="K1527" s="130" t="n">
        <v>120</v>
      </c>
      <c r="L1527" s="43">
        <f>IF(COUNTIF($F$5:$F$2407,F1527)=1,"OK","Дубликат")</f>
        <v/>
      </c>
    </row>
    <row r="1528" ht="38" customHeight="1">
      <c r="A1528" s="146" t="inlineStr">
        <is>
          <t>BONUS-L1-TRIAL-3FOR2</t>
        </is>
      </c>
      <c r="B1528" s="39" t="inlineStr">
        <is>
          <t>1 уровень</t>
        </is>
      </c>
      <c r="C1528" s="34" t="inlineStr">
        <is>
          <t>Призы не на абонементы</t>
        </is>
      </c>
      <c r="D1528" s="34" t="inlineStr">
        <is>
          <t>Апгрейд: 3 пробных занятия по цене 2</t>
        </is>
      </c>
      <c r="E1528" s="34" t="inlineStr">
        <is>
          <t>Оплата двух пробных занятий дает право посетить три</t>
        </is>
      </c>
      <c r="F1528" s="147" t="inlineStr">
        <is>
          <t>FW-L1-4YRZE-XX5B8</t>
        </is>
      </c>
      <c r="G1528" s="39" t="inlineStr">
        <is>
          <t>Не использован</t>
        </is>
      </c>
      <c r="H1528" s="148" t="n"/>
      <c r="I1528" s="34" t="str"/>
      <c r="J1528" s="34" t="str"/>
      <c r="K1528" s="130" t="n">
        <v>121</v>
      </c>
      <c r="L1528" s="43">
        <f>IF(COUNTIF($F$5:$F$2407,F1528)=1,"OK","Дубликат")</f>
        <v/>
      </c>
    </row>
    <row r="1529" ht="38" customHeight="1">
      <c r="A1529" s="146" t="inlineStr">
        <is>
          <t>BONUS-L1-TRIAL-3FOR2</t>
        </is>
      </c>
      <c r="B1529" s="39" t="inlineStr">
        <is>
          <t>1 уровень</t>
        </is>
      </c>
      <c r="C1529" s="34" t="inlineStr">
        <is>
          <t>Призы не на абонементы</t>
        </is>
      </c>
      <c r="D1529" s="34" t="inlineStr">
        <is>
          <t>Апгрейд: 3 пробных занятия по цене 2</t>
        </is>
      </c>
      <c r="E1529" s="34" t="inlineStr">
        <is>
          <t>Оплата двух пробных занятий дает право посетить три</t>
        </is>
      </c>
      <c r="F1529" s="147" t="inlineStr">
        <is>
          <t>FW-L1-32ZHG-57UM6</t>
        </is>
      </c>
      <c r="G1529" s="39" t="inlineStr">
        <is>
          <t>Не использован</t>
        </is>
      </c>
      <c r="H1529" s="148" t="n"/>
      <c r="I1529" s="34" t="str"/>
      <c r="J1529" s="34" t="str"/>
      <c r="K1529" s="130" t="n">
        <v>122</v>
      </c>
      <c r="L1529" s="43">
        <f>IF(COUNTIF($F$5:$F$2407,F1529)=1,"OK","Дубликат")</f>
        <v/>
      </c>
    </row>
    <row r="1530" ht="38" customHeight="1">
      <c r="A1530" s="146" t="inlineStr">
        <is>
          <t>BONUS-L1-TRIAL-3FOR2</t>
        </is>
      </c>
      <c r="B1530" s="39" t="inlineStr">
        <is>
          <t>1 уровень</t>
        </is>
      </c>
      <c r="C1530" s="34" t="inlineStr">
        <is>
          <t>Призы не на абонементы</t>
        </is>
      </c>
      <c r="D1530" s="34" t="inlineStr">
        <is>
          <t>Апгрейд: 3 пробных занятия по цене 2</t>
        </is>
      </c>
      <c r="E1530" s="34" t="inlineStr">
        <is>
          <t>Оплата двух пробных занятий дает право посетить три</t>
        </is>
      </c>
      <c r="F1530" s="147" t="inlineStr">
        <is>
          <t>FW-L1-4L55Q-Z4R3S</t>
        </is>
      </c>
      <c r="G1530" s="39" t="inlineStr">
        <is>
          <t>Не использован</t>
        </is>
      </c>
      <c r="H1530" s="148" t="n"/>
      <c r="I1530" s="34" t="str"/>
      <c r="J1530" s="34" t="str"/>
      <c r="K1530" s="130" t="n">
        <v>123</v>
      </c>
      <c r="L1530" s="43">
        <f>IF(COUNTIF($F$5:$F$2407,F1530)=1,"OK","Дубликат")</f>
        <v/>
      </c>
    </row>
    <row r="1531" ht="38" customHeight="1">
      <c r="A1531" s="146" t="inlineStr">
        <is>
          <t>BONUS-L1-TRIAL-3FOR2</t>
        </is>
      </c>
      <c r="B1531" s="39" t="inlineStr">
        <is>
          <t>1 уровень</t>
        </is>
      </c>
      <c r="C1531" s="34" t="inlineStr">
        <is>
          <t>Призы не на абонементы</t>
        </is>
      </c>
      <c r="D1531" s="34" t="inlineStr">
        <is>
          <t>Апгрейд: 3 пробных занятия по цене 2</t>
        </is>
      </c>
      <c r="E1531" s="34" t="inlineStr">
        <is>
          <t>Оплата двух пробных занятий дает право посетить три</t>
        </is>
      </c>
      <c r="F1531" s="147" t="inlineStr">
        <is>
          <t>FW-L1-RYF7G-X7RNX</t>
        </is>
      </c>
      <c r="G1531" s="39" t="inlineStr">
        <is>
          <t>Не использован</t>
        </is>
      </c>
      <c r="H1531" s="148" t="n"/>
      <c r="I1531" s="34" t="str"/>
      <c r="J1531" s="34" t="str"/>
      <c r="K1531" s="130" t="n">
        <v>124</v>
      </c>
      <c r="L1531" s="43">
        <f>IF(COUNTIF($F$5:$F$2407,F1531)=1,"OK","Дубликат")</f>
        <v/>
      </c>
    </row>
    <row r="1532" ht="38" customHeight="1">
      <c r="A1532" s="146" t="inlineStr">
        <is>
          <t>BONUS-L1-TRIAL-3FOR2</t>
        </is>
      </c>
      <c r="B1532" s="39" t="inlineStr">
        <is>
          <t>1 уровень</t>
        </is>
      </c>
      <c r="C1532" s="34" t="inlineStr">
        <is>
          <t>Призы не на абонементы</t>
        </is>
      </c>
      <c r="D1532" s="34" t="inlineStr">
        <is>
          <t>Апгрейд: 3 пробных занятия по цене 2</t>
        </is>
      </c>
      <c r="E1532" s="34" t="inlineStr">
        <is>
          <t>Оплата двух пробных занятий дает право посетить три</t>
        </is>
      </c>
      <c r="F1532" s="147" t="inlineStr">
        <is>
          <t>FW-L1-4QRST-JMGGV</t>
        </is>
      </c>
      <c r="G1532" s="39" t="inlineStr">
        <is>
          <t>Не использован</t>
        </is>
      </c>
      <c r="H1532" s="148" t="n"/>
      <c r="I1532" s="34" t="str"/>
      <c r="J1532" s="34" t="str"/>
      <c r="K1532" s="130" t="n">
        <v>125</v>
      </c>
      <c r="L1532" s="43">
        <f>IF(COUNTIF($F$5:$F$2407,F1532)=1,"OK","Дубликат")</f>
        <v/>
      </c>
    </row>
    <row r="1533" ht="38" customHeight="1">
      <c r="A1533" s="146" t="inlineStr">
        <is>
          <t>BONUS-L1-TRIAL-3FOR2</t>
        </is>
      </c>
      <c r="B1533" s="39" t="inlineStr">
        <is>
          <t>1 уровень</t>
        </is>
      </c>
      <c r="C1533" s="34" t="inlineStr">
        <is>
          <t>Призы не на абонементы</t>
        </is>
      </c>
      <c r="D1533" s="34" t="inlineStr">
        <is>
          <t>Апгрейд: 3 пробных занятия по цене 2</t>
        </is>
      </c>
      <c r="E1533" s="34" t="inlineStr">
        <is>
          <t>Оплата двух пробных занятий дает право посетить три</t>
        </is>
      </c>
      <c r="F1533" s="147" t="inlineStr">
        <is>
          <t>FW-L1-HG2CS-VQ6Z6</t>
        </is>
      </c>
      <c r="G1533" s="39" t="inlineStr">
        <is>
          <t>Не использован</t>
        </is>
      </c>
      <c r="H1533" s="148" t="n"/>
      <c r="I1533" s="34" t="str"/>
      <c r="J1533" s="34" t="str"/>
      <c r="K1533" s="130" t="n">
        <v>126</v>
      </c>
      <c r="L1533" s="43">
        <f>IF(COUNTIF($F$5:$F$2407,F1533)=1,"OK","Дубликат")</f>
        <v/>
      </c>
    </row>
    <row r="1534" ht="38" customHeight="1">
      <c r="A1534" s="146" t="inlineStr">
        <is>
          <t>BONUS-L1-TRIAL-3FOR2</t>
        </is>
      </c>
      <c r="B1534" s="39" t="inlineStr">
        <is>
          <t>1 уровень</t>
        </is>
      </c>
      <c r="C1534" s="34" t="inlineStr">
        <is>
          <t>Призы не на абонементы</t>
        </is>
      </c>
      <c r="D1534" s="34" t="inlineStr">
        <is>
          <t>Апгрейд: 3 пробных занятия по цене 2</t>
        </is>
      </c>
      <c r="E1534" s="34" t="inlineStr">
        <is>
          <t>Оплата двух пробных занятий дает право посетить три</t>
        </is>
      </c>
      <c r="F1534" s="147" t="inlineStr">
        <is>
          <t>FW-L1-66JVX-SSPYQ</t>
        </is>
      </c>
      <c r="G1534" s="39" t="inlineStr">
        <is>
          <t>Не использован</t>
        </is>
      </c>
      <c r="H1534" s="148" t="n"/>
      <c r="I1534" s="34" t="str"/>
      <c r="J1534" s="34" t="str"/>
      <c r="K1534" s="130" t="n">
        <v>127</v>
      </c>
      <c r="L1534" s="43">
        <f>IF(COUNTIF($F$5:$F$2407,F1534)=1,"OK","Дубликат")</f>
        <v/>
      </c>
    </row>
    <row r="1535" ht="38" customHeight="1">
      <c r="A1535" s="146" t="inlineStr">
        <is>
          <t>BONUS-L1-TRIAL-3FOR2</t>
        </is>
      </c>
      <c r="B1535" s="39" t="inlineStr">
        <is>
          <t>1 уровень</t>
        </is>
      </c>
      <c r="C1535" s="34" t="inlineStr">
        <is>
          <t>Призы не на абонементы</t>
        </is>
      </c>
      <c r="D1535" s="34" t="inlineStr">
        <is>
          <t>Апгрейд: 3 пробных занятия по цене 2</t>
        </is>
      </c>
      <c r="E1535" s="34" t="inlineStr">
        <is>
          <t>Оплата двух пробных занятий дает право посетить три</t>
        </is>
      </c>
      <c r="F1535" s="147" t="inlineStr">
        <is>
          <t>FW-L1-H4GKL-MYNM6</t>
        </is>
      </c>
      <c r="G1535" s="39" t="inlineStr">
        <is>
          <t>Не использован</t>
        </is>
      </c>
      <c r="H1535" s="148" t="n"/>
      <c r="I1535" s="34" t="str"/>
      <c r="J1535" s="34" t="str"/>
      <c r="K1535" s="130" t="n">
        <v>128</v>
      </c>
      <c r="L1535" s="43">
        <f>IF(COUNTIF($F$5:$F$2407,F1535)=1,"OK","Дубликат")</f>
        <v/>
      </c>
    </row>
    <row r="1536" ht="38" customHeight="1">
      <c r="A1536" s="146" t="inlineStr">
        <is>
          <t>BONUS-L1-TRIAL-3FOR2</t>
        </is>
      </c>
      <c r="B1536" s="39" t="inlineStr">
        <is>
          <t>1 уровень</t>
        </is>
      </c>
      <c r="C1536" s="34" t="inlineStr">
        <is>
          <t>Призы не на абонементы</t>
        </is>
      </c>
      <c r="D1536" s="34" t="inlineStr">
        <is>
          <t>Апгрейд: 3 пробных занятия по цене 2</t>
        </is>
      </c>
      <c r="E1536" s="34" t="inlineStr">
        <is>
          <t>Оплата двух пробных занятий дает право посетить три</t>
        </is>
      </c>
      <c r="F1536" s="147" t="inlineStr">
        <is>
          <t>FW-L1-KZDZ9-TWBWF</t>
        </is>
      </c>
      <c r="G1536" s="39" t="inlineStr">
        <is>
          <t>Не использован</t>
        </is>
      </c>
      <c r="H1536" s="148" t="n"/>
      <c r="I1536" s="34" t="str"/>
      <c r="J1536" s="34" t="str"/>
      <c r="K1536" s="130" t="n">
        <v>129</v>
      </c>
      <c r="L1536" s="43">
        <f>IF(COUNTIF($F$5:$F$2407,F1536)=1,"OK","Дубликат")</f>
        <v/>
      </c>
    </row>
    <row r="1537" ht="38" customHeight="1">
      <c r="A1537" s="146" t="inlineStr">
        <is>
          <t>BONUS-L1-TRIAL-3FOR2</t>
        </is>
      </c>
      <c r="B1537" s="39" t="inlineStr">
        <is>
          <t>1 уровень</t>
        </is>
      </c>
      <c r="C1537" s="34" t="inlineStr">
        <is>
          <t>Призы не на абонементы</t>
        </is>
      </c>
      <c r="D1537" s="34" t="inlineStr">
        <is>
          <t>Апгрейд: 3 пробных занятия по цене 2</t>
        </is>
      </c>
      <c r="E1537" s="34" t="inlineStr">
        <is>
          <t>Оплата двух пробных занятий дает право посетить три</t>
        </is>
      </c>
      <c r="F1537" s="147" t="inlineStr">
        <is>
          <t>FW-L1-NT4CM-8KWFC</t>
        </is>
      </c>
      <c r="G1537" s="39" t="inlineStr">
        <is>
          <t>Не использован</t>
        </is>
      </c>
      <c r="H1537" s="148" t="n"/>
      <c r="I1537" s="34" t="str"/>
      <c r="J1537" s="34" t="str"/>
      <c r="K1537" s="130" t="n">
        <v>130</v>
      </c>
      <c r="L1537" s="43">
        <f>IF(COUNTIF($F$5:$F$2407,F1537)=1,"OK","Дубликат")</f>
        <v/>
      </c>
    </row>
    <row r="1538" ht="38" customHeight="1">
      <c r="A1538" s="146" t="inlineStr">
        <is>
          <t>BONUS-L1-TRIAL-3FOR2</t>
        </is>
      </c>
      <c r="B1538" s="39" t="inlineStr">
        <is>
          <t>1 уровень</t>
        </is>
      </c>
      <c r="C1538" s="34" t="inlineStr">
        <is>
          <t>Призы не на абонементы</t>
        </is>
      </c>
      <c r="D1538" s="34" t="inlineStr">
        <is>
          <t>Апгрейд: 3 пробных занятия по цене 2</t>
        </is>
      </c>
      <c r="E1538" s="34" t="inlineStr">
        <is>
          <t>Оплата двух пробных занятий дает право посетить три</t>
        </is>
      </c>
      <c r="F1538" s="147" t="inlineStr">
        <is>
          <t>FW-L1-AQEJS-B7J2E</t>
        </is>
      </c>
      <c r="G1538" s="39" t="inlineStr">
        <is>
          <t>Не использован</t>
        </is>
      </c>
      <c r="H1538" s="148" t="n"/>
      <c r="I1538" s="34" t="str"/>
      <c r="J1538" s="34" t="str"/>
      <c r="K1538" s="130" t="n">
        <v>131</v>
      </c>
      <c r="L1538" s="43">
        <f>IF(COUNTIF($F$5:$F$2407,F1538)=1,"OK","Дубликат")</f>
        <v/>
      </c>
    </row>
    <row r="1539" ht="38" customHeight="1">
      <c r="A1539" s="146" t="inlineStr">
        <is>
          <t>BONUS-L1-TRIAL-3FOR2</t>
        </is>
      </c>
      <c r="B1539" s="39" t="inlineStr">
        <is>
          <t>1 уровень</t>
        </is>
      </c>
      <c r="C1539" s="34" t="inlineStr">
        <is>
          <t>Призы не на абонементы</t>
        </is>
      </c>
      <c r="D1539" s="34" t="inlineStr">
        <is>
          <t>Апгрейд: 3 пробных занятия по цене 2</t>
        </is>
      </c>
      <c r="E1539" s="34" t="inlineStr">
        <is>
          <t>Оплата двух пробных занятий дает право посетить три</t>
        </is>
      </c>
      <c r="F1539" s="147" t="inlineStr">
        <is>
          <t>FW-L1-WLKZY-ZUKEV</t>
        </is>
      </c>
      <c r="G1539" s="39" t="inlineStr">
        <is>
          <t>Не использован</t>
        </is>
      </c>
      <c r="H1539" s="148" t="n"/>
      <c r="I1539" s="34" t="str"/>
      <c r="J1539" s="34" t="str"/>
      <c r="K1539" s="130" t="n">
        <v>132</v>
      </c>
      <c r="L1539" s="43">
        <f>IF(COUNTIF($F$5:$F$2407,F1539)=1,"OK","Дубликат")</f>
        <v/>
      </c>
    </row>
    <row r="1540" ht="38" customHeight="1">
      <c r="A1540" s="146" t="inlineStr">
        <is>
          <t>BONUS-L1-TRIAL-3FOR2</t>
        </is>
      </c>
      <c r="B1540" s="39" t="inlineStr">
        <is>
          <t>1 уровень</t>
        </is>
      </c>
      <c r="C1540" s="34" t="inlineStr">
        <is>
          <t>Призы не на абонементы</t>
        </is>
      </c>
      <c r="D1540" s="34" t="inlineStr">
        <is>
          <t>Апгрейд: 3 пробных занятия по цене 2</t>
        </is>
      </c>
      <c r="E1540" s="34" t="inlineStr">
        <is>
          <t>Оплата двух пробных занятий дает право посетить три</t>
        </is>
      </c>
      <c r="F1540" s="147" t="inlineStr">
        <is>
          <t>FW-L1-KJWXK-W79YP</t>
        </is>
      </c>
      <c r="G1540" s="39" t="inlineStr">
        <is>
          <t>Не использован</t>
        </is>
      </c>
      <c r="H1540" s="148" t="n"/>
      <c r="I1540" s="34" t="str"/>
      <c r="J1540" s="34" t="str"/>
      <c r="K1540" s="130" t="n">
        <v>133</v>
      </c>
      <c r="L1540" s="43">
        <f>IF(COUNTIF($F$5:$F$2407,F1540)=1,"OK","Дубликат")</f>
        <v/>
      </c>
    </row>
    <row r="1541" ht="38" customHeight="1">
      <c r="A1541" s="146" t="inlineStr">
        <is>
          <t>BONUS-L1-TRIAL-3FOR2</t>
        </is>
      </c>
      <c r="B1541" s="39" t="inlineStr">
        <is>
          <t>1 уровень</t>
        </is>
      </c>
      <c r="C1541" s="34" t="inlineStr">
        <is>
          <t>Призы не на абонементы</t>
        </is>
      </c>
      <c r="D1541" s="34" t="inlineStr">
        <is>
          <t>Апгрейд: 3 пробных занятия по цене 2</t>
        </is>
      </c>
      <c r="E1541" s="34" t="inlineStr">
        <is>
          <t>Оплата двух пробных занятий дает право посетить три</t>
        </is>
      </c>
      <c r="F1541" s="147" t="inlineStr">
        <is>
          <t>FW-L1-3A285-V424E</t>
        </is>
      </c>
      <c r="G1541" s="39" t="inlineStr">
        <is>
          <t>Не использован</t>
        </is>
      </c>
      <c r="H1541" s="148" t="n"/>
      <c r="I1541" s="34" t="str"/>
      <c r="J1541" s="34" t="str"/>
      <c r="K1541" s="130" t="n">
        <v>134</v>
      </c>
      <c r="L1541" s="43">
        <f>IF(COUNTIF($F$5:$F$2407,F1541)=1,"OK","Дубликат")</f>
        <v/>
      </c>
    </row>
    <row r="1542" ht="38" customHeight="1">
      <c r="A1542" s="146" t="inlineStr">
        <is>
          <t>BONUS-L1-TRIAL-3FOR2</t>
        </is>
      </c>
      <c r="B1542" s="39" t="inlineStr">
        <is>
          <t>1 уровень</t>
        </is>
      </c>
      <c r="C1542" s="34" t="inlineStr">
        <is>
          <t>Призы не на абонементы</t>
        </is>
      </c>
      <c r="D1542" s="34" t="inlineStr">
        <is>
          <t>Апгрейд: 3 пробных занятия по цене 2</t>
        </is>
      </c>
      <c r="E1542" s="34" t="inlineStr">
        <is>
          <t>Оплата двух пробных занятий дает право посетить три</t>
        </is>
      </c>
      <c r="F1542" s="147" t="inlineStr">
        <is>
          <t>FW-L1-2YV32-QM9EC</t>
        </is>
      </c>
      <c r="G1542" s="39" t="inlineStr">
        <is>
          <t>Не использован</t>
        </is>
      </c>
      <c r="H1542" s="148" t="n"/>
      <c r="I1542" s="34" t="str"/>
      <c r="J1542" s="34" t="str"/>
      <c r="K1542" s="130" t="n">
        <v>135</v>
      </c>
      <c r="L1542" s="43">
        <f>IF(COUNTIF($F$5:$F$2407,F1542)=1,"OK","Дубликат")</f>
        <v/>
      </c>
    </row>
    <row r="1543" ht="38" customHeight="1">
      <c r="A1543" s="146" t="inlineStr">
        <is>
          <t>BONUS-L1-TRIAL-3FOR2</t>
        </is>
      </c>
      <c r="B1543" s="39" t="inlineStr">
        <is>
          <t>1 уровень</t>
        </is>
      </c>
      <c r="C1543" s="34" t="inlineStr">
        <is>
          <t>Призы не на абонементы</t>
        </is>
      </c>
      <c r="D1543" s="34" t="inlineStr">
        <is>
          <t>Апгрейд: 3 пробных занятия по цене 2</t>
        </is>
      </c>
      <c r="E1543" s="34" t="inlineStr">
        <is>
          <t>Оплата двух пробных занятий дает право посетить три</t>
        </is>
      </c>
      <c r="F1543" s="147" t="inlineStr">
        <is>
          <t>FW-L1-JUSX7-75WQB</t>
        </is>
      </c>
      <c r="G1543" s="39" t="inlineStr">
        <is>
          <t>Не использован</t>
        </is>
      </c>
      <c r="H1543" s="148" t="n"/>
      <c r="I1543" s="34" t="str"/>
      <c r="J1543" s="34" t="str"/>
      <c r="K1543" s="130" t="n">
        <v>136</v>
      </c>
      <c r="L1543" s="43">
        <f>IF(COUNTIF($F$5:$F$2407,F1543)=1,"OK","Дубликат")</f>
        <v/>
      </c>
    </row>
    <row r="1544" ht="38" customHeight="1">
      <c r="A1544" s="146" t="inlineStr">
        <is>
          <t>BONUS-L1-TRIAL-3FOR2</t>
        </is>
      </c>
      <c r="B1544" s="39" t="inlineStr">
        <is>
          <t>1 уровень</t>
        </is>
      </c>
      <c r="C1544" s="34" t="inlineStr">
        <is>
          <t>Призы не на абонементы</t>
        </is>
      </c>
      <c r="D1544" s="34" t="inlineStr">
        <is>
          <t>Апгрейд: 3 пробных занятия по цене 2</t>
        </is>
      </c>
      <c r="E1544" s="34" t="inlineStr">
        <is>
          <t>Оплата двух пробных занятий дает право посетить три</t>
        </is>
      </c>
      <c r="F1544" s="147" t="inlineStr">
        <is>
          <t>FW-L1-YBG8B-NLZ7K</t>
        </is>
      </c>
      <c r="G1544" s="39" t="inlineStr">
        <is>
          <t>Не использован</t>
        </is>
      </c>
      <c r="H1544" s="148" t="n"/>
      <c r="I1544" s="34" t="str"/>
      <c r="J1544" s="34" t="str"/>
      <c r="K1544" s="130" t="n">
        <v>137</v>
      </c>
      <c r="L1544" s="43">
        <f>IF(COUNTIF($F$5:$F$2407,F1544)=1,"OK","Дубликат")</f>
        <v/>
      </c>
    </row>
    <row r="1545" ht="38" customHeight="1">
      <c r="A1545" s="146" t="inlineStr">
        <is>
          <t>BONUS-L1-TRIAL-3FOR2</t>
        </is>
      </c>
      <c r="B1545" s="39" t="inlineStr">
        <is>
          <t>1 уровень</t>
        </is>
      </c>
      <c r="C1545" s="34" t="inlineStr">
        <is>
          <t>Призы не на абонементы</t>
        </is>
      </c>
      <c r="D1545" s="34" t="inlineStr">
        <is>
          <t>Апгрейд: 3 пробных занятия по цене 2</t>
        </is>
      </c>
      <c r="E1545" s="34" t="inlineStr">
        <is>
          <t>Оплата двух пробных занятий дает право посетить три</t>
        </is>
      </c>
      <c r="F1545" s="147" t="inlineStr">
        <is>
          <t>FW-L1-DEY69-32ERF</t>
        </is>
      </c>
      <c r="G1545" s="39" t="inlineStr">
        <is>
          <t>Не использован</t>
        </is>
      </c>
      <c r="H1545" s="148" t="n"/>
      <c r="I1545" s="34" t="str"/>
      <c r="J1545" s="34" t="str"/>
      <c r="K1545" s="130" t="n">
        <v>138</v>
      </c>
      <c r="L1545" s="43">
        <f>IF(COUNTIF($F$5:$F$2407,F1545)=1,"OK","Дубликат")</f>
        <v/>
      </c>
    </row>
    <row r="1546" ht="38" customHeight="1">
      <c r="A1546" s="146" t="inlineStr">
        <is>
          <t>BONUS-L1-TRIAL-3FOR2</t>
        </is>
      </c>
      <c r="B1546" s="39" t="inlineStr">
        <is>
          <t>1 уровень</t>
        </is>
      </c>
      <c r="C1546" s="34" t="inlineStr">
        <is>
          <t>Призы не на абонементы</t>
        </is>
      </c>
      <c r="D1546" s="34" t="inlineStr">
        <is>
          <t>Апгрейд: 3 пробных занятия по цене 2</t>
        </is>
      </c>
      <c r="E1546" s="34" t="inlineStr">
        <is>
          <t>Оплата двух пробных занятий дает право посетить три</t>
        </is>
      </c>
      <c r="F1546" s="147" t="inlineStr">
        <is>
          <t>FW-L1-PJUGY-RCKLG</t>
        </is>
      </c>
      <c r="G1546" s="39" t="inlineStr">
        <is>
          <t>Не использован</t>
        </is>
      </c>
      <c r="H1546" s="148" t="n"/>
      <c r="I1546" s="34" t="str"/>
      <c r="J1546" s="34" t="str"/>
      <c r="K1546" s="130" t="n">
        <v>139</v>
      </c>
      <c r="L1546" s="43">
        <f>IF(COUNTIF($F$5:$F$2407,F1546)=1,"OK","Дубликат")</f>
        <v/>
      </c>
    </row>
    <row r="1547" ht="38" customHeight="1">
      <c r="A1547" s="146" t="inlineStr">
        <is>
          <t>BONUS-L1-TRIAL-3FOR2</t>
        </is>
      </c>
      <c r="B1547" s="39" t="inlineStr">
        <is>
          <t>1 уровень</t>
        </is>
      </c>
      <c r="C1547" s="34" t="inlineStr">
        <is>
          <t>Призы не на абонементы</t>
        </is>
      </c>
      <c r="D1547" s="34" t="inlineStr">
        <is>
          <t>Апгрейд: 3 пробных занятия по цене 2</t>
        </is>
      </c>
      <c r="E1547" s="34" t="inlineStr">
        <is>
          <t>Оплата двух пробных занятий дает право посетить три</t>
        </is>
      </c>
      <c r="F1547" s="147" t="inlineStr">
        <is>
          <t>FW-L1-DGHB7-BX5W4</t>
        </is>
      </c>
      <c r="G1547" s="39" t="inlineStr">
        <is>
          <t>Не использован</t>
        </is>
      </c>
      <c r="H1547" s="148" t="n"/>
      <c r="I1547" s="34" t="str"/>
      <c r="J1547" s="34" t="str"/>
      <c r="K1547" s="130" t="n">
        <v>140</v>
      </c>
      <c r="L1547" s="43">
        <f>IF(COUNTIF($F$5:$F$2407,F1547)=1,"OK","Дубликат")</f>
        <v/>
      </c>
    </row>
    <row r="1548" ht="38" customHeight="1">
      <c r="A1548" s="146" t="inlineStr">
        <is>
          <t>BONUS-L1-TRIAL-3FOR2</t>
        </is>
      </c>
      <c r="B1548" s="39" t="inlineStr">
        <is>
          <t>1 уровень</t>
        </is>
      </c>
      <c r="C1548" s="34" t="inlineStr">
        <is>
          <t>Призы не на абонементы</t>
        </is>
      </c>
      <c r="D1548" s="34" t="inlineStr">
        <is>
          <t>Апгрейд: 3 пробных занятия по цене 2</t>
        </is>
      </c>
      <c r="E1548" s="34" t="inlineStr">
        <is>
          <t>Оплата двух пробных занятий дает право посетить три</t>
        </is>
      </c>
      <c r="F1548" s="147" t="inlineStr">
        <is>
          <t>FW-L1-5NMF6-8PNNN</t>
        </is>
      </c>
      <c r="G1548" s="39" t="inlineStr">
        <is>
          <t>Не использован</t>
        </is>
      </c>
      <c r="H1548" s="148" t="n"/>
      <c r="I1548" s="34" t="str"/>
      <c r="J1548" s="34" t="str"/>
      <c r="K1548" s="130" t="n">
        <v>141</v>
      </c>
      <c r="L1548" s="43">
        <f>IF(COUNTIF($F$5:$F$2407,F1548)=1,"OK","Дубликат")</f>
        <v/>
      </c>
    </row>
    <row r="1549" ht="38" customHeight="1">
      <c r="A1549" s="146" t="inlineStr">
        <is>
          <t>BONUS-L1-TRIAL-3FOR2</t>
        </is>
      </c>
      <c r="B1549" s="39" t="inlineStr">
        <is>
          <t>1 уровень</t>
        </is>
      </c>
      <c r="C1549" s="34" t="inlineStr">
        <is>
          <t>Призы не на абонементы</t>
        </is>
      </c>
      <c r="D1549" s="34" t="inlineStr">
        <is>
          <t>Апгрейд: 3 пробных занятия по цене 2</t>
        </is>
      </c>
      <c r="E1549" s="34" t="inlineStr">
        <is>
          <t>Оплата двух пробных занятий дает право посетить три</t>
        </is>
      </c>
      <c r="F1549" s="147" t="inlineStr">
        <is>
          <t>FW-L1-YQC47-Z8AX6</t>
        </is>
      </c>
      <c r="G1549" s="39" t="inlineStr">
        <is>
          <t>Не использован</t>
        </is>
      </c>
      <c r="H1549" s="148" t="n"/>
      <c r="I1549" s="34" t="str"/>
      <c r="J1549" s="34" t="str"/>
      <c r="K1549" s="130" t="n">
        <v>142</v>
      </c>
      <c r="L1549" s="43">
        <f>IF(COUNTIF($F$5:$F$2407,F1549)=1,"OK","Дубликат")</f>
        <v/>
      </c>
    </row>
    <row r="1550" ht="38" customHeight="1">
      <c r="A1550" s="146" t="inlineStr">
        <is>
          <t>BONUS-L1-TRIAL-3FOR2</t>
        </is>
      </c>
      <c r="B1550" s="39" t="inlineStr">
        <is>
          <t>1 уровень</t>
        </is>
      </c>
      <c r="C1550" s="34" t="inlineStr">
        <is>
          <t>Призы не на абонементы</t>
        </is>
      </c>
      <c r="D1550" s="34" t="inlineStr">
        <is>
          <t>Апгрейд: 3 пробных занятия по цене 2</t>
        </is>
      </c>
      <c r="E1550" s="34" t="inlineStr">
        <is>
          <t>Оплата двух пробных занятий дает право посетить три</t>
        </is>
      </c>
      <c r="F1550" s="147" t="inlineStr">
        <is>
          <t>FW-L1-9D9DL-J8WB3</t>
        </is>
      </c>
      <c r="G1550" s="39" t="inlineStr">
        <is>
          <t>Не использован</t>
        </is>
      </c>
      <c r="H1550" s="148" t="n"/>
      <c r="I1550" s="34" t="str"/>
      <c r="J1550" s="34" t="str"/>
      <c r="K1550" s="130" t="n">
        <v>143</v>
      </c>
      <c r="L1550" s="43">
        <f>IF(COUNTIF($F$5:$F$2407,F1550)=1,"OK","Дубликат")</f>
        <v/>
      </c>
    </row>
    <row r="1551" ht="38" customHeight="1">
      <c r="A1551" s="146" t="inlineStr">
        <is>
          <t>BONUS-L1-TRIAL-3FOR2</t>
        </is>
      </c>
      <c r="B1551" s="39" t="inlineStr">
        <is>
          <t>1 уровень</t>
        </is>
      </c>
      <c r="C1551" s="34" t="inlineStr">
        <is>
          <t>Призы не на абонементы</t>
        </is>
      </c>
      <c r="D1551" s="34" t="inlineStr">
        <is>
          <t>Апгрейд: 3 пробных занятия по цене 2</t>
        </is>
      </c>
      <c r="E1551" s="34" t="inlineStr">
        <is>
          <t>Оплата двух пробных занятий дает право посетить три</t>
        </is>
      </c>
      <c r="F1551" s="147" t="inlineStr">
        <is>
          <t>FW-L1-R8QD2-TYYHK</t>
        </is>
      </c>
      <c r="G1551" s="39" t="inlineStr">
        <is>
          <t>Не использован</t>
        </is>
      </c>
      <c r="H1551" s="148" t="n"/>
      <c r="I1551" s="34" t="str"/>
      <c r="J1551" s="34" t="str"/>
      <c r="K1551" s="130" t="n">
        <v>144</v>
      </c>
      <c r="L1551" s="43">
        <f>IF(COUNTIF($F$5:$F$2407,F1551)=1,"OK","Дубликат")</f>
        <v/>
      </c>
    </row>
    <row r="1552" ht="38" customHeight="1">
      <c r="A1552" s="146" t="inlineStr">
        <is>
          <t>BONUS-L1-TRIAL-3FOR2</t>
        </is>
      </c>
      <c r="B1552" s="39" t="inlineStr">
        <is>
          <t>1 уровень</t>
        </is>
      </c>
      <c r="C1552" s="34" t="inlineStr">
        <is>
          <t>Призы не на абонементы</t>
        </is>
      </c>
      <c r="D1552" s="34" t="inlineStr">
        <is>
          <t>Апгрейд: 3 пробных занятия по цене 2</t>
        </is>
      </c>
      <c r="E1552" s="34" t="inlineStr">
        <is>
          <t>Оплата двух пробных занятий дает право посетить три</t>
        </is>
      </c>
      <c r="F1552" s="147" t="inlineStr">
        <is>
          <t>FW-L1-QWWJ5-8PYXH</t>
        </is>
      </c>
      <c r="G1552" s="39" t="inlineStr">
        <is>
          <t>Не использован</t>
        </is>
      </c>
      <c r="H1552" s="148" t="n"/>
      <c r="I1552" s="34" t="str"/>
      <c r="J1552" s="34" t="str"/>
      <c r="K1552" s="130" t="n">
        <v>145</v>
      </c>
      <c r="L1552" s="43">
        <f>IF(COUNTIF($F$5:$F$2407,F1552)=1,"OK","Дубликат")</f>
        <v/>
      </c>
    </row>
    <row r="1553" ht="38" customHeight="1">
      <c r="A1553" s="146" t="inlineStr">
        <is>
          <t>BONUS-L1-TRIAL-3FOR2</t>
        </is>
      </c>
      <c r="B1553" s="39" t="inlineStr">
        <is>
          <t>1 уровень</t>
        </is>
      </c>
      <c r="C1553" s="34" t="inlineStr">
        <is>
          <t>Призы не на абонементы</t>
        </is>
      </c>
      <c r="D1553" s="34" t="inlineStr">
        <is>
          <t>Апгрейд: 3 пробных занятия по цене 2</t>
        </is>
      </c>
      <c r="E1553" s="34" t="inlineStr">
        <is>
          <t>Оплата двух пробных занятий дает право посетить три</t>
        </is>
      </c>
      <c r="F1553" s="147" t="inlineStr">
        <is>
          <t>FW-L1-FSEUR-VEJ95</t>
        </is>
      </c>
      <c r="G1553" s="39" t="inlineStr">
        <is>
          <t>Не использован</t>
        </is>
      </c>
      <c r="H1553" s="148" t="n"/>
      <c r="I1553" s="34" t="str"/>
      <c r="J1553" s="34" t="str"/>
      <c r="K1553" s="130" t="n">
        <v>146</v>
      </c>
      <c r="L1553" s="43">
        <f>IF(COUNTIF($F$5:$F$2407,F1553)=1,"OK","Дубликат")</f>
        <v/>
      </c>
    </row>
    <row r="1554" ht="38" customHeight="1">
      <c r="A1554" s="146" t="inlineStr">
        <is>
          <t>BONUS-L1-TRIAL-3FOR2</t>
        </is>
      </c>
      <c r="B1554" s="39" t="inlineStr">
        <is>
          <t>1 уровень</t>
        </is>
      </c>
      <c r="C1554" s="34" t="inlineStr">
        <is>
          <t>Призы не на абонементы</t>
        </is>
      </c>
      <c r="D1554" s="34" t="inlineStr">
        <is>
          <t>Апгрейд: 3 пробных занятия по цене 2</t>
        </is>
      </c>
      <c r="E1554" s="34" t="inlineStr">
        <is>
          <t>Оплата двух пробных занятий дает право посетить три</t>
        </is>
      </c>
      <c r="F1554" s="147" t="inlineStr">
        <is>
          <t>FW-L1-GYV7L-3TPMA</t>
        </is>
      </c>
      <c r="G1554" s="39" t="inlineStr">
        <is>
          <t>Не использован</t>
        </is>
      </c>
      <c r="H1554" s="148" t="n"/>
      <c r="I1554" s="34" t="str"/>
      <c r="J1554" s="34" t="str"/>
      <c r="K1554" s="130" t="n">
        <v>147</v>
      </c>
      <c r="L1554" s="43">
        <f>IF(COUNTIF($F$5:$F$2407,F1554)=1,"OK","Дубликат")</f>
        <v/>
      </c>
    </row>
    <row r="1555" ht="38" customHeight="1">
      <c r="A1555" s="146" t="inlineStr">
        <is>
          <t>BONUS-L1-TRIAL-3FOR2</t>
        </is>
      </c>
      <c r="B1555" s="39" t="inlineStr">
        <is>
          <t>1 уровень</t>
        </is>
      </c>
      <c r="C1555" s="34" t="inlineStr">
        <is>
          <t>Призы не на абонементы</t>
        </is>
      </c>
      <c r="D1555" s="34" t="inlineStr">
        <is>
          <t>Апгрейд: 3 пробных занятия по цене 2</t>
        </is>
      </c>
      <c r="E1555" s="34" t="inlineStr">
        <is>
          <t>Оплата двух пробных занятий дает право посетить три</t>
        </is>
      </c>
      <c r="F1555" s="147" t="inlineStr">
        <is>
          <t>FW-L1-L7KFN-HN5AD</t>
        </is>
      </c>
      <c r="G1555" s="39" t="inlineStr">
        <is>
          <t>Не использован</t>
        </is>
      </c>
      <c r="H1555" s="148" t="n"/>
      <c r="I1555" s="34" t="str"/>
      <c r="J1555" s="34" t="str"/>
      <c r="K1555" s="130" t="n">
        <v>148</v>
      </c>
      <c r="L1555" s="43">
        <f>IF(COUNTIF($F$5:$F$2407,F1555)=1,"OK","Дубликат")</f>
        <v/>
      </c>
    </row>
    <row r="1556" ht="38" customHeight="1">
      <c r="A1556" s="146" t="inlineStr">
        <is>
          <t>BONUS-L1-TRIAL-3FOR2</t>
        </is>
      </c>
      <c r="B1556" s="39" t="inlineStr">
        <is>
          <t>1 уровень</t>
        </is>
      </c>
      <c r="C1556" s="34" t="inlineStr">
        <is>
          <t>Призы не на абонементы</t>
        </is>
      </c>
      <c r="D1556" s="34" t="inlineStr">
        <is>
          <t>Апгрейд: 3 пробных занятия по цене 2</t>
        </is>
      </c>
      <c r="E1556" s="34" t="inlineStr">
        <is>
          <t>Оплата двух пробных занятий дает право посетить три</t>
        </is>
      </c>
      <c r="F1556" s="147" t="inlineStr">
        <is>
          <t>FW-L1-HP97A-ANCKF</t>
        </is>
      </c>
      <c r="G1556" s="39" t="inlineStr">
        <is>
          <t>Не использован</t>
        </is>
      </c>
      <c r="H1556" s="148" t="n"/>
      <c r="I1556" s="34" t="str"/>
      <c r="J1556" s="34" t="str"/>
      <c r="K1556" s="130" t="n">
        <v>149</v>
      </c>
      <c r="L1556" s="43">
        <f>IF(COUNTIF($F$5:$F$2407,F1556)=1,"OK","Дубликат")</f>
        <v/>
      </c>
    </row>
    <row r="1557" ht="38" customHeight="1">
      <c r="A1557" s="146" t="inlineStr">
        <is>
          <t>BONUS-L1-TRIAL-3FOR2</t>
        </is>
      </c>
      <c r="B1557" s="39" t="inlineStr">
        <is>
          <t>1 уровень</t>
        </is>
      </c>
      <c r="C1557" s="34" t="inlineStr">
        <is>
          <t>Призы не на абонементы</t>
        </is>
      </c>
      <c r="D1557" s="34" t="inlineStr">
        <is>
          <t>Апгрейд: 3 пробных занятия по цене 2</t>
        </is>
      </c>
      <c r="E1557" s="34" t="inlineStr">
        <is>
          <t>Оплата двух пробных занятий дает право посетить три</t>
        </is>
      </c>
      <c r="F1557" s="147" t="inlineStr">
        <is>
          <t>FW-L1-28A9U-AXEHA</t>
        </is>
      </c>
      <c r="G1557" s="39" t="inlineStr">
        <is>
          <t>Не использован</t>
        </is>
      </c>
      <c r="H1557" s="148" t="n"/>
      <c r="I1557" s="34" t="str"/>
      <c r="J1557" s="34" t="str"/>
      <c r="K1557" s="130" t="n">
        <v>150</v>
      </c>
      <c r="L1557" s="43">
        <f>IF(COUNTIF($F$5:$F$2407,F1557)=1,"OK","Дубликат")</f>
        <v/>
      </c>
    </row>
    <row r="1558" ht="38" customHeight="1">
      <c r="A1558" s="146" t="inlineStr">
        <is>
          <t>BONUS-L1-TRIAL-3FOR2</t>
        </is>
      </c>
      <c r="B1558" s="39" t="inlineStr">
        <is>
          <t>1 уровень</t>
        </is>
      </c>
      <c r="C1558" s="34" t="inlineStr">
        <is>
          <t>Призы не на абонементы</t>
        </is>
      </c>
      <c r="D1558" s="34" t="inlineStr">
        <is>
          <t>Апгрейд: 3 пробных занятия по цене 2</t>
        </is>
      </c>
      <c r="E1558" s="34" t="inlineStr">
        <is>
          <t>Оплата двух пробных занятий дает право посетить три</t>
        </is>
      </c>
      <c r="F1558" s="147" t="inlineStr">
        <is>
          <t>FW-L1-NXG2G-45EBM</t>
        </is>
      </c>
      <c r="G1558" s="39" t="inlineStr">
        <is>
          <t>Не использован</t>
        </is>
      </c>
      <c r="H1558" s="148" t="n"/>
      <c r="I1558" s="34" t="str"/>
      <c r="J1558" s="34" t="str"/>
      <c r="K1558" s="130" t="n">
        <v>151</v>
      </c>
      <c r="L1558" s="43">
        <f>IF(COUNTIF($F$5:$F$2407,F1558)=1,"OK","Дубликат")</f>
        <v/>
      </c>
    </row>
    <row r="1559" ht="38" customHeight="1">
      <c r="A1559" s="146" t="inlineStr">
        <is>
          <t>BONUS-L1-TRIAL-3FOR2</t>
        </is>
      </c>
      <c r="B1559" s="39" t="inlineStr">
        <is>
          <t>1 уровень</t>
        </is>
      </c>
      <c r="C1559" s="34" t="inlineStr">
        <is>
          <t>Призы не на абонементы</t>
        </is>
      </c>
      <c r="D1559" s="34" t="inlineStr">
        <is>
          <t>Апгрейд: 3 пробных занятия по цене 2</t>
        </is>
      </c>
      <c r="E1559" s="34" t="inlineStr">
        <is>
          <t>Оплата двух пробных занятий дает право посетить три</t>
        </is>
      </c>
      <c r="F1559" s="147" t="inlineStr">
        <is>
          <t>FW-L1-UKVA9-HNYMG</t>
        </is>
      </c>
      <c r="G1559" s="39" t="inlineStr">
        <is>
          <t>Не использован</t>
        </is>
      </c>
      <c r="H1559" s="148" t="n"/>
      <c r="I1559" s="34" t="str"/>
      <c r="J1559" s="34" t="str"/>
      <c r="K1559" s="130" t="n">
        <v>152</v>
      </c>
      <c r="L1559" s="43">
        <f>IF(COUNTIF($F$5:$F$2407,F1559)=1,"OK","Дубликат")</f>
        <v/>
      </c>
    </row>
    <row r="1560" ht="38" customHeight="1">
      <c r="A1560" s="146" t="inlineStr">
        <is>
          <t>BONUS-L1-TRIAL-3FOR2</t>
        </is>
      </c>
      <c r="B1560" s="39" t="inlineStr">
        <is>
          <t>1 уровень</t>
        </is>
      </c>
      <c r="C1560" s="34" t="inlineStr">
        <is>
          <t>Призы не на абонементы</t>
        </is>
      </c>
      <c r="D1560" s="34" t="inlineStr">
        <is>
          <t>Апгрейд: 3 пробных занятия по цене 2</t>
        </is>
      </c>
      <c r="E1560" s="34" t="inlineStr">
        <is>
          <t>Оплата двух пробных занятий дает право посетить три</t>
        </is>
      </c>
      <c r="F1560" s="147" t="inlineStr">
        <is>
          <t>FW-L1-LXG7Z-VBAQL</t>
        </is>
      </c>
      <c r="G1560" s="39" t="inlineStr">
        <is>
          <t>Не использован</t>
        </is>
      </c>
      <c r="H1560" s="148" t="n"/>
      <c r="I1560" s="34" t="str"/>
      <c r="J1560" s="34" t="str"/>
      <c r="K1560" s="130" t="n">
        <v>153</v>
      </c>
      <c r="L1560" s="43">
        <f>IF(COUNTIF($F$5:$F$2407,F1560)=1,"OK","Дубликат")</f>
        <v/>
      </c>
    </row>
    <row r="1561" ht="38" customHeight="1">
      <c r="A1561" s="146" t="inlineStr">
        <is>
          <t>BONUS-L1-TRIAL-3FOR2</t>
        </is>
      </c>
      <c r="B1561" s="39" t="inlineStr">
        <is>
          <t>1 уровень</t>
        </is>
      </c>
      <c r="C1561" s="34" t="inlineStr">
        <is>
          <t>Призы не на абонементы</t>
        </is>
      </c>
      <c r="D1561" s="34" t="inlineStr">
        <is>
          <t>Апгрейд: 3 пробных занятия по цене 2</t>
        </is>
      </c>
      <c r="E1561" s="34" t="inlineStr">
        <is>
          <t>Оплата двух пробных занятий дает право посетить три</t>
        </is>
      </c>
      <c r="F1561" s="147" t="inlineStr">
        <is>
          <t>FW-L1-DL2P2-NZ549</t>
        </is>
      </c>
      <c r="G1561" s="39" t="inlineStr">
        <is>
          <t>Не использован</t>
        </is>
      </c>
      <c r="H1561" s="148" t="n"/>
      <c r="I1561" s="34" t="str"/>
      <c r="J1561" s="34" t="str"/>
      <c r="K1561" s="130" t="n">
        <v>154</v>
      </c>
      <c r="L1561" s="43">
        <f>IF(COUNTIF($F$5:$F$2407,F1561)=1,"OK","Дубликат")</f>
        <v/>
      </c>
    </row>
    <row r="1562" ht="38" customHeight="1">
      <c r="A1562" s="146" t="inlineStr">
        <is>
          <t>BONUS-L1-TRIAL-3FOR2</t>
        </is>
      </c>
      <c r="B1562" s="39" t="inlineStr">
        <is>
          <t>1 уровень</t>
        </is>
      </c>
      <c r="C1562" s="34" t="inlineStr">
        <is>
          <t>Призы не на абонементы</t>
        </is>
      </c>
      <c r="D1562" s="34" t="inlineStr">
        <is>
          <t>Апгрейд: 3 пробных занятия по цене 2</t>
        </is>
      </c>
      <c r="E1562" s="34" t="inlineStr">
        <is>
          <t>Оплата двух пробных занятий дает право посетить три</t>
        </is>
      </c>
      <c r="F1562" s="147" t="inlineStr">
        <is>
          <t>FW-L1-NMQP2-4SQBR</t>
        </is>
      </c>
      <c r="G1562" s="39" t="inlineStr">
        <is>
          <t>Не использован</t>
        </is>
      </c>
      <c r="H1562" s="148" t="n"/>
      <c r="I1562" s="34" t="str"/>
      <c r="J1562" s="34" t="str"/>
      <c r="K1562" s="130" t="n">
        <v>155</v>
      </c>
      <c r="L1562" s="43">
        <f>IF(COUNTIF($F$5:$F$2407,F1562)=1,"OK","Дубликат")</f>
        <v/>
      </c>
    </row>
    <row r="1563" ht="38" customHeight="1">
      <c r="A1563" s="146" t="inlineStr">
        <is>
          <t>BONUS-L1-TRIAL-3FOR2</t>
        </is>
      </c>
      <c r="B1563" s="39" t="inlineStr">
        <is>
          <t>1 уровень</t>
        </is>
      </c>
      <c r="C1563" s="34" t="inlineStr">
        <is>
          <t>Призы не на абонементы</t>
        </is>
      </c>
      <c r="D1563" s="34" t="inlineStr">
        <is>
          <t>Апгрейд: 3 пробных занятия по цене 2</t>
        </is>
      </c>
      <c r="E1563" s="34" t="inlineStr">
        <is>
          <t>Оплата двух пробных занятий дает право посетить три</t>
        </is>
      </c>
      <c r="F1563" s="147" t="inlineStr">
        <is>
          <t>FW-L1-ZRT3W-SFKTC</t>
        </is>
      </c>
      <c r="G1563" s="39" t="inlineStr">
        <is>
          <t>Не использован</t>
        </is>
      </c>
      <c r="H1563" s="148" t="n"/>
      <c r="I1563" s="34" t="str"/>
      <c r="J1563" s="34" t="str"/>
      <c r="K1563" s="130" t="n">
        <v>156</v>
      </c>
      <c r="L1563" s="43">
        <f>IF(COUNTIF($F$5:$F$2407,F1563)=1,"OK","Дубликат")</f>
        <v/>
      </c>
    </row>
    <row r="1564" ht="38" customHeight="1">
      <c r="A1564" s="146" t="inlineStr">
        <is>
          <t>BONUS-L1-TRIAL-3FOR2</t>
        </is>
      </c>
      <c r="B1564" s="39" t="inlineStr">
        <is>
          <t>1 уровень</t>
        </is>
      </c>
      <c r="C1564" s="34" t="inlineStr">
        <is>
          <t>Призы не на абонементы</t>
        </is>
      </c>
      <c r="D1564" s="34" t="inlineStr">
        <is>
          <t>Апгрейд: 3 пробных занятия по цене 2</t>
        </is>
      </c>
      <c r="E1564" s="34" t="inlineStr">
        <is>
          <t>Оплата двух пробных занятий дает право посетить три</t>
        </is>
      </c>
      <c r="F1564" s="147" t="inlineStr">
        <is>
          <t>FW-L1-7M8X5-SS5ZL</t>
        </is>
      </c>
      <c r="G1564" s="39" t="inlineStr">
        <is>
          <t>Не использован</t>
        </is>
      </c>
      <c r="H1564" s="148" t="n"/>
      <c r="I1564" s="34" t="str"/>
      <c r="J1564" s="34" t="str"/>
      <c r="K1564" s="130" t="n">
        <v>157</v>
      </c>
      <c r="L1564" s="43">
        <f>IF(COUNTIF($F$5:$F$2407,F1564)=1,"OK","Дубликат")</f>
        <v/>
      </c>
    </row>
    <row r="1565" ht="38" customHeight="1">
      <c r="A1565" s="146" t="inlineStr">
        <is>
          <t>BONUS-L1-TRIAL-3FOR2</t>
        </is>
      </c>
      <c r="B1565" s="39" t="inlineStr">
        <is>
          <t>1 уровень</t>
        </is>
      </c>
      <c r="C1565" s="34" t="inlineStr">
        <is>
          <t>Призы не на абонементы</t>
        </is>
      </c>
      <c r="D1565" s="34" t="inlineStr">
        <is>
          <t>Апгрейд: 3 пробных занятия по цене 2</t>
        </is>
      </c>
      <c r="E1565" s="34" t="inlineStr">
        <is>
          <t>Оплата двух пробных занятий дает право посетить три</t>
        </is>
      </c>
      <c r="F1565" s="147" t="inlineStr">
        <is>
          <t>FW-L1-7XSBY-G67ZR</t>
        </is>
      </c>
      <c r="G1565" s="39" t="inlineStr">
        <is>
          <t>Не использован</t>
        </is>
      </c>
      <c r="H1565" s="148" t="n"/>
      <c r="I1565" s="34" t="str"/>
      <c r="J1565" s="34" t="str"/>
      <c r="K1565" s="130" t="n">
        <v>158</v>
      </c>
      <c r="L1565" s="43">
        <f>IF(COUNTIF($F$5:$F$2407,F1565)=1,"OK","Дубликат")</f>
        <v/>
      </c>
    </row>
    <row r="1566" ht="38" customHeight="1">
      <c r="A1566" s="146" t="inlineStr">
        <is>
          <t>BONUS-L1-TRIAL-3FOR2</t>
        </is>
      </c>
      <c r="B1566" s="39" t="inlineStr">
        <is>
          <t>1 уровень</t>
        </is>
      </c>
      <c r="C1566" s="34" t="inlineStr">
        <is>
          <t>Призы не на абонементы</t>
        </is>
      </c>
      <c r="D1566" s="34" t="inlineStr">
        <is>
          <t>Апгрейд: 3 пробных занятия по цене 2</t>
        </is>
      </c>
      <c r="E1566" s="34" t="inlineStr">
        <is>
          <t>Оплата двух пробных занятий дает право посетить три</t>
        </is>
      </c>
      <c r="F1566" s="147" t="inlineStr">
        <is>
          <t>FW-L1-PRHAW-3DF7Y</t>
        </is>
      </c>
      <c r="G1566" s="39" t="inlineStr">
        <is>
          <t>Не использован</t>
        </is>
      </c>
      <c r="H1566" s="148" t="n"/>
      <c r="I1566" s="34" t="str"/>
      <c r="J1566" s="34" t="str"/>
      <c r="K1566" s="130" t="n">
        <v>159</v>
      </c>
      <c r="L1566" s="43">
        <f>IF(COUNTIF($F$5:$F$2407,F1566)=1,"OK","Дубликат")</f>
        <v/>
      </c>
    </row>
    <row r="1567" ht="38" customHeight="1">
      <c r="A1567" s="146" t="inlineStr">
        <is>
          <t>BONUS-L1-TRIAL-3FOR2</t>
        </is>
      </c>
      <c r="B1567" s="39" t="inlineStr">
        <is>
          <t>1 уровень</t>
        </is>
      </c>
      <c r="C1567" s="34" t="inlineStr">
        <is>
          <t>Призы не на абонементы</t>
        </is>
      </c>
      <c r="D1567" s="34" t="inlineStr">
        <is>
          <t>Апгрейд: 3 пробных занятия по цене 2</t>
        </is>
      </c>
      <c r="E1567" s="34" t="inlineStr">
        <is>
          <t>Оплата двух пробных занятий дает право посетить три</t>
        </is>
      </c>
      <c r="F1567" s="147" t="inlineStr">
        <is>
          <t>FW-L1-Q4FDL-G5EN9</t>
        </is>
      </c>
      <c r="G1567" s="39" t="inlineStr">
        <is>
          <t>Не использован</t>
        </is>
      </c>
      <c r="H1567" s="148" t="n"/>
      <c r="I1567" s="34" t="str"/>
      <c r="J1567" s="34" t="str"/>
      <c r="K1567" s="130" t="n">
        <v>160</v>
      </c>
      <c r="L1567" s="43">
        <f>IF(COUNTIF($F$5:$F$2407,F1567)=1,"OK","Дубликат")</f>
        <v/>
      </c>
    </row>
    <row r="1568" ht="38" customHeight="1">
      <c r="A1568" s="146" t="inlineStr">
        <is>
          <t>BONUS-L1-TRIAL-3FOR2</t>
        </is>
      </c>
      <c r="B1568" s="39" t="inlineStr">
        <is>
          <t>1 уровень</t>
        </is>
      </c>
      <c r="C1568" s="34" t="inlineStr">
        <is>
          <t>Призы не на абонементы</t>
        </is>
      </c>
      <c r="D1568" s="34" t="inlineStr">
        <is>
          <t>Апгрейд: 3 пробных занятия по цене 2</t>
        </is>
      </c>
      <c r="E1568" s="34" t="inlineStr">
        <is>
          <t>Оплата двух пробных занятий дает право посетить три</t>
        </is>
      </c>
      <c r="F1568" s="147" t="inlineStr">
        <is>
          <t>FW-L1-N97E2-MM35V</t>
        </is>
      </c>
      <c r="G1568" s="39" t="inlineStr">
        <is>
          <t>Не использован</t>
        </is>
      </c>
      <c r="H1568" s="148" t="n"/>
      <c r="I1568" s="34" t="str"/>
      <c r="J1568" s="34" t="str"/>
      <c r="K1568" s="130" t="n">
        <v>161</v>
      </c>
      <c r="L1568" s="43">
        <f>IF(COUNTIF($F$5:$F$2407,F1568)=1,"OK","Дубликат")</f>
        <v/>
      </c>
    </row>
    <row r="1569" ht="38" customHeight="1">
      <c r="A1569" s="146" t="inlineStr">
        <is>
          <t>BONUS-L1-TRIAL-3FOR2</t>
        </is>
      </c>
      <c r="B1569" s="39" t="inlineStr">
        <is>
          <t>1 уровень</t>
        </is>
      </c>
      <c r="C1569" s="34" t="inlineStr">
        <is>
          <t>Призы не на абонементы</t>
        </is>
      </c>
      <c r="D1569" s="34" t="inlineStr">
        <is>
          <t>Апгрейд: 3 пробных занятия по цене 2</t>
        </is>
      </c>
      <c r="E1569" s="34" t="inlineStr">
        <is>
          <t>Оплата двух пробных занятий дает право посетить три</t>
        </is>
      </c>
      <c r="F1569" s="147" t="inlineStr">
        <is>
          <t>FW-L1-W68N2-RU2JZ</t>
        </is>
      </c>
      <c r="G1569" s="39" t="inlineStr">
        <is>
          <t>Не использован</t>
        </is>
      </c>
      <c r="H1569" s="148" t="n"/>
      <c r="I1569" s="34" t="str"/>
      <c r="J1569" s="34" t="str"/>
      <c r="K1569" s="130" t="n">
        <v>162</v>
      </c>
      <c r="L1569" s="43">
        <f>IF(COUNTIF($F$5:$F$2407,F1569)=1,"OK","Дубликат")</f>
        <v/>
      </c>
    </row>
    <row r="1570" ht="38" customHeight="1">
      <c r="A1570" s="146" t="inlineStr">
        <is>
          <t>BONUS-L1-TRIAL-3FOR2</t>
        </is>
      </c>
      <c r="B1570" s="39" t="inlineStr">
        <is>
          <t>1 уровень</t>
        </is>
      </c>
      <c r="C1570" s="34" t="inlineStr">
        <is>
          <t>Призы не на абонементы</t>
        </is>
      </c>
      <c r="D1570" s="34" t="inlineStr">
        <is>
          <t>Апгрейд: 3 пробных занятия по цене 2</t>
        </is>
      </c>
      <c r="E1570" s="34" t="inlineStr">
        <is>
          <t>Оплата двух пробных занятий дает право посетить три</t>
        </is>
      </c>
      <c r="F1570" s="147" t="inlineStr">
        <is>
          <t>FW-L1-4RGZ7-M8ZRW</t>
        </is>
      </c>
      <c r="G1570" s="39" t="inlineStr">
        <is>
          <t>Не использован</t>
        </is>
      </c>
      <c r="H1570" s="148" t="n"/>
      <c r="I1570" s="34" t="str"/>
      <c r="J1570" s="34" t="str"/>
      <c r="K1570" s="130" t="n">
        <v>163</v>
      </c>
      <c r="L1570" s="43">
        <f>IF(COUNTIF($F$5:$F$2407,F1570)=1,"OK","Дубликат")</f>
        <v/>
      </c>
    </row>
    <row r="1571" ht="38" customHeight="1">
      <c r="A1571" s="146" t="inlineStr">
        <is>
          <t>BONUS-L1-TRIAL-3FOR2</t>
        </is>
      </c>
      <c r="B1571" s="39" t="inlineStr">
        <is>
          <t>1 уровень</t>
        </is>
      </c>
      <c r="C1571" s="34" t="inlineStr">
        <is>
          <t>Призы не на абонементы</t>
        </is>
      </c>
      <c r="D1571" s="34" t="inlineStr">
        <is>
          <t>Апгрейд: 3 пробных занятия по цене 2</t>
        </is>
      </c>
      <c r="E1571" s="34" t="inlineStr">
        <is>
          <t>Оплата двух пробных занятий дает право посетить три</t>
        </is>
      </c>
      <c r="F1571" s="147" t="inlineStr">
        <is>
          <t>FW-L1-8YJGD-K7ULD</t>
        </is>
      </c>
      <c r="G1571" s="39" t="inlineStr">
        <is>
          <t>Не использован</t>
        </is>
      </c>
      <c r="H1571" s="148" t="n"/>
      <c r="I1571" s="34" t="str"/>
      <c r="J1571" s="34" t="str"/>
      <c r="K1571" s="130" t="n">
        <v>164</v>
      </c>
      <c r="L1571" s="43">
        <f>IF(COUNTIF($F$5:$F$2407,F1571)=1,"OK","Дубликат")</f>
        <v/>
      </c>
    </row>
    <row r="1572" ht="38" customHeight="1">
      <c r="A1572" s="146" t="inlineStr">
        <is>
          <t>BONUS-L1-TRIAL-3FOR2</t>
        </is>
      </c>
      <c r="B1572" s="39" t="inlineStr">
        <is>
          <t>1 уровень</t>
        </is>
      </c>
      <c r="C1572" s="34" t="inlineStr">
        <is>
          <t>Призы не на абонементы</t>
        </is>
      </c>
      <c r="D1572" s="34" t="inlineStr">
        <is>
          <t>Апгрейд: 3 пробных занятия по цене 2</t>
        </is>
      </c>
      <c r="E1572" s="34" t="inlineStr">
        <is>
          <t>Оплата двух пробных занятий дает право посетить три</t>
        </is>
      </c>
      <c r="F1572" s="147" t="inlineStr">
        <is>
          <t>FW-L1-NPBEL-ZGUVN</t>
        </is>
      </c>
      <c r="G1572" s="39" t="inlineStr">
        <is>
          <t>Не использован</t>
        </is>
      </c>
      <c r="H1572" s="148" t="n"/>
      <c r="I1572" s="34" t="str"/>
      <c r="J1572" s="34" t="str"/>
      <c r="K1572" s="130" t="n">
        <v>165</v>
      </c>
      <c r="L1572" s="43">
        <f>IF(COUNTIF($F$5:$F$2407,F1572)=1,"OK","Дубликат")</f>
        <v/>
      </c>
    </row>
    <row r="1573" ht="38" customHeight="1">
      <c r="A1573" s="146" t="inlineStr">
        <is>
          <t>BONUS-L1-TRIAL-3FOR2</t>
        </is>
      </c>
      <c r="B1573" s="39" t="inlineStr">
        <is>
          <t>1 уровень</t>
        </is>
      </c>
      <c r="C1573" s="34" t="inlineStr">
        <is>
          <t>Призы не на абонементы</t>
        </is>
      </c>
      <c r="D1573" s="34" t="inlineStr">
        <is>
          <t>Апгрейд: 3 пробных занятия по цене 2</t>
        </is>
      </c>
      <c r="E1573" s="34" t="inlineStr">
        <is>
          <t>Оплата двух пробных занятий дает право посетить три</t>
        </is>
      </c>
      <c r="F1573" s="147" t="inlineStr">
        <is>
          <t>FW-L1-TT9QS-M8HRG</t>
        </is>
      </c>
      <c r="G1573" s="39" t="inlineStr">
        <is>
          <t>Не использован</t>
        </is>
      </c>
      <c r="H1573" s="148" t="n"/>
      <c r="I1573" s="34" t="str"/>
      <c r="J1573" s="34" t="str"/>
      <c r="K1573" s="130" t="n">
        <v>166</v>
      </c>
      <c r="L1573" s="43">
        <f>IF(COUNTIF($F$5:$F$2407,F1573)=1,"OK","Дубликат")</f>
        <v/>
      </c>
    </row>
    <row r="1574" ht="38" customHeight="1">
      <c r="A1574" s="146" t="inlineStr">
        <is>
          <t>BONUS-L1-TRIAL-3FOR2</t>
        </is>
      </c>
      <c r="B1574" s="39" t="inlineStr">
        <is>
          <t>1 уровень</t>
        </is>
      </c>
      <c r="C1574" s="34" t="inlineStr">
        <is>
          <t>Призы не на абонементы</t>
        </is>
      </c>
      <c r="D1574" s="34" t="inlineStr">
        <is>
          <t>Апгрейд: 3 пробных занятия по цене 2</t>
        </is>
      </c>
      <c r="E1574" s="34" t="inlineStr">
        <is>
          <t>Оплата двух пробных занятий дает право посетить три</t>
        </is>
      </c>
      <c r="F1574" s="147" t="inlineStr">
        <is>
          <t>FW-L1-Q7S6A-FU7LU</t>
        </is>
      </c>
      <c r="G1574" s="39" t="inlineStr">
        <is>
          <t>Не использован</t>
        </is>
      </c>
      <c r="H1574" s="148" t="n"/>
      <c r="I1574" s="34" t="str"/>
      <c r="J1574" s="34" t="str"/>
      <c r="K1574" s="130" t="n">
        <v>167</v>
      </c>
      <c r="L1574" s="43">
        <f>IF(COUNTIF($F$5:$F$2407,F1574)=1,"OK","Дубликат")</f>
        <v/>
      </c>
    </row>
    <row r="1575" ht="38" customHeight="1">
      <c r="A1575" s="146" t="inlineStr">
        <is>
          <t>BONUS-L1-TRIAL-3FOR2</t>
        </is>
      </c>
      <c r="B1575" s="39" t="inlineStr">
        <is>
          <t>1 уровень</t>
        </is>
      </c>
      <c r="C1575" s="34" t="inlineStr">
        <is>
          <t>Призы не на абонементы</t>
        </is>
      </c>
      <c r="D1575" s="34" t="inlineStr">
        <is>
          <t>Апгрейд: 3 пробных занятия по цене 2</t>
        </is>
      </c>
      <c r="E1575" s="34" t="inlineStr">
        <is>
          <t>Оплата двух пробных занятий дает право посетить три</t>
        </is>
      </c>
      <c r="F1575" s="147" t="inlineStr">
        <is>
          <t>FW-L1-EYCUK-MEPJ4</t>
        </is>
      </c>
      <c r="G1575" s="39" t="inlineStr">
        <is>
          <t>Не использован</t>
        </is>
      </c>
      <c r="H1575" s="148" t="n"/>
      <c r="I1575" s="34" t="str"/>
      <c r="J1575" s="34" t="str"/>
      <c r="K1575" s="130" t="n">
        <v>168</v>
      </c>
      <c r="L1575" s="43">
        <f>IF(COUNTIF($F$5:$F$2407,F1575)=1,"OK","Дубликат")</f>
        <v/>
      </c>
    </row>
    <row r="1576" ht="38" customHeight="1">
      <c r="A1576" s="146" t="inlineStr">
        <is>
          <t>BONUS-L1-TRIAL-3FOR2</t>
        </is>
      </c>
      <c r="B1576" s="39" t="inlineStr">
        <is>
          <t>1 уровень</t>
        </is>
      </c>
      <c r="C1576" s="34" t="inlineStr">
        <is>
          <t>Призы не на абонементы</t>
        </is>
      </c>
      <c r="D1576" s="34" t="inlineStr">
        <is>
          <t>Апгрейд: 3 пробных занятия по цене 2</t>
        </is>
      </c>
      <c r="E1576" s="34" t="inlineStr">
        <is>
          <t>Оплата двух пробных занятий дает право посетить три</t>
        </is>
      </c>
      <c r="F1576" s="147" t="inlineStr">
        <is>
          <t>FW-L1-H5573-8MSK3</t>
        </is>
      </c>
      <c r="G1576" s="39" t="inlineStr">
        <is>
          <t>Не использован</t>
        </is>
      </c>
      <c r="H1576" s="148" t="n"/>
      <c r="I1576" s="34" t="str"/>
      <c r="J1576" s="34" t="str"/>
      <c r="K1576" s="130" t="n">
        <v>169</v>
      </c>
      <c r="L1576" s="43">
        <f>IF(COUNTIF($F$5:$F$2407,F1576)=1,"OK","Дубликат")</f>
        <v/>
      </c>
    </row>
    <row r="1577" ht="38" customHeight="1">
      <c r="A1577" s="146" t="inlineStr">
        <is>
          <t>BONUS-L1-TRIAL-3FOR2</t>
        </is>
      </c>
      <c r="B1577" s="39" t="inlineStr">
        <is>
          <t>1 уровень</t>
        </is>
      </c>
      <c r="C1577" s="34" t="inlineStr">
        <is>
          <t>Призы не на абонементы</t>
        </is>
      </c>
      <c r="D1577" s="34" t="inlineStr">
        <is>
          <t>Апгрейд: 3 пробных занятия по цене 2</t>
        </is>
      </c>
      <c r="E1577" s="34" t="inlineStr">
        <is>
          <t>Оплата двух пробных занятий дает право посетить три</t>
        </is>
      </c>
      <c r="F1577" s="147" t="inlineStr">
        <is>
          <t>FW-L1-3ZPF2-RYE82</t>
        </is>
      </c>
      <c r="G1577" s="39" t="inlineStr">
        <is>
          <t>Не использован</t>
        </is>
      </c>
      <c r="H1577" s="148" t="n"/>
      <c r="I1577" s="34" t="str"/>
      <c r="J1577" s="34" t="str"/>
      <c r="K1577" s="130" t="n">
        <v>170</v>
      </c>
      <c r="L1577" s="43">
        <f>IF(COUNTIF($F$5:$F$2407,F1577)=1,"OK","Дубликат")</f>
        <v/>
      </c>
    </row>
    <row r="1578" ht="38" customHeight="1">
      <c r="A1578" s="146" t="inlineStr">
        <is>
          <t>BONUS-L1-TRIAL-3FOR2</t>
        </is>
      </c>
      <c r="B1578" s="39" t="inlineStr">
        <is>
          <t>1 уровень</t>
        </is>
      </c>
      <c r="C1578" s="34" t="inlineStr">
        <is>
          <t>Призы не на абонементы</t>
        </is>
      </c>
      <c r="D1578" s="34" t="inlineStr">
        <is>
          <t>Апгрейд: 3 пробных занятия по цене 2</t>
        </is>
      </c>
      <c r="E1578" s="34" t="inlineStr">
        <is>
          <t>Оплата двух пробных занятий дает право посетить три</t>
        </is>
      </c>
      <c r="F1578" s="147" t="inlineStr">
        <is>
          <t>FW-L1-5CZRF-NWETF</t>
        </is>
      </c>
      <c r="G1578" s="39" t="inlineStr">
        <is>
          <t>Не использован</t>
        </is>
      </c>
      <c r="H1578" s="148" t="n"/>
      <c r="I1578" s="34" t="str"/>
      <c r="J1578" s="34" t="str"/>
      <c r="K1578" s="130" t="n">
        <v>171</v>
      </c>
      <c r="L1578" s="43">
        <f>IF(COUNTIF($F$5:$F$2407,F1578)=1,"OK","Дубликат")</f>
        <v/>
      </c>
    </row>
    <row r="1579" ht="38" customHeight="1">
      <c r="A1579" s="146" t="inlineStr">
        <is>
          <t>BONUS-L1-TRIAL-3FOR2</t>
        </is>
      </c>
      <c r="B1579" s="39" t="inlineStr">
        <is>
          <t>1 уровень</t>
        </is>
      </c>
      <c r="C1579" s="34" t="inlineStr">
        <is>
          <t>Призы не на абонементы</t>
        </is>
      </c>
      <c r="D1579" s="34" t="inlineStr">
        <is>
          <t>Апгрейд: 3 пробных занятия по цене 2</t>
        </is>
      </c>
      <c r="E1579" s="34" t="inlineStr">
        <is>
          <t>Оплата двух пробных занятий дает право посетить три</t>
        </is>
      </c>
      <c r="F1579" s="147" t="inlineStr">
        <is>
          <t>FW-L1-QKW93-BPDQC</t>
        </is>
      </c>
      <c r="G1579" s="39" t="inlineStr">
        <is>
          <t>Не использован</t>
        </is>
      </c>
      <c r="H1579" s="148" t="n"/>
      <c r="I1579" s="34" t="str"/>
      <c r="J1579" s="34" t="str"/>
      <c r="K1579" s="130" t="n">
        <v>172</v>
      </c>
      <c r="L1579" s="43">
        <f>IF(COUNTIF($F$5:$F$2407,F1579)=1,"OK","Дубликат")</f>
        <v/>
      </c>
    </row>
    <row r="1580" ht="38" customHeight="1">
      <c r="A1580" s="146" t="inlineStr">
        <is>
          <t>BONUS-L1-TRIAL-3FOR2</t>
        </is>
      </c>
      <c r="B1580" s="39" t="inlineStr">
        <is>
          <t>1 уровень</t>
        </is>
      </c>
      <c r="C1580" s="34" t="inlineStr">
        <is>
          <t>Призы не на абонементы</t>
        </is>
      </c>
      <c r="D1580" s="34" t="inlineStr">
        <is>
          <t>Апгрейд: 3 пробных занятия по цене 2</t>
        </is>
      </c>
      <c r="E1580" s="34" t="inlineStr">
        <is>
          <t>Оплата двух пробных занятий дает право посетить три</t>
        </is>
      </c>
      <c r="F1580" s="147" t="inlineStr">
        <is>
          <t>FW-L1-EVAAR-FWB6N</t>
        </is>
      </c>
      <c r="G1580" s="39" t="inlineStr">
        <is>
          <t>Не использован</t>
        </is>
      </c>
      <c r="H1580" s="148" t="n"/>
      <c r="I1580" s="34" t="str"/>
      <c r="J1580" s="34" t="str"/>
      <c r="K1580" s="130" t="n">
        <v>173</v>
      </c>
      <c r="L1580" s="43">
        <f>IF(COUNTIF($F$5:$F$2407,F1580)=1,"OK","Дубликат")</f>
        <v/>
      </c>
    </row>
    <row r="1581" ht="38" customHeight="1">
      <c r="A1581" s="146" t="inlineStr">
        <is>
          <t>BONUS-L1-TRIAL-3FOR2</t>
        </is>
      </c>
      <c r="B1581" s="39" t="inlineStr">
        <is>
          <t>1 уровень</t>
        </is>
      </c>
      <c r="C1581" s="34" t="inlineStr">
        <is>
          <t>Призы не на абонементы</t>
        </is>
      </c>
      <c r="D1581" s="34" t="inlineStr">
        <is>
          <t>Апгрейд: 3 пробных занятия по цене 2</t>
        </is>
      </c>
      <c r="E1581" s="34" t="inlineStr">
        <is>
          <t>Оплата двух пробных занятий дает право посетить три</t>
        </is>
      </c>
      <c r="F1581" s="147" t="inlineStr">
        <is>
          <t>FW-L1-476LN-E5W5B</t>
        </is>
      </c>
      <c r="G1581" s="39" t="inlineStr">
        <is>
          <t>Не использован</t>
        </is>
      </c>
      <c r="H1581" s="148" t="n"/>
      <c r="I1581" s="34" t="str"/>
      <c r="J1581" s="34" t="str"/>
      <c r="K1581" s="130" t="n">
        <v>174</v>
      </c>
      <c r="L1581" s="43">
        <f>IF(COUNTIF($F$5:$F$2407,F1581)=1,"OK","Дубликат")</f>
        <v/>
      </c>
    </row>
    <row r="1582" ht="38" customHeight="1">
      <c r="A1582" s="146" t="inlineStr">
        <is>
          <t>BONUS-L1-TRIAL-3FOR2</t>
        </is>
      </c>
      <c r="B1582" s="39" t="inlineStr">
        <is>
          <t>1 уровень</t>
        </is>
      </c>
      <c r="C1582" s="34" t="inlineStr">
        <is>
          <t>Призы не на абонементы</t>
        </is>
      </c>
      <c r="D1582" s="34" t="inlineStr">
        <is>
          <t>Апгрейд: 3 пробных занятия по цене 2</t>
        </is>
      </c>
      <c r="E1582" s="34" t="inlineStr">
        <is>
          <t>Оплата двух пробных занятий дает право посетить три</t>
        </is>
      </c>
      <c r="F1582" s="147" t="inlineStr">
        <is>
          <t>FW-L1-ZSFGF-GNHS6</t>
        </is>
      </c>
      <c r="G1582" s="39" t="inlineStr">
        <is>
          <t>Не использован</t>
        </is>
      </c>
      <c r="H1582" s="148" t="n"/>
      <c r="I1582" s="34" t="str"/>
      <c r="J1582" s="34" t="str"/>
      <c r="K1582" s="130" t="n">
        <v>175</v>
      </c>
      <c r="L1582" s="43">
        <f>IF(COUNTIF($F$5:$F$2407,F1582)=1,"OK","Дубликат")</f>
        <v/>
      </c>
    </row>
    <row r="1583" ht="38" customHeight="1">
      <c r="A1583" s="146" t="inlineStr">
        <is>
          <t>BONUS-L1-TRIAL-3FOR2</t>
        </is>
      </c>
      <c r="B1583" s="39" t="inlineStr">
        <is>
          <t>1 уровень</t>
        </is>
      </c>
      <c r="C1583" s="34" t="inlineStr">
        <is>
          <t>Призы не на абонементы</t>
        </is>
      </c>
      <c r="D1583" s="34" t="inlineStr">
        <is>
          <t>Апгрейд: 3 пробных занятия по цене 2</t>
        </is>
      </c>
      <c r="E1583" s="34" t="inlineStr">
        <is>
          <t>Оплата двух пробных занятий дает право посетить три</t>
        </is>
      </c>
      <c r="F1583" s="147" t="inlineStr">
        <is>
          <t>FW-L1-6LSTS-VSUX6</t>
        </is>
      </c>
      <c r="G1583" s="39" t="inlineStr">
        <is>
          <t>Не использован</t>
        </is>
      </c>
      <c r="H1583" s="148" t="n"/>
      <c r="I1583" s="34" t="str"/>
      <c r="J1583" s="34" t="str"/>
      <c r="K1583" s="130" t="n">
        <v>176</v>
      </c>
      <c r="L1583" s="43">
        <f>IF(COUNTIF($F$5:$F$2407,F1583)=1,"OK","Дубликат")</f>
        <v/>
      </c>
    </row>
    <row r="1584" ht="38" customHeight="1">
      <c r="A1584" s="146" t="inlineStr">
        <is>
          <t>BONUS-L1-TRIAL-3FOR2</t>
        </is>
      </c>
      <c r="B1584" s="39" t="inlineStr">
        <is>
          <t>1 уровень</t>
        </is>
      </c>
      <c r="C1584" s="34" t="inlineStr">
        <is>
          <t>Призы не на абонементы</t>
        </is>
      </c>
      <c r="D1584" s="34" t="inlineStr">
        <is>
          <t>Апгрейд: 3 пробных занятия по цене 2</t>
        </is>
      </c>
      <c r="E1584" s="34" t="inlineStr">
        <is>
          <t>Оплата двух пробных занятий дает право посетить три</t>
        </is>
      </c>
      <c r="F1584" s="147" t="inlineStr">
        <is>
          <t>FW-L1-HNSYH-9YDDE</t>
        </is>
      </c>
      <c r="G1584" s="39" t="inlineStr">
        <is>
          <t>Не использован</t>
        </is>
      </c>
      <c r="H1584" s="148" t="n"/>
      <c r="I1584" s="34" t="str"/>
      <c r="J1584" s="34" t="str"/>
      <c r="K1584" s="130" t="n">
        <v>177</v>
      </c>
      <c r="L1584" s="43">
        <f>IF(COUNTIF($F$5:$F$2407,F1584)=1,"OK","Дубликат")</f>
        <v/>
      </c>
    </row>
    <row r="1585" ht="38" customHeight="1">
      <c r="A1585" s="146" t="inlineStr">
        <is>
          <t>BONUS-L1-TRIAL-3FOR2</t>
        </is>
      </c>
      <c r="B1585" s="39" t="inlineStr">
        <is>
          <t>1 уровень</t>
        </is>
      </c>
      <c r="C1585" s="34" t="inlineStr">
        <is>
          <t>Призы не на абонементы</t>
        </is>
      </c>
      <c r="D1585" s="34" t="inlineStr">
        <is>
          <t>Апгрейд: 3 пробных занятия по цене 2</t>
        </is>
      </c>
      <c r="E1585" s="34" t="inlineStr">
        <is>
          <t>Оплата двух пробных занятий дает право посетить три</t>
        </is>
      </c>
      <c r="F1585" s="147" t="inlineStr">
        <is>
          <t>FW-L1-LQ3F2-QWD77</t>
        </is>
      </c>
      <c r="G1585" s="39" t="inlineStr">
        <is>
          <t>Не использован</t>
        </is>
      </c>
      <c r="H1585" s="148" t="n"/>
      <c r="I1585" s="34" t="str"/>
      <c r="J1585" s="34" t="str"/>
      <c r="K1585" s="130" t="n">
        <v>178</v>
      </c>
      <c r="L1585" s="43">
        <f>IF(COUNTIF($F$5:$F$2407,F1585)=1,"OK","Дубликат")</f>
        <v/>
      </c>
    </row>
    <row r="1586" ht="38" customHeight="1">
      <c r="A1586" s="146" t="inlineStr">
        <is>
          <t>BONUS-L1-TRIAL-3FOR2</t>
        </is>
      </c>
      <c r="B1586" s="39" t="inlineStr">
        <is>
          <t>1 уровень</t>
        </is>
      </c>
      <c r="C1586" s="34" t="inlineStr">
        <is>
          <t>Призы не на абонементы</t>
        </is>
      </c>
      <c r="D1586" s="34" t="inlineStr">
        <is>
          <t>Апгрейд: 3 пробных занятия по цене 2</t>
        </is>
      </c>
      <c r="E1586" s="34" t="inlineStr">
        <is>
          <t>Оплата двух пробных занятий дает право посетить три</t>
        </is>
      </c>
      <c r="F1586" s="147" t="inlineStr">
        <is>
          <t>FW-L1-R42V6-VJ9ZZ</t>
        </is>
      </c>
      <c r="G1586" s="39" t="inlineStr">
        <is>
          <t>Не использован</t>
        </is>
      </c>
      <c r="H1586" s="148" t="n"/>
      <c r="I1586" s="34" t="str"/>
      <c r="J1586" s="34" t="str"/>
      <c r="K1586" s="130" t="n">
        <v>179</v>
      </c>
      <c r="L1586" s="43">
        <f>IF(COUNTIF($F$5:$F$2407,F1586)=1,"OK","Дубликат")</f>
        <v/>
      </c>
    </row>
    <row r="1587" ht="38" customHeight="1">
      <c r="A1587" s="146" t="inlineStr">
        <is>
          <t>BONUS-L1-TRIAL-3FOR2</t>
        </is>
      </c>
      <c r="B1587" s="39" t="inlineStr">
        <is>
          <t>1 уровень</t>
        </is>
      </c>
      <c r="C1587" s="34" t="inlineStr">
        <is>
          <t>Призы не на абонементы</t>
        </is>
      </c>
      <c r="D1587" s="34" t="inlineStr">
        <is>
          <t>Апгрейд: 3 пробных занятия по цене 2</t>
        </is>
      </c>
      <c r="E1587" s="34" t="inlineStr">
        <is>
          <t>Оплата двух пробных занятий дает право посетить три</t>
        </is>
      </c>
      <c r="F1587" s="147" t="inlineStr">
        <is>
          <t>FW-L1-7LZPY-Z9UX5</t>
        </is>
      </c>
      <c r="G1587" s="39" t="inlineStr">
        <is>
          <t>Не использован</t>
        </is>
      </c>
      <c r="H1587" s="148" t="n"/>
      <c r="I1587" s="34" t="str"/>
      <c r="J1587" s="34" t="str"/>
      <c r="K1587" s="130" t="n">
        <v>180</v>
      </c>
      <c r="L1587" s="43">
        <f>IF(COUNTIF($F$5:$F$2407,F1587)=1,"OK","Дубликат")</f>
        <v/>
      </c>
    </row>
    <row r="1588" ht="38" customHeight="1">
      <c r="A1588" s="146" t="inlineStr">
        <is>
          <t>BONUS-L1-TRIAL-3FOR2</t>
        </is>
      </c>
      <c r="B1588" s="39" t="inlineStr">
        <is>
          <t>1 уровень</t>
        </is>
      </c>
      <c r="C1588" s="34" t="inlineStr">
        <is>
          <t>Призы не на абонементы</t>
        </is>
      </c>
      <c r="D1588" s="34" t="inlineStr">
        <is>
          <t>Апгрейд: 3 пробных занятия по цене 2</t>
        </is>
      </c>
      <c r="E1588" s="34" t="inlineStr">
        <is>
          <t>Оплата двух пробных занятий дает право посетить три</t>
        </is>
      </c>
      <c r="F1588" s="147" t="inlineStr">
        <is>
          <t>FW-L1-SM9ZU-L7ZPD</t>
        </is>
      </c>
      <c r="G1588" s="39" t="inlineStr">
        <is>
          <t>Не использован</t>
        </is>
      </c>
      <c r="H1588" s="148" t="n"/>
      <c r="I1588" s="34" t="str"/>
      <c r="J1588" s="34" t="str"/>
      <c r="K1588" s="130" t="n">
        <v>181</v>
      </c>
      <c r="L1588" s="43">
        <f>IF(COUNTIF($F$5:$F$2407,F1588)=1,"OK","Дубликат")</f>
        <v/>
      </c>
    </row>
    <row r="1589" ht="38" customHeight="1">
      <c r="A1589" s="146" t="inlineStr">
        <is>
          <t>BONUS-L1-TRIAL-3FOR2</t>
        </is>
      </c>
      <c r="B1589" s="39" t="inlineStr">
        <is>
          <t>1 уровень</t>
        </is>
      </c>
      <c r="C1589" s="34" t="inlineStr">
        <is>
          <t>Призы не на абонементы</t>
        </is>
      </c>
      <c r="D1589" s="34" t="inlineStr">
        <is>
          <t>Апгрейд: 3 пробных занятия по цене 2</t>
        </is>
      </c>
      <c r="E1589" s="34" t="inlineStr">
        <is>
          <t>Оплата двух пробных занятий дает право посетить три</t>
        </is>
      </c>
      <c r="F1589" s="147" t="inlineStr">
        <is>
          <t>FW-L1-4A55P-GSN42</t>
        </is>
      </c>
      <c r="G1589" s="39" t="inlineStr">
        <is>
          <t>Не использован</t>
        </is>
      </c>
      <c r="H1589" s="148" t="n"/>
      <c r="I1589" s="34" t="str"/>
      <c r="J1589" s="34" t="str"/>
      <c r="K1589" s="130" t="n">
        <v>182</v>
      </c>
      <c r="L1589" s="43">
        <f>IF(COUNTIF($F$5:$F$2407,F1589)=1,"OK","Дубликат")</f>
        <v/>
      </c>
    </row>
    <row r="1590" ht="38" customHeight="1">
      <c r="A1590" s="146" t="inlineStr">
        <is>
          <t>BONUS-L1-TRIAL-3FOR2</t>
        </is>
      </c>
      <c r="B1590" s="39" t="inlineStr">
        <is>
          <t>1 уровень</t>
        </is>
      </c>
      <c r="C1590" s="34" t="inlineStr">
        <is>
          <t>Призы не на абонементы</t>
        </is>
      </c>
      <c r="D1590" s="34" t="inlineStr">
        <is>
          <t>Апгрейд: 3 пробных занятия по цене 2</t>
        </is>
      </c>
      <c r="E1590" s="34" t="inlineStr">
        <is>
          <t>Оплата двух пробных занятий дает право посетить три</t>
        </is>
      </c>
      <c r="F1590" s="147" t="inlineStr">
        <is>
          <t>FW-L1-DX5ME-XPYMS</t>
        </is>
      </c>
      <c r="G1590" s="39" t="inlineStr">
        <is>
          <t>Не использован</t>
        </is>
      </c>
      <c r="H1590" s="148" t="n"/>
      <c r="I1590" s="34" t="str"/>
      <c r="J1590" s="34" t="str"/>
      <c r="K1590" s="130" t="n">
        <v>183</v>
      </c>
      <c r="L1590" s="43">
        <f>IF(COUNTIF($F$5:$F$2407,F1590)=1,"OK","Дубликат")</f>
        <v/>
      </c>
    </row>
    <row r="1591" ht="38" customHeight="1">
      <c r="A1591" s="146" t="inlineStr">
        <is>
          <t>BONUS-L1-TRIAL-3FOR2</t>
        </is>
      </c>
      <c r="B1591" s="39" t="inlineStr">
        <is>
          <t>1 уровень</t>
        </is>
      </c>
      <c r="C1591" s="34" t="inlineStr">
        <is>
          <t>Призы не на абонементы</t>
        </is>
      </c>
      <c r="D1591" s="34" t="inlineStr">
        <is>
          <t>Апгрейд: 3 пробных занятия по цене 2</t>
        </is>
      </c>
      <c r="E1591" s="34" t="inlineStr">
        <is>
          <t>Оплата двух пробных занятий дает право посетить три</t>
        </is>
      </c>
      <c r="F1591" s="147" t="inlineStr">
        <is>
          <t>FW-L1-W8G7B-9K4RT</t>
        </is>
      </c>
      <c r="G1591" s="39" t="inlineStr">
        <is>
          <t>Не использован</t>
        </is>
      </c>
      <c r="H1591" s="148" t="n"/>
      <c r="I1591" s="34" t="str"/>
      <c r="J1591" s="34" t="str"/>
      <c r="K1591" s="130" t="n">
        <v>184</v>
      </c>
      <c r="L1591" s="43">
        <f>IF(COUNTIF($F$5:$F$2407,F1591)=1,"OK","Дубликат")</f>
        <v/>
      </c>
    </row>
    <row r="1592" ht="38" customHeight="1">
      <c r="A1592" s="146" t="inlineStr">
        <is>
          <t>BONUS-L1-TRIAL-3FOR2</t>
        </is>
      </c>
      <c r="B1592" s="39" t="inlineStr">
        <is>
          <t>1 уровень</t>
        </is>
      </c>
      <c r="C1592" s="34" t="inlineStr">
        <is>
          <t>Призы не на абонементы</t>
        </is>
      </c>
      <c r="D1592" s="34" t="inlineStr">
        <is>
          <t>Апгрейд: 3 пробных занятия по цене 2</t>
        </is>
      </c>
      <c r="E1592" s="34" t="inlineStr">
        <is>
          <t>Оплата двух пробных занятий дает право посетить три</t>
        </is>
      </c>
      <c r="F1592" s="147" t="inlineStr">
        <is>
          <t>FW-L1-89XDF-SDH4V</t>
        </is>
      </c>
      <c r="G1592" s="39" t="inlineStr">
        <is>
          <t>Не использован</t>
        </is>
      </c>
      <c r="H1592" s="148" t="n"/>
      <c r="I1592" s="34" t="str"/>
      <c r="J1592" s="34" t="str"/>
      <c r="K1592" s="130" t="n">
        <v>185</v>
      </c>
      <c r="L1592" s="43">
        <f>IF(COUNTIF($F$5:$F$2407,F1592)=1,"OK","Дубликат")</f>
        <v/>
      </c>
    </row>
    <row r="1593" ht="38" customHeight="1">
      <c r="A1593" s="146" t="inlineStr">
        <is>
          <t>BONUS-L1-TRIAL-3FOR2</t>
        </is>
      </c>
      <c r="B1593" s="39" t="inlineStr">
        <is>
          <t>1 уровень</t>
        </is>
      </c>
      <c r="C1593" s="34" t="inlineStr">
        <is>
          <t>Призы не на абонементы</t>
        </is>
      </c>
      <c r="D1593" s="34" t="inlineStr">
        <is>
          <t>Апгрейд: 3 пробных занятия по цене 2</t>
        </is>
      </c>
      <c r="E1593" s="34" t="inlineStr">
        <is>
          <t>Оплата двух пробных занятий дает право посетить три</t>
        </is>
      </c>
      <c r="F1593" s="147" t="inlineStr">
        <is>
          <t>FW-L1-EZJZN-ULRC5</t>
        </is>
      </c>
      <c r="G1593" s="39" t="inlineStr">
        <is>
          <t>Не использован</t>
        </is>
      </c>
      <c r="H1593" s="148" t="n"/>
      <c r="I1593" s="34" t="str"/>
      <c r="J1593" s="34" t="str"/>
      <c r="K1593" s="130" t="n">
        <v>186</v>
      </c>
      <c r="L1593" s="43">
        <f>IF(COUNTIF($F$5:$F$2407,F1593)=1,"OK","Дубликат")</f>
        <v/>
      </c>
    </row>
    <row r="1594" ht="38" customHeight="1">
      <c r="A1594" s="146" t="inlineStr">
        <is>
          <t>BONUS-L1-TRIAL-3FOR2</t>
        </is>
      </c>
      <c r="B1594" s="39" t="inlineStr">
        <is>
          <t>1 уровень</t>
        </is>
      </c>
      <c r="C1594" s="34" t="inlineStr">
        <is>
          <t>Призы не на абонементы</t>
        </is>
      </c>
      <c r="D1594" s="34" t="inlineStr">
        <is>
          <t>Апгрейд: 3 пробных занятия по цене 2</t>
        </is>
      </c>
      <c r="E1594" s="34" t="inlineStr">
        <is>
          <t>Оплата двух пробных занятий дает право посетить три</t>
        </is>
      </c>
      <c r="F1594" s="147" t="inlineStr">
        <is>
          <t>FW-L1-JR7CV-E55F3</t>
        </is>
      </c>
      <c r="G1594" s="39" t="inlineStr">
        <is>
          <t>Не использован</t>
        </is>
      </c>
      <c r="H1594" s="148" t="n"/>
      <c r="I1594" s="34" t="str"/>
      <c r="J1594" s="34" t="str"/>
      <c r="K1594" s="130" t="n">
        <v>187</v>
      </c>
      <c r="L1594" s="43">
        <f>IF(COUNTIF($F$5:$F$2407,F1594)=1,"OK","Дубликат")</f>
        <v/>
      </c>
    </row>
    <row r="1595" ht="38" customHeight="1">
      <c r="A1595" s="146" t="inlineStr">
        <is>
          <t>BONUS-L1-TRIAL-3FOR2</t>
        </is>
      </c>
      <c r="B1595" s="39" t="inlineStr">
        <is>
          <t>1 уровень</t>
        </is>
      </c>
      <c r="C1595" s="34" t="inlineStr">
        <is>
          <t>Призы не на абонементы</t>
        </is>
      </c>
      <c r="D1595" s="34" t="inlineStr">
        <is>
          <t>Апгрейд: 3 пробных занятия по цене 2</t>
        </is>
      </c>
      <c r="E1595" s="34" t="inlineStr">
        <is>
          <t>Оплата двух пробных занятий дает право посетить три</t>
        </is>
      </c>
      <c r="F1595" s="147" t="inlineStr">
        <is>
          <t>FW-L1-G49HP-CLKVC</t>
        </is>
      </c>
      <c r="G1595" s="39" t="inlineStr">
        <is>
          <t>Не использован</t>
        </is>
      </c>
      <c r="H1595" s="148" t="n"/>
      <c r="I1595" s="34" t="str"/>
      <c r="J1595" s="34" t="str"/>
      <c r="K1595" s="130" t="n">
        <v>188</v>
      </c>
      <c r="L1595" s="43">
        <f>IF(COUNTIF($F$5:$F$2407,F1595)=1,"OK","Дубликат")</f>
        <v/>
      </c>
    </row>
    <row r="1596" ht="38" customHeight="1">
      <c r="A1596" s="146" t="inlineStr">
        <is>
          <t>BONUS-L1-TRIAL-3FOR2</t>
        </is>
      </c>
      <c r="B1596" s="39" t="inlineStr">
        <is>
          <t>1 уровень</t>
        </is>
      </c>
      <c r="C1596" s="34" t="inlineStr">
        <is>
          <t>Призы не на абонементы</t>
        </is>
      </c>
      <c r="D1596" s="34" t="inlineStr">
        <is>
          <t>Апгрейд: 3 пробных занятия по цене 2</t>
        </is>
      </c>
      <c r="E1596" s="34" t="inlineStr">
        <is>
          <t>Оплата двух пробных занятий дает право посетить три</t>
        </is>
      </c>
      <c r="F1596" s="147" t="inlineStr">
        <is>
          <t>FW-L1-HUQVE-67GVP</t>
        </is>
      </c>
      <c r="G1596" s="39" t="inlineStr">
        <is>
          <t>Не использован</t>
        </is>
      </c>
      <c r="H1596" s="148" t="n"/>
      <c r="I1596" s="34" t="str"/>
      <c r="J1596" s="34" t="str"/>
      <c r="K1596" s="130" t="n">
        <v>189</v>
      </c>
      <c r="L1596" s="43">
        <f>IF(COUNTIF($F$5:$F$2407,F1596)=1,"OK","Дубликат")</f>
        <v/>
      </c>
    </row>
    <row r="1597" ht="38" customHeight="1">
      <c r="A1597" s="146" t="inlineStr">
        <is>
          <t>BONUS-L1-TRIAL-3FOR2</t>
        </is>
      </c>
      <c r="B1597" s="39" t="inlineStr">
        <is>
          <t>1 уровень</t>
        </is>
      </c>
      <c r="C1597" s="34" t="inlineStr">
        <is>
          <t>Призы не на абонементы</t>
        </is>
      </c>
      <c r="D1597" s="34" t="inlineStr">
        <is>
          <t>Апгрейд: 3 пробных занятия по цене 2</t>
        </is>
      </c>
      <c r="E1597" s="34" t="inlineStr">
        <is>
          <t>Оплата двух пробных занятий дает право посетить три</t>
        </is>
      </c>
      <c r="F1597" s="147" t="inlineStr">
        <is>
          <t>FW-L1-FFSSY-UY8H4</t>
        </is>
      </c>
      <c r="G1597" s="39" t="inlineStr">
        <is>
          <t>Не использован</t>
        </is>
      </c>
      <c r="H1597" s="148" t="n"/>
      <c r="I1597" s="34" t="str"/>
      <c r="J1597" s="34" t="str"/>
      <c r="K1597" s="130" t="n">
        <v>190</v>
      </c>
      <c r="L1597" s="43">
        <f>IF(COUNTIF($F$5:$F$2407,F1597)=1,"OK","Дубликат")</f>
        <v/>
      </c>
    </row>
    <row r="1598" ht="38" customHeight="1">
      <c r="A1598" s="146" t="inlineStr">
        <is>
          <t>BONUS-L1-TRIAL-3FOR2</t>
        </is>
      </c>
      <c r="B1598" s="39" t="inlineStr">
        <is>
          <t>1 уровень</t>
        </is>
      </c>
      <c r="C1598" s="34" t="inlineStr">
        <is>
          <t>Призы не на абонементы</t>
        </is>
      </c>
      <c r="D1598" s="34" t="inlineStr">
        <is>
          <t>Апгрейд: 3 пробных занятия по цене 2</t>
        </is>
      </c>
      <c r="E1598" s="34" t="inlineStr">
        <is>
          <t>Оплата двух пробных занятий дает право посетить три</t>
        </is>
      </c>
      <c r="F1598" s="147" t="inlineStr">
        <is>
          <t>FW-L1-GRKH2-3ER6V</t>
        </is>
      </c>
      <c r="G1598" s="39" t="inlineStr">
        <is>
          <t>Не использован</t>
        </is>
      </c>
      <c r="H1598" s="148" t="n"/>
      <c r="I1598" s="34" t="str"/>
      <c r="J1598" s="34" t="str"/>
      <c r="K1598" s="130" t="n">
        <v>191</v>
      </c>
      <c r="L1598" s="43">
        <f>IF(COUNTIF($F$5:$F$2407,F1598)=1,"OK","Дубликат")</f>
        <v/>
      </c>
    </row>
    <row r="1599" ht="38" customHeight="1">
      <c r="A1599" s="146" t="inlineStr">
        <is>
          <t>BONUS-L1-TRIAL-3FOR2</t>
        </is>
      </c>
      <c r="B1599" s="39" t="inlineStr">
        <is>
          <t>1 уровень</t>
        </is>
      </c>
      <c r="C1599" s="34" t="inlineStr">
        <is>
          <t>Призы не на абонементы</t>
        </is>
      </c>
      <c r="D1599" s="34" t="inlineStr">
        <is>
          <t>Апгрейд: 3 пробных занятия по цене 2</t>
        </is>
      </c>
      <c r="E1599" s="34" t="inlineStr">
        <is>
          <t>Оплата двух пробных занятий дает право посетить три</t>
        </is>
      </c>
      <c r="F1599" s="147" t="inlineStr">
        <is>
          <t>FW-L1-HT39Y-TUH2T</t>
        </is>
      </c>
      <c r="G1599" s="39" t="inlineStr">
        <is>
          <t>Не использован</t>
        </is>
      </c>
      <c r="H1599" s="148" t="n"/>
      <c r="I1599" s="34" t="str"/>
      <c r="J1599" s="34" t="str"/>
      <c r="K1599" s="130" t="n">
        <v>192</v>
      </c>
      <c r="L1599" s="43">
        <f>IF(COUNTIF($F$5:$F$2407,F1599)=1,"OK","Дубликат")</f>
        <v/>
      </c>
    </row>
    <row r="1600" ht="38" customHeight="1">
      <c r="A1600" s="146" t="inlineStr">
        <is>
          <t>BONUS-L1-TRIAL-3FOR2</t>
        </is>
      </c>
      <c r="B1600" s="39" t="inlineStr">
        <is>
          <t>1 уровень</t>
        </is>
      </c>
      <c r="C1600" s="34" t="inlineStr">
        <is>
          <t>Призы не на абонементы</t>
        </is>
      </c>
      <c r="D1600" s="34" t="inlineStr">
        <is>
          <t>Апгрейд: 3 пробных занятия по цене 2</t>
        </is>
      </c>
      <c r="E1600" s="34" t="inlineStr">
        <is>
          <t>Оплата двух пробных занятий дает право посетить три</t>
        </is>
      </c>
      <c r="F1600" s="147" t="inlineStr">
        <is>
          <t>FW-L1-34SMR-K26DA</t>
        </is>
      </c>
      <c r="G1600" s="39" t="inlineStr">
        <is>
          <t>Не использован</t>
        </is>
      </c>
      <c r="H1600" s="148" t="n"/>
      <c r="I1600" s="34" t="str"/>
      <c r="J1600" s="34" t="str"/>
      <c r="K1600" s="130" t="n">
        <v>193</v>
      </c>
      <c r="L1600" s="43">
        <f>IF(COUNTIF($F$5:$F$2407,F1600)=1,"OK","Дубликат")</f>
        <v/>
      </c>
    </row>
    <row r="1601" ht="38" customHeight="1">
      <c r="A1601" s="146" t="inlineStr">
        <is>
          <t>BONUS-L1-TRIAL-3FOR2</t>
        </is>
      </c>
      <c r="B1601" s="39" t="inlineStr">
        <is>
          <t>1 уровень</t>
        </is>
      </c>
      <c r="C1601" s="34" t="inlineStr">
        <is>
          <t>Призы не на абонементы</t>
        </is>
      </c>
      <c r="D1601" s="34" t="inlineStr">
        <is>
          <t>Апгрейд: 3 пробных занятия по цене 2</t>
        </is>
      </c>
      <c r="E1601" s="34" t="inlineStr">
        <is>
          <t>Оплата двух пробных занятий дает право посетить три</t>
        </is>
      </c>
      <c r="F1601" s="147" t="inlineStr">
        <is>
          <t>FW-L1-5EW2P-AWP8S</t>
        </is>
      </c>
      <c r="G1601" s="39" t="inlineStr">
        <is>
          <t>Не использован</t>
        </is>
      </c>
      <c r="H1601" s="148" t="n"/>
      <c r="I1601" s="34" t="str"/>
      <c r="J1601" s="34" t="str"/>
      <c r="K1601" s="130" t="n">
        <v>194</v>
      </c>
      <c r="L1601" s="43">
        <f>IF(COUNTIF($F$5:$F$2407,F1601)=1,"OK","Дубликат")</f>
        <v/>
      </c>
    </row>
    <row r="1602" ht="38" customHeight="1">
      <c r="A1602" s="146" t="inlineStr">
        <is>
          <t>BONUS-L1-TRIAL-3FOR2</t>
        </is>
      </c>
      <c r="B1602" s="39" t="inlineStr">
        <is>
          <t>1 уровень</t>
        </is>
      </c>
      <c r="C1602" s="34" t="inlineStr">
        <is>
          <t>Призы не на абонементы</t>
        </is>
      </c>
      <c r="D1602" s="34" t="inlineStr">
        <is>
          <t>Апгрейд: 3 пробных занятия по цене 2</t>
        </is>
      </c>
      <c r="E1602" s="34" t="inlineStr">
        <is>
          <t>Оплата двух пробных занятий дает право посетить три</t>
        </is>
      </c>
      <c r="F1602" s="147" t="inlineStr">
        <is>
          <t>FW-L1-FF8BN-TE3JS</t>
        </is>
      </c>
      <c r="G1602" s="39" t="inlineStr">
        <is>
          <t>Не использован</t>
        </is>
      </c>
      <c r="H1602" s="148" t="n"/>
      <c r="I1602" s="34" t="str"/>
      <c r="J1602" s="34" t="str"/>
      <c r="K1602" s="130" t="n">
        <v>195</v>
      </c>
      <c r="L1602" s="43">
        <f>IF(COUNTIF($F$5:$F$2407,F1602)=1,"OK","Дубликат")</f>
        <v/>
      </c>
    </row>
    <row r="1603" ht="38" customHeight="1">
      <c r="A1603" s="146" t="inlineStr">
        <is>
          <t>BONUS-L1-TRIAL-3FOR2</t>
        </is>
      </c>
      <c r="B1603" s="39" t="inlineStr">
        <is>
          <t>1 уровень</t>
        </is>
      </c>
      <c r="C1603" s="34" t="inlineStr">
        <is>
          <t>Призы не на абонементы</t>
        </is>
      </c>
      <c r="D1603" s="34" t="inlineStr">
        <is>
          <t>Апгрейд: 3 пробных занятия по цене 2</t>
        </is>
      </c>
      <c r="E1603" s="34" t="inlineStr">
        <is>
          <t>Оплата двух пробных занятий дает право посетить три</t>
        </is>
      </c>
      <c r="F1603" s="147" t="inlineStr">
        <is>
          <t>FW-L1-6Z8AM-83YX3</t>
        </is>
      </c>
      <c r="G1603" s="39" t="inlineStr">
        <is>
          <t>Не использован</t>
        </is>
      </c>
      <c r="H1603" s="148" t="n"/>
      <c r="I1603" s="34" t="str"/>
      <c r="J1603" s="34" t="str"/>
      <c r="K1603" s="130" t="n">
        <v>196</v>
      </c>
      <c r="L1603" s="43">
        <f>IF(COUNTIF($F$5:$F$2407,F1603)=1,"OK","Дубликат")</f>
        <v/>
      </c>
    </row>
    <row r="1604" ht="38" customHeight="1">
      <c r="A1604" s="146" t="inlineStr">
        <is>
          <t>BONUS-L1-TRIAL-3FOR2</t>
        </is>
      </c>
      <c r="B1604" s="39" t="inlineStr">
        <is>
          <t>1 уровень</t>
        </is>
      </c>
      <c r="C1604" s="34" t="inlineStr">
        <is>
          <t>Призы не на абонементы</t>
        </is>
      </c>
      <c r="D1604" s="34" t="inlineStr">
        <is>
          <t>Апгрейд: 3 пробных занятия по цене 2</t>
        </is>
      </c>
      <c r="E1604" s="34" t="inlineStr">
        <is>
          <t>Оплата двух пробных занятий дает право посетить три</t>
        </is>
      </c>
      <c r="F1604" s="147" t="inlineStr">
        <is>
          <t>FW-L1-8UFLL-P2E3J</t>
        </is>
      </c>
      <c r="G1604" s="39" t="inlineStr">
        <is>
          <t>Не использован</t>
        </is>
      </c>
      <c r="H1604" s="148" t="n"/>
      <c r="I1604" s="34" t="str"/>
      <c r="J1604" s="34" t="str"/>
      <c r="K1604" s="130" t="n">
        <v>197</v>
      </c>
      <c r="L1604" s="43">
        <f>IF(COUNTIF($F$5:$F$2407,F1604)=1,"OK","Дубликат")</f>
        <v/>
      </c>
    </row>
    <row r="1605" ht="38" customHeight="1">
      <c r="A1605" s="146" t="inlineStr">
        <is>
          <t>BONUS-L1-TRIAL-3FOR2</t>
        </is>
      </c>
      <c r="B1605" s="39" t="inlineStr">
        <is>
          <t>1 уровень</t>
        </is>
      </c>
      <c r="C1605" s="34" t="inlineStr">
        <is>
          <t>Призы не на абонементы</t>
        </is>
      </c>
      <c r="D1605" s="34" t="inlineStr">
        <is>
          <t>Апгрейд: 3 пробных занятия по цене 2</t>
        </is>
      </c>
      <c r="E1605" s="34" t="inlineStr">
        <is>
          <t>Оплата двух пробных занятий дает право посетить три</t>
        </is>
      </c>
      <c r="F1605" s="147" t="inlineStr">
        <is>
          <t>FW-L1-LUB2T-HA8RL</t>
        </is>
      </c>
      <c r="G1605" s="39" t="inlineStr">
        <is>
          <t>Не использован</t>
        </is>
      </c>
      <c r="H1605" s="148" t="n"/>
      <c r="I1605" s="34" t="str"/>
      <c r="J1605" s="34" t="str"/>
      <c r="K1605" s="130" t="n">
        <v>198</v>
      </c>
      <c r="L1605" s="43">
        <f>IF(COUNTIF($F$5:$F$2407,F1605)=1,"OK","Дубликат")</f>
        <v/>
      </c>
    </row>
    <row r="1606" ht="38" customHeight="1">
      <c r="A1606" s="146" t="inlineStr">
        <is>
          <t>BONUS-L1-TRIAL-3FOR2</t>
        </is>
      </c>
      <c r="B1606" s="39" t="inlineStr">
        <is>
          <t>1 уровень</t>
        </is>
      </c>
      <c r="C1606" s="34" t="inlineStr">
        <is>
          <t>Призы не на абонементы</t>
        </is>
      </c>
      <c r="D1606" s="34" t="inlineStr">
        <is>
          <t>Апгрейд: 3 пробных занятия по цене 2</t>
        </is>
      </c>
      <c r="E1606" s="34" t="inlineStr">
        <is>
          <t>Оплата двух пробных занятий дает право посетить три</t>
        </is>
      </c>
      <c r="F1606" s="147" t="inlineStr">
        <is>
          <t>FW-L1-M9G5X-K2MUK</t>
        </is>
      </c>
      <c r="G1606" s="39" t="inlineStr">
        <is>
          <t>Не использован</t>
        </is>
      </c>
      <c r="H1606" s="148" t="n"/>
      <c r="I1606" s="34" t="str"/>
      <c r="J1606" s="34" t="str"/>
      <c r="K1606" s="130" t="n">
        <v>199</v>
      </c>
      <c r="L1606" s="43">
        <f>IF(COUNTIF($F$5:$F$2407,F1606)=1,"OK","Дубликат")</f>
        <v/>
      </c>
    </row>
    <row r="1607" ht="38" customHeight="1">
      <c r="A1607" s="146" t="inlineStr">
        <is>
          <t>BONUS-L1-TRIAL-3FOR2</t>
        </is>
      </c>
      <c r="B1607" s="39" t="inlineStr">
        <is>
          <t>1 уровень</t>
        </is>
      </c>
      <c r="C1607" s="34" t="inlineStr">
        <is>
          <t>Призы не на абонементы</t>
        </is>
      </c>
      <c r="D1607" s="34" t="inlineStr">
        <is>
          <t>Апгрейд: 3 пробных занятия по цене 2</t>
        </is>
      </c>
      <c r="E1607" s="34" t="inlineStr">
        <is>
          <t>Оплата двух пробных занятий дает право посетить три</t>
        </is>
      </c>
      <c r="F1607" s="147" t="inlineStr">
        <is>
          <t>FW-L1-Q8UNT-H8NDS</t>
        </is>
      </c>
      <c r="G1607" s="39" t="inlineStr">
        <is>
          <t>Не использован</t>
        </is>
      </c>
      <c r="H1607" s="148" t="n"/>
      <c r="I1607" s="34" t="str"/>
      <c r="J1607" s="34" t="str"/>
      <c r="K1607" s="130" t="n">
        <v>200</v>
      </c>
      <c r="L1607" s="43">
        <f>IF(COUNTIF($F$5:$F$2407,F1607)=1,"OK","Дубликат")</f>
        <v/>
      </c>
    </row>
    <row r="1608" ht="38" customHeight="1">
      <c r="A1608" s="146" t="inlineStr">
        <is>
          <t>BONUS-L1-PLUS7</t>
        </is>
      </c>
      <c r="B1608" s="39" t="inlineStr">
        <is>
          <t>1 уровень</t>
        </is>
      </c>
      <c r="C1608" s="34" t="inlineStr">
        <is>
          <t>Призы не на абонементы</t>
        </is>
      </c>
      <c r="D1608" s="34" t="inlineStr">
        <is>
          <t>+7 дней к сроку действия абонемента</t>
        </is>
      </c>
      <c r="E1608" s="34" t="inlineStr">
        <is>
          <t>При покупке абонемента на 8 или 12 занятий</t>
        </is>
      </c>
      <c r="F1608" s="147" t="inlineStr">
        <is>
          <t>FW-L1-72C38-M8J6W</t>
        </is>
      </c>
      <c r="G1608" s="39" t="inlineStr">
        <is>
          <t>Использован</t>
        </is>
      </c>
      <c r="H1608" s="149" t="n">
        <v>46249.24641203704</v>
      </c>
      <c r="I1608" s="34" t="inlineStr">
        <is>
          <t>Роман Михайлов, @RRedactor, +79035782777</t>
        </is>
      </c>
      <c r="J1608" s="34" t="inlineStr">
        <is>
          <t>Выдан Telegram-ботом; Роман Михайлов, @RRedactor, +79035782777; сессия: session_bfb6c5df5f6a</t>
        </is>
      </c>
      <c r="K1608" s="130" t="n">
        <v>1</v>
      </c>
      <c r="L1608" s="43">
        <f>IF(COUNTIF($F$5:$F$2407,F1608)=1,"OK","Дубликат")</f>
        <v/>
      </c>
    </row>
    <row r="1609" ht="38" customHeight="1">
      <c r="A1609" s="146" t="inlineStr">
        <is>
          <t>BONUS-L1-PLUS7</t>
        </is>
      </c>
      <c r="B1609" s="39" t="inlineStr">
        <is>
          <t>1 уровень</t>
        </is>
      </c>
      <c r="C1609" s="34" t="inlineStr">
        <is>
          <t>Призы не на абонементы</t>
        </is>
      </c>
      <c r="D1609" s="34" t="inlineStr">
        <is>
          <t>+7 дней к сроку действия абонемента</t>
        </is>
      </c>
      <c r="E1609" s="34" t="inlineStr">
        <is>
          <t>При покупке абонемента на 8 или 12 занятий</t>
        </is>
      </c>
      <c r="F1609" s="147" t="inlineStr">
        <is>
          <t>FW-L1-YTS6M-JZB66</t>
        </is>
      </c>
      <c r="G1609" s="39" t="inlineStr">
        <is>
          <t>Не использован</t>
        </is>
      </c>
      <c r="H1609" s="148" t="n"/>
      <c r="I1609" s="34" t="str"/>
      <c r="J1609" s="34" t="str"/>
      <c r="K1609" s="130" t="n">
        <v>2</v>
      </c>
      <c r="L1609" s="43">
        <f>IF(COUNTIF($F$5:$F$2407,F1609)=1,"OK","Дубликат")</f>
        <v/>
      </c>
    </row>
    <row r="1610" ht="38" customHeight="1">
      <c r="A1610" s="146" t="inlineStr">
        <is>
          <t>BONUS-L1-PLUS7</t>
        </is>
      </c>
      <c r="B1610" s="39" t="inlineStr">
        <is>
          <t>1 уровень</t>
        </is>
      </c>
      <c r="C1610" s="34" t="inlineStr">
        <is>
          <t>Призы не на абонементы</t>
        </is>
      </c>
      <c r="D1610" s="34" t="inlineStr">
        <is>
          <t>+7 дней к сроку действия абонемента</t>
        </is>
      </c>
      <c r="E1610" s="34" t="inlineStr">
        <is>
          <t>При покупке абонемента на 8 или 12 занятий</t>
        </is>
      </c>
      <c r="F1610" s="147" t="inlineStr">
        <is>
          <t>FW-L1-C7YT4-N76EN</t>
        </is>
      </c>
      <c r="G1610" s="39" t="inlineStr">
        <is>
          <t>Не использован</t>
        </is>
      </c>
      <c r="H1610" s="148" t="n"/>
      <c r="I1610" s="34" t="str"/>
      <c r="J1610" s="34" t="str"/>
      <c r="K1610" s="130" t="n">
        <v>3</v>
      </c>
      <c r="L1610" s="43">
        <f>IF(COUNTIF($F$5:$F$2407,F1610)=1,"OK","Дубликат")</f>
        <v/>
      </c>
    </row>
    <row r="1611" ht="38" customHeight="1">
      <c r="A1611" s="146" t="inlineStr">
        <is>
          <t>BONUS-L1-PLUS7</t>
        </is>
      </c>
      <c r="B1611" s="39" t="inlineStr">
        <is>
          <t>1 уровень</t>
        </is>
      </c>
      <c r="C1611" s="34" t="inlineStr">
        <is>
          <t>Призы не на абонементы</t>
        </is>
      </c>
      <c r="D1611" s="34" t="inlineStr">
        <is>
          <t>+7 дней к сроку действия абонемента</t>
        </is>
      </c>
      <c r="E1611" s="34" t="inlineStr">
        <is>
          <t>При покупке абонемента на 8 или 12 занятий</t>
        </is>
      </c>
      <c r="F1611" s="147" t="inlineStr">
        <is>
          <t>FW-L1-NL6LC-CXLQH</t>
        </is>
      </c>
      <c r="G1611" s="39" t="inlineStr">
        <is>
          <t>Не использован</t>
        </is>
      </c>
      <c r="H1611" s="148" t="n"/>
      <c r="I1611" s="34" t="str"/>
      <c r="J1611" s="34" t="str"/>
      <c r="K1611" s="130" t="n">
        <v>4</v>
      </c>
      <c r="L1611" s="43">
        <f>IF(COUNTIF($F$5:$F$2407,F1611)=1,"OK","Дубликат")</f>
        <v/>
      </c>
    </row>
    <row r="1612" ht="38" customHeight="1">
      <c r="A1612" s="146" t="inlineStr">
        <is>
          <t>BONUS-L1-PLUS7</t>
        </is>
      </c>
      <c r="B1612" s="39" t="inlineStr">
        <is>
          <t>1 уровень</t>
        </is>
      </c>
      <c r="C1612" s="34" t="inlineStr">
        <is>
          <t>Призы не на абонементы</t>
        </is>
      </c>
      <c r="D1612" s="34" t="inlineStr">
        <is>
          <t>+7 дней к сроку действия абонемента</t>
        </is>
      </c>
      <c r="E1612" s="34" t="inlineStr">
        <is>
          <t>При покупке абонемента на 8 или 12 занятий</t>
        </is>
      </c>
      <c r="F1612" s="147" t="inlineStr">
        <is>
          <t>FW-L1-CH63R-KPBT2</t>
        </is>
      </c>
      <c r="G1612" s="39" t="inlineStr">
        <is>
          <t>Не использован</t>
        </is>
      </c>
      <c r="H1612" s="148" t="n"/>
      <c r="I1612" s="34" t="str"/>
      <c r="J1612" s="34" t="str"/>
      <c r="K1612" s="130" t="n">
        <v>5</v>
      </c>
      <c r="L1612" s="43">
        <f>IF(COUNTIF($F$5:$F$2407,F1612)=1,"OK","Дубликат")</f>
        <v/>
      </c>
    </row>
    <row r="1613" ht="38" customHeight="1">
      <c r="A1613" s="146" t="inlineStr">
        <is>
          <t>BONUS-L1-PLUS7</t>
        </is>
      </c>
      <c r="B1613" s="39" t="inlineStr">
        <is>
          <t>1 уровень</t>
        </is>
      </c>
      <c r="C1613" s="34" t="inlineStr">
        <is>
          <t>Призы не на абонементы</t>
        </is>
      </c>
      <c r="D1613" s="34" t="inlineStr">
        <is>
          <t>+7 дней к сроку действия абонемента</t>
        </is>
      </c>
      <c r="E1613" s="34" t="inlineStr">
        <is>
          <t>При покупке абонемента на 8 или 12 занятий</t>
        </is>
      </c>
      <c r="F1613" s="147" t="inlineStr">
        <is>
          <t>FW-L1-U82ZX-QWTU3</t>
        </is>
      </c>
      <c r="G1613" s="39" t="inlineStr">
        <is>
          <t>Не использован</t>
        </is>
      </c>
      <c r="H1613" s="148" t="n"/>
      <c r="I1613" s="34" t="str"/>
      <c r="J1613" s="34" t="str"/>
      <c r="K1613" s="130" t="n">
        <v>6</v>
      </c>
      <c r="L1613" s="43">
        <f>IF(COUNTIF($F$5:$F$2407,F1613)=1,"OK","Дубликат")</f>
        <v/>
      </c>
    </row>
    <row r="1614" ht="38" customHeight="1">
      <c r="A1614" s="146" t="inlineStr">
        <is>
          <t>BONUS-L1-PLUS7</t>
        </is>
      </c>
      <c r="B1614" s="39" t="inlineStr">
        <is>
          <t>1 уровень</t>
        </is>
      </c>
      <c r="C1614" s="34" t="inlineStr">
        <is>
          <t>Призы не на абонементы</t>
        </is>
      </c>
      <c r="D1614" s="34" t="inlineStr">
        <is>
          <t>+7 дней к сроку действия абонемента</t>
        </is>
      </c>
      <c r="E1614" s="34" t="inlineStr">
        <is>
          <t>При покупке абонемента на 8 или 12 занятий</t>
        </is>
      </c>
      <c r="F1614" s="147" t="inlineStr">
        <is>
          <t>FW-L1-8UMKM-PJ55E</t>
        </is>
      </c>
      <c r="G1614" s="39" t="inlineStr">
        <is>
          <t>Не использован</t>
        </is>
      </c>
      <c r="H1614" s="148" t="n"/>
      <c r="I1614" s="34" t="str"/>
      <c r="J1614" s="34" t="str"/>
      <c r="K1614" s="130" t="n">
        <v>7</v>
      </c>
      <c r="L1614" s="43">
        <f>IF(COUNTIF($F$5:$F$2407,F1614)=1,"OK","Дубликат")</f>
        <v/>
      </c>
    </row>
    <row r="1615" ht="38" customHeight="1">
      <c r="A1615" s="146" t="inlineStr">
        <is>
          <t>BONUS-L1-PLUS7</t>
        </is>
      </c>
      <c r="B1615" s="39" t="inlineStr">
        <is>
          <t>1 уровень</t>
        </is>
      </c>
      <c r="C1615" s="34" t="inlineStr">
        <is>
          <t>Призы не на абонементы</t>
        </is>
      </c>
      <c r="D1615" s="34" t="inlineStr">
        <is>
          <t>+7 дней к сроку действия абонемента</t>
        </is>
      </c>
      <c r="E1615" s="34" t="inlineStr">
        <is>
          <t>При покупке абонемента на 8 или 12 занятий</t>
        </is>
      </c>
      <c r="F1615" s="147" t="inlineStr">
        <is>
          <t>FW-L1-E3HP4-WHGC7</t>
        </is>
      </c>
      <c r="G1615" s="39" t="inlineStr">
        <is>
          <t>Не использован</t>
        </is>
      </c>
      <c r="H1615" s="148" t="n"/>
      <c r="I1615" s="34" t="str"/>
      <c r="J1615" s="34" t="str"/>
      <c r="K1615" s="130" t="n">
        <v>8</v>
      </c>
      <c r="L1615" s="43">
        <f>IF(COUNTIF($F$5:$F$2407,F1615)=1,"OK","Дубликат")</f>
        <v/>
      </c>
    </row>
    <row r="1616" ht="38" customHeight="1">
      <c r="A1616" s="146" t="inlineStr">
        <is>
          <t>BONUS-L1-PLUS7</t>
        </is>
      </c>
      <c r="B1616" s="39" t="inlineStr">
        <is>
          <t>1 уровень</t>
        </is>
      </c>
      <c r="C1616" s="34" t="inlineStr">
        <is>
          <t>Призы не на абонементы</t>
        </is>
      </c>
      <c r="D1616" s="34" t="inlineStr">
        <is>
          <t>+7 дней к сроку действия абонемента</t>
        </is>
      </c>
      <c r="E1616" s="34" t="inlineStr">
        <is>
          <t>При покупке абонемента на 8 или 12 занятий</t>
        </is>
      </c>
      <c r="F1616" s="147" t="inlineStr">
        <is>
          <t>FW-L1-KS6M4-UCD7K</t>
        </is>
      </c>
      <c r="G1616" s="39" t="inlineStr">
        <is>
          <t>Не использован</t>
        </is>
      </c>
      <c r="H1616" s="148" t="n"/>
      <c r="I1616" s="34" t="str"/>
      <c r="J1616" s="34" t="str"/>
      <c r="K1616" s="130" t="n">
        <v>9</v>
      </c>
      <c r="L1616" s="43">
        <f>IF(COUNTIF($F$5:$F$2407,F1616)=1,"OK","Дубликат")</f>
        <v/>
      </c>
    </row>
    <row r="1617" ht="38" customHeight="1">
      <c r="A1617" s="146" t="inlineStr">
        <is>
          <t>BONUS-L1-PLUS7</t>
        </is>
      </c>
      <c r="B1617" s="39" t="inlineStr">
        <is>
          <t>1 уровень</t>
        </is>
      </c>
      <c r="C1617" s="34" t="inlineStr">
        <is>
          <t>Призы не на абонементы</t>
        </is>
      </c>
      <c r="D1617" s="34" t="inlineStr">
        <is>
          <t>+7 дней к сроку действия абонемента</t>
        </is>
      </c>
      <c r="E1617" s="34" t="inlineStr">
        <is>
          <t>При покупке абонемента на 8 или 12 занятий</t>
        </is>
      </c>
      <c r="F1617" s="147" t="inlineStr">
        <is>
          <t>FW-L1-53RN5-4LABM</t>
        </is>
      </c>
      <c r="G1617" s="39" t="inlineStr">
        <is>
          <t>Не использован</t>
        </is>
      </c>
      <c r="H1617" s="148" t="n"/>
      <c r="I1617" s="34" t="str"/>
      <c r="J1617" s="34" t="str"/>
      <c r="K1617" s="130" t="n">
        <v>10</v>
      </c>
      <c r="L1617" s="43">
        <f>IF(COUNTIF($F$5:$F$2407,F1617)=1,"OK","Дубликат")</f>
        <v/>
      </c>
    </row>
    <row r="1618" ht="38" customHeight="1">
      <c r="A1618" s="146" t="inlineStr">
        <is>
          <t>BONUS-L1-PLUS7</t>
        </is>
      </c>
      <c r="B1618" s="39" t="inlineStr">
        <is>
          <t>1 уровень</t>
        </is>
      </c>
      <c r="C1618" s="34" t="inlineStr">
        <is>
          <t>Призы не на абонементы</t>
        </is>
      </c>
      <c r="D1618" s="34" t="inlineStr">
        <is>
          <t>+7 дней к сроку действия абонемента</t>
        </is>
      </c>
      <c r="E1618" s="34" t="inlineStr">
        <is>
          <t>При покупке абонемента на 8 или 12 занятий</t>
        </is>
      </c>
      <c r="F1618" s="147" t="inlineStr">
        <is>
          <t>FW-L1-NQ8W2-X9RQZ</t>
        </is>
      </c>
      <c r="G1618" s="39" t="inlineStr">
        <is>
          <t>Не использован</t>
        </is>
      </c>
      <c r="H1618" s="148" t="n"/>
      <c r="I1618" s="34" t="str"/>
      <c r="J1618" s="34" t="str"/>
      <c r="K1618" s="130" t="n">
        <v>11</v>
      </c>
      <c r="L1618" s="43">
        <f>IF(COUNTIF($F$5:$F$2407,F1618)=1,"OK","Дубликат")</f>
        <v/>
      </c>
    </row>
    <row r="1619" ht="38" customHeight="1">
      <c r="A1619" s="146" t="inlineStr">
        <is>
          <t>BONUS-L1-PLUS7</t>
        </is>
      </c>
      <c r="B1619" s="39" t="inlineStr">
        <is>
          <t>1 уровень</t>
        </is>
      </c>
      <c r="C1619" s="34" t="inlineStr">
        <is>
          <t>Призы не на абонементы</t>
        </is>
      </c>
      <c r="D1619" s="34" t="inlineStr">
        <is>
          <t>+7 дней к сроку действия абонемента</t>
        </is>
      </c>
      <c r="E1619" s="34" t="inlineStr">
        <is>
          <t>При покупке абонемента на 8 или 12 занятий</t>
        </is>
      </c>
      <c r="F1619" s="147" t="inlineStr">
        <is>
          <t>FW-L1-8H78M-6Q5MB</t>
        </is>
      </c>
      <c r="G1619" s="39" t="inlineStr">
        <is>
          <t>Не использован</t>
        </is>
      </c>
      <c r="H1619" s="148" t="n"/>
      <c r="I1619" s="34" t="str"/>
      <c r="J1619" s="34" t="str"/>
      <c r="K1619" s="130" t="n">
        <v>12</v>
      </c>
      <c r="L1619" s="43">
        <f>IF(COUNTIF($F$5:$F$2407,F1619)=1,"OK","Дубликат")</f>
        <v/>
      </c>
    </row>
    <row r="1620" ht="38" customHeight="1">
      <c r="A1620" s="146" t="inlineStr">
        <is>
          <t>BONUS-L1-PLUS7</t>
        </is>
      </c>
      <c r="B1620" s="39" t="inlineStr">
        <is>
          <t>1 уровень</t>
        </is>
      </c>
      <c r="C1620" s="34" t="inlineStr">
        <is>
          <t>Призы не на абонементы</t>
        </is>
      </c>
      <c r="D1620" s="34" t="inlineStr">
        <is>
          <t>+7 дней к сроку действия абонемента</t>
        </is>
      </c>
      <c r="E1620" s="34" t="inlineStr">
        <is>
          <t>При покупке абонемента на 8 или 12 занятий</t>
        </is>
      </c>
      <c r="F1620" s="147" t="inlineStr">
        <is>
          <t>FW-L1-SVNMR-HWS6D</t>
        </is>
      </c>
      <c r="G1620" s="39" t="inlineStr">
        <is>
          <t>Не использован</t>
        </is>
      </c>
      <c r="H1620" s="148" t="n"/>
      <c r="I1620" s="34" t="str"/>
      <c r="J1620" s="34" t="str"/>
      <c r="K1620" s="130" t="n">
        <v>13</v>
      </c>
      <c r="L1620" s="43">
        <f>IF(COUNTIF($F$5:$F$2407,F1620)=1,"OK","Дубликат")</f>
        <v/>
      </c>
    </row>
    <row r="1621" ht="38" customHeight="1">
      <c r="A1621" s="146" t="inlineStr">
        <is>
          <t>BONUS-L1-PLUS7</t>
        </is>
      </c>
      <c r="B1621" s="39" t="inlineStr">
        <is>
          <t>1 уровень</t>
        </is>
      </c>
      <c r="C1621" s="34" t="inlineStr">
        <is>
          <t>Призы не на абонементы</t>
        </is>
      </c>
      <c r="D1621" s="34" t="inlineStr">
        <is>
          <t>+7 дней к сроку действия абонемента</t>
        </is>
      </c>
      <c r="E1621" s="34" t="inlineStr">
        <is>
          <t>При покупке абонемента на 8 или 12 занятий</t>
        </is>
      </c>
      <c r="F1621" s="147" t="inlineStr">
        <is>
          <t>FW-L1-3M9RS-DYW7W</t>
        </is>
      </c>
      <c r="G1621" s="39" t="inlineStr">
        <is>
          <t>Не использован</t>
        </is>
      </c>
      <c r="H1621" s="148" t="n"/>
      <c r="I1621" s="34" t="str"/>
      <c r="J1621" s="34" t="str"/>
      <c r="K1621" s="130" t="n">
        <v>14</v>
      </c>
      <c r="L1621" s="43">
        <f>IF(COUNTIF($F$5:$F$2407,F1621)=1,"OK","Дубликат")</f>
        <v/>
      </c>
    </row>
    <row r="1622" ht="38" customHeight="1">
      <c r="A1622" s="146" t="inlineStr">
        <is>
          <t>BONUS-L1-PLUS7</t>
        </is>
      </c>
      <c r="B1622" s="39" t="inlineStr">
        <is>
          <t>1 уровень</t>
        </is>
      </c>
      <c r="C1622" s="34" t="inlineStr">
        <is>
          <t>Призы не на абонементы</t>
        </is>
      </c>
      <c r="D1622" s="34" t="inlineStr">
        <is>
          <t>+7 дней к сроку действия абонемента</t>
        </is>
      </c>
      <c r="E1622" s="34" t="inlineStr">
        <is>
          <t>При покупке абонемента на 8 или 12 занятий</t>
        </is>
      </c>
      <c r="F1622" s="147" t="inlineStr">
        <is>
          <t>FW-L1-FK73B-S4PRF</t>
        </is>
      </c>
      <c r="G1622" s="39" t="inlineStr">
        <is>
          <t>Не использован</t>
        </is>
      </c>
      <c r="H1622" s="148" t="n"/>
      <c r="I1622" s="34" t="str"/>
      <c r="J1622" s="34" t="str"/>
      <c r="K1622" s="130" t="n">
        <v>15</v>
      </c>
      <c r="L1622" s="43">
        <f>IF(COUNTIF($F$5:$F$2407,F1622)=1,"OK","Дубликат")</f>
        <v/>
      </c>
    </row>
    <row r="1623" ht="38" customHeight="1">
      <c r="A1623" s="146" t="inlineStr">
        <is>
          <t>BONUS-L1-PLUS7</t>
        </is>
      </c>
      <c r="B1623" s="39" t="inlineStr">
        <is>
          <t>1 уровень</t>
        </is>
      </c>
      <c r="C1623" s="34" t="inlineStr">
        <is>
          <t>Призы не на абонементы</t>
        </is>
      </c>
      <c r="D1623" s="34" t="inlineStr">
        <is>
          <t>+7 дней к сроку действия абонемента</t>
        </is>
      </c>
      <c r="E1623" s="34" t="inlineStr">
        <is>
          <t>При покупке абонемента на 8 или 12 занятий</t>
        </is>
      </c>
      <c r="F1623" s="147" t="inlineStr">
        <is>
          <t>FW-L1-VGZMT-7Q799</t>
        </is>
      </c>
      <c r="G1623" s="39" t="inlineStr">
        <is>
          <t>Не использован</t>
        </is>
      </c>
      <c r="H1623" s="148" t="n"/>
      <c r="I1623" s="34" t="str"/>
      <c r="J1623" s="34" t="str"/>
      <c r="K1623" s="130" t="n">
        <v>16</v>
      </c>
      <c r="L1623" s="43">
        <f>IF(COUNTIF($F$5:$F$2407,F1623)=1,"OK","Дубликат")</f>
        <v/>
      </c>
    </row>
    <row r="1624" ht="38" customHeight="1">
      <c r="A1624" s="146" t="inlineStr">
        <is>
          <t>BONUS-L1-PLUS7</t>
        </is>
      </c>
      <c r="B1624" s="39" t="inlineStr">
        <is>
          <t>1 уровень</t>
        </is>
      </c>
      <c r="C1624" s="34" t="inlineStr">
        <is>
          <t>Призы не на абонементы</t>
        </is>
      </c>
      <c r="D1624" s="34" t="inlineStr">
        <is>
          <t>+7 дней к сроку действия абонемента</t>
        </is>
      </c>
      <c r="E1624" s="34" t="inlineStr">
        <is>
          <t>При покупке абонемента на 8 или 12 занятий</t>
        </is>
      </c>
      <c r="F1624" s="147" t="inlineStr">
        <is>
          <t>FW-L1-VWXC7-RDBAC</t>
        </is>
      </c>
      <c r="G1624" s="39" t="inlineStr">
        <is>
          <t>Не использован</t>
        </is>
      </c>
      <c r="H1624" s="148" t="n"/>
      <c r="I1624" s="34" t="str"/>
      <c r="J1624" s="34" t="str"/>
      <c r="K1624" s="130" t="n">
        <v>17</v>
      </c>
      <c r="L1624" s="43">
        <f>IF(COUNTIF($F$5:$F$2407,F1624)=1,"OK","Дубликат")</f>
        <v/>
      </c>
    </row>
    <row r="1625" ht="38" customHeight="1">
      <c r="A1625" s="146" t="inlineStr">
        <is>
          <t>BONUS-L1-PLUS7</t>
        </is>
      </c>
      <c r="B1625" s="39" t="inlineStr">
        <is>
          <t>1 уровень</t>
        </is>
      </c>
      <c r="C1625" s="34" t="inlineStr">
        <is>
          <t>Призы не на абонементы</t>
        </is>
      </c>
      <c r="D1625" s="34" t="inlineStr">
        <is>
          <t>+7 дней к сроку действия абонемента</t>
        </is>
      </c>
      <c r="E1625" s="34" t="inlineStr">
        <is>
          <t>При покупке абонемента на 8 или 12 занятий</t>
        </is>
      </c>
      <c r="F1625" s="147" t="inlineStr">
        <is>
          <t>FW-L1-HCGPR-C2XYA</t>
        </is>
      </c>
      <c r="G1625" s="39" t="inlineStr">
        <is>
          <t>Не использован</t>
        </is>
      </c>
      <c r="H1625" s="148" t="n"/>
      <c r="I1625" s="34" t="str"/>
      <c r="J1625" s="34" t="str"/>
      <c r="K1625" s="130" t="n">
        <v>18</v>
      </c>
      <c r="L1625" s="43">
        <f>IF(COUNTIF($F$5:$F$2407,F1625)=1,"OK","Дубликат")</f>
        <v/>
      </c>
    </row>
    <row r="1626" ht="38" customHeight="1">
      <c r="A1626" s="146" t="inlineStr">
        <is>
          <t>BONUS-L1-PLUS7</t>
        </is>
      </c>
      <c r="B1626" s="39" t="inlineStr">
        <is>
          <t>1 уровень</t>
        </is>
      </c>
      <c r="C1626" s="34" t="inlineStr">
        <is>
          <t>Призы не на абонементы</t>
        </is>
      </c>
      <c r="D1626" s="34" t="inlineStr">
        <is>
          <t>+7 дней к сроку действия абонемента</t>
        </is>
      </c>
      <c r="E1626" s="34" t="inlineStr">
        <is>
          <t>При покупке абонемента на 8 или 12 занятий</t>
        </is>
      </c>
      <c r="F1626" s="147" t="inlineStr">
        <is>
          <t>FW-L1-MJ8ZK-CATL9</t>
        </is>
      </c>
      <c r="G1626" s="39" t="inlineStr">
        <is>
          <t>Не использован</t>
        </is>
      </c>
      <c r="H1626" s="148" t="n"/>
      <c r="I1626" s="34" t="str"/>
      <c r="J1626" s="34" t="str"/>
      <c r="K1626" s="130" t="n">
        <v>19</v>
      </c>
      <c r="L1626" s="43">
        <f>IF(COUNTIF($F$5:$F$2407,F1626)=1,"OK","Дубликат")</f>
        <v/>
      </c>
    </row>
    <row r="1627" ht="38" customHeight="1">
      <c r="A1627" s="146" t="inlineStr">
        <is>
          <t>BONUS-L1-PLUS7</t>
        </is>
      </c>
      <c r="B1627" s="39" t="inlineStr">
        <is>
          <t>1 уровень</t>
        </is>
      </c>
      <c r="C1627" s="34" t="inlineStr">
        <is>
          <t>Призы не на абонементы</t>
        </is>
      </c>
      <c r="D1627" s="34" t="inlineStr">
        <is>
          <t>+7 дней к сроку действия абонемента</t>
        </is>
      </c>
      <c r="E1627" s="34" t="inlineStr">
        <is>
          <t>При покупке абонемента на 8 или 12 занятий</t>
        </is>
      </c>
      <c r="F1627" s="147" t="inlineStr">
        <is>
          <t>FW-L1-MPL3K-AL8NL</t>
        </is>
      </c>
      <c r="G1627" s="39" t="inlineStr">
        <is>
          <t>Не использован</t>
        </is>
      </c>
      <c r="H1627" s="148" t="n"/>
      <c r="I1627" s="34" t="str"/>
      <c r="J1627" s="34" t="str"/>
      <c r="K1627" s="130" t="n">
        <v>20</v>
      </c>
      <c r="L1627" s="43">
        <f>IF(COUNTIF($F$5:$F$2407,F1627)=1,"OK","Дубликат")</f>
        <v/>
      </c>
    </row>
    <row r="1628" ht="38" customHeight="1">
      <c r="A1628" s="146" t="inlineStr">
        <is>
          <t>BONUS-L1-PLUS7</t>
        </is>
      </c>
      <c r="B1628" s="39" t="inlineStr">
        <is>
          <t>1 уровень</t>
        </is>
      </c>
      <c r="C1628" s="34" t="inlineStr">
        <is>
          <t>Призы не на абонементы</t>
        </is>
      </c>
      <c r="D1628" s="34" t="inlineStr">
        <is>
          <t>+7 дней к сроку действия абонемента</t>
        </is>
      </c>
      <c r="E1628" s="34" t="inlineStr">
        <is>
          <t>При покупке абонемента на 8 или 12 занятий</t>
        </is>
      </c>
      <c r="F1628" s="147" t="inlineStr">
        <is>
          <t>FW-L1-2A76M-WDSTM</t>
        </is>
      </c>
      <c r="G1628" s="39" t="inlineStr">
        <is>
          <t>Не использован</t>
        </is>
      </c>
      <c r="H1628" s="148" t="n"/>
      <c r="I1628" s="34" t="str"/>
      <c r="J1628" s="34" t="str"/>
      <c r="K1628" s="130" t="n">
        <v>21</v>
      </c>
      <c r="L1628" s="43">
        <f>IF(COUNTIF($F$5:$F$2407,F1628)=1,"OK","Дубликат")</f>
        <v/>
      </c>
    </row>
    <row r="1629" ht="38" customHeight="1">
      <c r="A1629" s="146" t="inlineStr">
        <is>
          <t>BONUS-L1-PLUS7</t>
        </is>
      </c>
      <c r="B1629" s="39" t="inlineStr">
        <is>
          <t>1 уровень</t>
        </is>
      </c>
      <c r="C1629" s="34" t="inlineStr">
        <is>
          <t>Призы не на абонементы</t>
        </is>
      </c>
      <c r="D1629" s="34" t="inlineStr">
        <is>
          <t>+7 дней к сроку действия абонемента</t>
        </is>
      </c>
      <c r="E1629" s="34" t="inlineStr">
        <is>
          <t>При покупке абонемента на 8 или 12 занятий</t>
        </is>
      </c>
      <c r="F1629" s="147" t="inlineStr">
        <is>
          <t>FW-L1-PJJ8J-LP2JM</t>
        </is>
      </c>
      <c r="G1629" s="39" t="inlineStr">
        <is>
          <t>Не использован</t>
        </is>
      </c>
      <c r="H1629" s="148" t="n"/>
      <c r="I1629" s="34" t="str"/>
      <c r="J1629" s="34" t="str"/>
      <c r="K1629" s="130" t="n">
        <v>22</v>
      </c>
      <c r="L1629" s="43">
        <f>IF(COUNTIF($F$5:$F$2407,F1629)=1,"OK","Дубликат")</f>
        <v/>
      </c>
    </row>
    <row r="1630" ht="38" customHeight="1">
      <c r="A1630" s="146" t="inlineStr">
        <is>
          <t>BONUS-L1-PLUS7</t>
        </is>
      </c>
      <c r="B1630" s="39" t="inlineStr">
        <is>
          <t>1 уровень</t>
        </is>
      </c>
      <c r="C1630" s="34" t="inlineStr">
        <is>
          <t>Призы не на абонементы</t>
        </is>
      </c>
      <c r="D1630" s="34" t="inlineStr">
        <is>
          <t>+7 дней к сроку действия абонемента</t>
        </is>
      </c>
      <c r="E1630" s="34" t="inlineStr">
        <is>
          <t>При покупке абонемента на 8 или 12 занятий</t>
        </is>
      </c>
      <c r="F1630" s="147" t="inlineStr">
        <is>
          <t>FW-L1-CGBD6-JZYPX</t>
        </is>
      </c>
      <c r="G1630" s="39" t="inlineStr">
        <is>
          <t>Не использован</t>
        </is>
      </c>
      <c r="H1630" s="148" t="n"/>
      <c r="I1630" s="34" t="str"/>
      <c r="J1630" s="34" t="str"/>
      <c r="K1630" s="130" t="n">
        <v>23</v>
      </c>
      <c r="L1630" s="43">
        <f>IF(COUNTIF($F$5:$F$2407,F1630)=1,"OK","Дубликат")</f>
        <v/>
      </c>
    </row>
    <row r="1631" ht="38" customHeight="1">
      <c r="A1631" s="146" t="inlineStr">
        <is>
          <t>BONUS-L1-PLUS7</t>
        </is>
      </c>
      <c r="B1631" s="39" t="inlineStr">
        <is>
          <t>1 уровень</t>
        </is>
      </c>
      <c r="C1631" s="34" t="inlineStr">
        <is>
          <t>Призы не на абонементы</t>
        </is>
      </c>
      <c r="D1631" s="34" t="inlineStr">
        <is>
          <t>+7 дней к сроку действия абонемента</t>
        </is>
      </c>
      <c r="E1631" s="34" t="inlineStr">
        <is>
          <t>При покупке абонемента на 8 или 12 занятий</t>
        </is>
      </c>
      <c r="F1631" s="147" t="inlineStr">
        <is>
          <t>FW-L1-JVQ68-8ME4E</t>
        </is>
      </c>
      <c r="G1631" s="39" t="inlineStr">
        <is>
          <t>Не использован</t>
        </is>
      </c>
      <c r="H1631" s="148" t="n"/>
      <c r="I1631" s="34" t="str"/>
      <c r="J1631" s="34" t="str"/>
      <c r="K1631" s="130" t="n">
        <v>24</v>
      </c>
      <c r="L1631" s="43">
        <f>IF(COUNTIF($F$5:$F$2407,F1631)=1,"OK","Дубликат")</f>
        <v/>
      </c>
    </row>
    <row r="1632" ht="38" customHeight="1">
      <c r="A1632" s="146" t="inlineStr">
        <is>
          <t>BONUS-L1-PLUS7</t>
        </is>
      </c>
      <c r="B1632" s="39" t="inlineStr">
        <is>
          <t>1 уровень</t>
        </is>
      </c>
      <c r="C1632" s="34" t="inlineStr">
        <is>
          <t>Призы не на абонементы</t>
        </is>
      </c>
      <c r="D1632" s="34" t="inlineStr">
        <is>
          <t>+7 дней к сроку действия абонемента</t>
        </is>
      </c>
      <c r="E1632" s="34" t="inlineStr">
        <is>
          <t>При покупке абонемента на 8 или 12 занятий</t>
        </is>
      </c>
      <c r="F1632" s="147" t="inlineStr">
        <is>
          <t>FW-L1-P8LV6-2LSSB</t>
        </is>
      </c>
      <c r="G1632" s="39" t="inlineStr">
        <is>
          <t>Не использован</t>
        </is>
      </c>
      <c r="H1632" s="148" t="n"/>
      <c r="I1632" s="34" t="str"/>
      <c r="J1632" s="34" t="str"/>
      <c r="K1632" s="130" t="n">
        <v>25</v>
      </c>
      <c r="L1632" s="43">
        <f>IF(COUNTIF($F$5:$F$2407,F1632)=1,"OK","Дубликат")</f>
        <v/>
      </c>
    </row>
    <row r="1633" ht="38" customHeight="1">
      <c r="A1633" s="146" t="inlineStr">
        <is>
          <t>BONUS-L1-PLUS7</t>
        </is>
      </c>
      <c r="B1633" s="39" t="inlineStr">
        <is>
          <t>1 уровень</t>
        </is>
      </c>
      <c r="C1633" s="34" t="inlineStr">
        <is>
          <t>Призы не на абонементы</t>
        </is>
      </c>
      <c r="D1633" s="34" t="inlineStr">
        <is>
          <t>+7 дней к сроку действия абонемента</t>
        </is>
      </c>
      <c r="E1633" s="34" t="inlineStr">
        <is>
          <t>При покупке абонемента на 8 или 12 занятий</t>
        </is>
      </c>
      <c r="F1633" s="147" t="inlineStr">
        <is>
          <t>FW-L1-5QUMH-TZVVL</t>
        </is>
      </c>
      <c r="G1633" s="39" t="inlineStr">
        <is>
          <t>Не использован</t>
        </is>
      </c>
      <c r="H1633" s="148" t="n"/>
      <c r="I1633" s="34" t="str"/>
      <c r="J1633" s="34" t="str"/>
      <c r="K1633" s="130" t="n">
        <v>26</v>
      </c>
      <c r="L1633" s="43">
        <f>IF(COUNTIF($F$5:$F$2407,F1633)=1,"OK","Дубликат")</f>
        <v/>
      </c>
    </row>
    <row r="1634" ht="38" customHeight="1">
      <c r="A1634" s="146" t="inlineStr">
        <is>
          <t>BONUS-L1-PLUS7</t>
        </is>
      </c>
      <c r="B1634" s="39" t="inlineStr">
        <is>
          <t>1 уровень</t>
        </is>
      </c>
      <c r="C1634" s="34" t="inlineStr">
        <is>
          <t>Призы не на абонементы</t>
        </is>
      </c>
      <c r="D1634" s="34" t="inlineStr">
        <is>
          <t>+7 дней к сроку действия абонемента</t>
        </is>
      </c>
      <c r="E1634" s="34" t="inlineStr">
        <is>
          <t>При покупке абонемента на 8 или 12 занятий</t>
        </is>
      </c>
      <c r="F1634" s="147" t="inlineStr">
        <is>
          <t>FW-L1-2HCVF-UWE4D</t>
        </is>
      </c>
      <c r="G1634" s="39" t="inlineStr">
        <is>
          <t>Не использован</t>
        </is>
      </c>
      <c r="H1634" s="148" t="n"/>
      <c r="I1634" s="34" t="str"/>
      <c r="J1634" s="34" t="str"/>
      <c r="K1634" s="130" t="n">
        <v>27</v>
      </c>
      <c r="L1634" s="43">
        <f>IF(COUNTIF($F$5:$F$2407,F1634)=1,"OK","Дубликат")</f>
        <v/>
      </c>
    </row>
    <row r="1635" ht="38" customHeight="1">
      <c r="A1635" s="146" t="inlineStr">
        <is>
          <t>BONUS-L1-PLUS7</t>
        </is>
      </c>
      <c r="B1635" s="39" t="inlineStr">
        <is>
          <t>1 уровень</t>
        </is>
      </c>
      <c r="C1635" s="34" t="inlineStr">
        <is>
          <t>Призы не на абонементы</t>
        </is>
      </c>
      <c r="D1635" s="34" t="inlineStr">
        <is>
          <t>+7 дней к сроку действия абонемента</t>
        </is>
      </c>
      <c r="E1635" s="34" t="inlineStr">
        <is>
          <t>При покупке абонемента на 8 или 12 занятий</t>
        </is>
      </c>
      <c r="F1635" s="147" t="inlineStr">
        <is>
          <t>FW-L1-WE5UV-RHT9F</t>
        </is>
      </c>
      <c r="G1635" s="39" t="inlineStr">
        <is>
          <t>Не использован</t>
        </is>
      </c>
      <c r="H1635" s="148" t="n"/>
      <c r="I1635" s="34" t="str"/>
      <c r="J1635" s="34" t="str"/>
      <c r="K1635" s="130" t="n">
        <v>28</v>
      </c>
      <c r="L1635" s="43">
        <f>IF(COUNTIF($F$5:$F$2407,F1635)=1,"OK","Дубликат")</f>
        <v/>
      </c>
    </row>
    <row r="1636" ht="38" customHeight="1">
      <c r="A1636" s="146" t="inlineStr">
        <is>
          <t>BONUS-L1-PLUS7</t>
        </is>
      </c>
      <c r="B1636" s="39" t="inlineStr">
        <is>
          <t>1 уровень</t>
        </is>
      </c>
      <c r="C1636" s="34" t="inlineStr">
        <is>
          <t>Призы не на абонементы</t>
        </is>
      </c>
      <c r="D1636" s="34" t="inlineStr">
        <is>
          <t>+7 дней к сроку действия абонемента</t>
        </is>
      </c>
      <c r="E1636" s="34" t="inlineStr">
        <is>
          <t>При покупке абонемента на 8 или 12 занятий</t>
        </is>
      </c>
      <c r="F1636" s="147" t="inlineStr">
        <is>
          <t>FW-L1-LVPXN-9Q54N</t>
        </is>
      </c>
      <c r="G1636" s="39" t="inlineStr">
        <is>
          <t>Не использован</t>
        </is>
      </c>
      <c r="H1636" s="148" t="n"/>
      <c r="I1636" s="34" t="str"/>
      <c r="J1636" s="34" t="str"/>
      <c r="K1636" s="130" t="n">
        <v>29</v>
      </c>
      <c r="L1636" s="43">
        <f>IF(COUNTIF($F$5:$F$2407,F1636)=1,"OK","Дубликат")</f>
        <v/>
      </c>
    </row>
    <row r="1637" ht="38" customHeight="1">
      <c r="A1637" s="146" t="inlineStr">
        <is>
          <t>BONUS-L1-PLUS7</t>
        </is>
      </c>
      <c r="B1637" s="39" t="inlineStr">
        <is>
          <t>1 уровень</t>
        </is>
      </c>
      <c r="C1637" s="34" t="inlineStr">
        <is>
          <t>Призы не на абонементы</t>
        </is>
      </c>
      <c r="D1637" s="34" t="inlineStr">
        <is>
          <t>+7 дней к сроку действия абонемента</t>
        </is>
      </c>
      <c r="E1637" s="34" t="inlineStr">
        <is>
          <t>При покупке абонемента на 8 или 12 занятий</t>
        </is>
      </c>
      <c r="F1637" s="147" t="inlineStr">
        <is>
          <t>FW-L1-MFQLB-F8NQT</t>
        </is>
      </c>
      <c r="G1637" s="39" t="inlineStr">
        <is>
          <t>Не использован</t>
        </is>
      </c>
      <c r="H1637" s="148" t="n"/>
      <c r="I1637" s="34" t="str"/>
      <c r="J1637" s="34" t="str"/>
      <c r="K1637" s="130" t="n">
        <v>30</v>
      </c>
      <c r="L1637" s="43">
        <f>IF(COUNTIF($F$5:$F$2407,F1637)=1,"OK","Дубликат")</f>
        <v/>
      </c>
    </row>
    <row r="1638" ht="38" customHeight="1">
      <c r="A1638" s="146" t="inlineStr">
        <is>
          <t>BONUS-L1-PLUS7</t>
        </is>
      </c>
      <c r="B1638" s="39" t="inlineStr">
        <is>
          <t>1 уровень</t>
        </is>
      </c>
      <c r="C1638" s="34" t="inlineStr">
        <is>
          <t>Призы не на абонементы</t>
        </is>
      </c>
      <c r="D1638" s="34" t="inlineStr">
        <is>
          <t>+7 дней к сроку действия абонемента</t>
        </is>
      </c>
      <c r="E1638" s="34" t="inlineStr">
        <is>
          <t>При покупке абонемента на 8 или 12 занятий</t>
        </is>
      </c>
      <c r="F1638" s="147" t="inlineStr">
        <is>
          <t>FW-L1-YUSZG-ZM2D5</t>
        </is>
      </c>
      <c r="G1638" s="39" t="inlineStr">
        <is>
          <t>Не использован</t>
        </is>
      </c>
      <c r="H1638" s="148" t="n"/>
      <c r="I1638" s="34" t="str"/>
      <c r="J1638" s="34" t="str"/>
      <c r="K1638" s="130" t="n">
        <v>31</v>
      </c>
      <c r="L1638" s="43">
        <f>IF(COUNTIF($F$5:$F$2407,F1638)=1,"OK","Дубликат")</f>
        <v/>
      </c>
    </row>
    <row r="1639" ht="38" customHeight="1">
      <c r="A1639" s="146" t="inlineStr">
        <is>
          <t>BONUS-L1-PLUS7</t>
        </is>
      </c>
      <c r="B1639" s="39" t="inlineStr">
        <is>
          <t>1 уровень</t>
        </is>
      </c>
      <c r="C1639" s="34" t="inlineStr">
        <is>
          <t>Призы не на абонементы</t>
        </is>
      </c>
      <c r="D1639" s="34" t="inlineStr">
        <is>
          <t>+7 дней к сроку действия абонемента</t>
        </is>
      </c>
      <c r="E1639" s="34" t="inlineStr">
        <is>
          <t>При покупке абонемента на 8 или 12 занятий</t>
        </is>
      </c>
      <c r="F1639" s="147" t="inlineStr">
        <is>
          <t>FW-L1-27LQW-HE6R7</t>
        </is>
      </c>
      <c r="G1639" s="39" t="inlineStr">
        <is>
          <t>Не использован</t>
        </is>
      </c>
      <c r="H1639" s="148" t="n"/>
      <c r="I1639" s="34" t="str"/>
      <c r="J1639" s="34" t="str"/>
      <c r="K1639" s="130" t="n">
        <v>32</v>
      </c>
      <c r="L1639" s="43">
        <f>IF(COUNTIF($F$5:$F$2407,F1639)=1,"OK","Дубликат")</f>
        <v/>
      </c>
    </row>
    <row r="1640" ht="38" customHeight="1">
      <c r="A1640" s="146" t="inlineStr">
        <is>
          <t>BONUS-L1-PLUS7</t>
        </is>
      </c>
      <c r="B1640" s="39" t="inlineStr">
        <is>
          <t>1 уровень</t>
        </is>
      </c>
      <c r="C1640" s="34" t="inlineStr">
        <is>
          <t>Призы не на абонементы</t>
        </is>
      </c>
      <c r="D1640" s="34" t="inlineStr">
        <is>
          <t>+7 дней к сроку действия абонемента</t>
        </is>
      </c>
      <c r="E1640" s="34" t="inlineStr">
        <is>
          <t>При покупке абонемента на 8 или 12 занятий</t>
        </is>
      </c>
      <c r="F1640" s="147" t="inlineStr">
        <is>
          <t>FW-L1-D562L-AJMRV</t>
        </is>
      </c>
      <c r="G1640" s="39" t="inlineStr">
        <is>
          <t>Не использован</t>
        </is>
      </c>
      <c r="H1640" s="148" t="n"/>
      <c r="I1640" s="34" t="str"/>
      <c r="J1640" s="34" t="str"/>
      <c r="K1640" s="130" t="n">
        <v>33</v>
      </c>
      <c r="L1640" s="43">
        <f>IF(COUNTIF($F$5:$F$2407,F1640)=1,"OK","Дубликат")</f>
        <v/>
      </c>
    </row>
    <row r="1641" ht="38" customHeight="1">
      <c r="A1641" s="146" t="inlineStr">
        <is>
          <t>BONUS-L1-PLUS7</t>
        </is>
      </c>
      <c r="B1641" s="39" t="inlineStr">
        <is>
          <t>1 уровень</t>
        </is>
      </c>
      <c r="C1641" s="34" t="inlineStr">
        <is>
          <t>Призы не на абонементы</t>
        </is>
      </c>
      <c r="D1641" s="34" t="inlineStr">
        <is>
          <t>+7 дней к сроку действия абонемента</t>
        </is>
      </c>
      <c r="E1641" s="34" t="inlineStr">
        <is>
          <t>При покупке абонемента на 8 или 12 занятий</t>
        </is>
      </c>
      <c r="F1641" s="147" t="inlineStr">
        <is>
          <t>FW-L1-6BL2V-4576F</t>
        </is>
      </c>
      <c r="G1641" s="39" t="inlineStr">
        <is>
          <t>Не использован</t>
        </is>
      </c>
      <c r="H1641" s="148" t="n"/>
      <c r="I1641" s="34" t="str"/>
      <c r="J1641" s="34" t="str"/>
      <c r="K1641" s="130" t="n">
        <v>34</v>
      </c>
      <c r="L1641" s="43">
        <f>IF(COUNTIF($F$5:$F$2407,F1641)=1,"OK","Дубликат")</f>
        <v/>
      </c>
    </row>
    <row r="1642" ht="38" customHeight="1">
      <c r="A1642" s="146" t="inlineStr">
        <is>
          <t>BONUS-L1-PLUS7</t>
        </is>
      </c>
      <c r="B1642" s="39" t="inlineStr">
        <is>
          <t>1 уровень</t>
        </is>
      </c>
      <c r="C1642" s="34" t="inlineStr">
        <is>
          <t>Призы не на абонементы</t>
        </is>
      </c>
      <c r="D1642" s="34" t="inlineStr">
        <is>
          <t>+7 дней к сроку действия абонемента</t>
        </is>
      </c>
      <c r="E1642" s="34" t="inlineStr">
        <is>
          <t>При покупке абонемента на 8 или 12 занятий</t>
        </is>
      </c>
      <c r="F1642" s="147" t="inlineStr">
        <is>
          <t>FW-L1-P6G4Y-MJCRT</t>
        </is>
      </c>
      <c r="G1642" s="39" t="inlineStr">
        <is>
          <t>Не использован</t>
        </is>
      </c>
      <c r="H1642" s="148" t="n"/>
      <c r="I1642" s="34" t="str"/>
      <c r="J1642" s="34" t="str"/>
      <c r="K1642" s="130" t="n">
        <v>35</v>
      </c>
      <c r="L1642" s="43">
        <f>IF(COUNTIF($F$5:$F$2407,F1642)=1,"OK","Дубликат")</f>
        <v/>
      </c>
    </row>
    <row r="1643" ht="38" customHeight="1">
      <c r="A1643" s="146" t="inlineStr">
        <is>
          <t>BONUS-L1-PLUS7</t>
        </is>
      </c>
      <c r="B1643" s="39" t="inlineStr">
        <is>
          <t>1 уровень</t>
        </is>
      </c>
      <c r="C1643" s="34" t="inlineStr">
        <is>
          <t>Призы не на абонементы</t>
        </is>
      </c>
      <c r="D1643" s="34" t="inlineStr">
        <is>
          <t>+7 дней к сроку действия абонемента</t>
        </is>
      </c>
      <c r="E1643" s="34" t="inlineStr">
        <is>
          <t>При покупке абонемента на 8 или 12 занятий</t>
        </is>
      </c>
      <c r="F1643" s="147" t="inlineStr">
        <is>
          <t>FW-L1-Q4GJC-KMSV2</t>
        </is>
      </c>
      <c r="G1643" s="39" t="inlineStr">
        <is>
          <t>Не использован</t>
        </is>
      </c>
      <c r="H1643" s="148" t="n"/>
      <c r="I1643" s="34" t="str"/>
      <c r="J1643" s="34" t="str"/>
      <c r="K1643" s="130" t="n">
        <v>36</v>
      </c>
      <c r="L1643" s="43">
        <f>IF(COUNTIF($F$5:$F$2407,F1643)=1,"OK","Дубликат")</f>
        <v/>
      </c>
    </row>
    <row r="1644" ht="38" customHeight="1">
      <c r="A1644" s="146" t="inlineStr">
        <is>
          <t>BONUS-L1-PLUS7</t>
        </is>
      </c>
      <c r="B1644" s="39" t="inlineStr">
        <is>
          <t>1 уровень</t>
        </is>
      </c>
      <c r="C1644" s="34" t="inlineStr">
        <is>
          <t>Призы не на абонементы</t>
        </is>
      </c>
      <c r="D1644" s="34" t="inlineStr">
        <is>
          <t>+7 дней к сроку действия абонемента</t>
        </is>
      </c>
      <c r="E1644" s="34" t="inlineStr">
        <is>
          <t>При покупке абонемента на 8 или 12 занятий</t>
        </is>
      </c>
      <c r="F1644" s="147" t="inlineStr">
        <is>
          <t>FW-L1-V5C8R-956QK</t>
        </is>
      </c>
      <c r="G1644" s="39" t="inlineStr">
        <is>
          <t>Не использован</t>
        </is>
      </c>
      <c r="H1644" s="148" t="n"/>
      <c r="I1644" s="34" t="str"/>
      <c r="J1644" s="34" t="str"/>
      <c r="K1644" s="130" t="n">
        <v>37</v>
      </c>
      <c r="L1644" s="43">
        <f>IF(COUNTIF($F$5:$F$2407,F1644)=1,"OK","Дубликат")</f>
        <v/>
      </c>
    </row>
    <row r="1645" ht="38" customHeight="1">
      <c r="A1645" s="146" t="inlineStr">
        <is>
          <t>BONUS-L1-PLUS7</t>
        </is>
      </c>
      <c r="B1645" s="39" t="inlineStr">
        <is>
          <t>1 уровень</t>
        </is>
      </c>
      <c r="C1645" s="34" t="inlineStr">
        <is>
          <t>Призы не на абонементы</t>
        </is>
      </c>
      <c r="D1645" s="34" t="inlineStr">
        <is>
          <t>+7 дней к сроку действия абонемента</t>
        </is>
      </c>
      <c r="E1645" s="34" t="inlineStr">
        <is>
          <t>При покупке абонемента на 8 или 12 занятий</t>
        </is>
      </c>
      <c r="F1645" s="147" t="inlineStr">
        <is>
          <t>FW-L1-QGZP5-3XSXW</t>
        </is>
      </c>
      <c r="G1645" s="39" t="inlineStr">
        <is>
          <t>Не использован</t>
        </is>
      </c>
      <c r="H1645" s="148" t="n"/>
      <c r="I1645" s="34" t="str"/>
      <c r="J1645" s="34" t="str"/>
      <c r="K1645" s="130" t="n">
        <v>38</v>
      </c>
      <c r="L1645" s="43">
        <f>IF(COUNTIF($F$5:$F$2407,F1645)=1,"OK","Дубликат")</f>
        <v/>
      </c>
    </row>
    <row r="1646" ht="38" customHeight="1">
      <c r="A1646" s="146" t="inlineStr">
        <is>
          <t>BONUS-L1-PLUS7</t>
        </is>
      </c>
      <c r="B1646" s="39" t="inlineStr">
        <is>
          <t>1 уровень</t>
        </is>
      </c>
      <c r="C1646" s="34" t="inlineStr">
        <is>
          <t>Призы не на абонементы</t>
        </is>
      </c>
      <c r="D1646" s="34" t="inlineStr">
        <is>
          <t>+7 дней к сроку действия абонемента</t>
        </is>
      </c>
      <c r="E1646" s="34" t="inlineStr">
        <is>
          <t>При покупке абонемента на 8 или 12 занятий</t>
        </is>
      </c>
      <c r="F1646" s="147" t="inlineStr">
        <is>
          <t>FW-L1-RXNCU-MAC3K</t>
        </is>
      </c>
      <c r="G1646" s="39" t="inlineStr">
        <is>
          <t>Не использован</t>
        </is>
      </c>
      <c r="H1646" s="148" t="n"/>
      <c r="I1646" s="34" t="str"/>
      <c r="J1646" s="34" t="str"/>
      <c r="K1646" s="130" t="n">
        <v>39</v>
      </c>
      <c r="L1646" s="43">
        <f>IF(COUNTIF($F$5:$F$2407,F1646)=1,"OK","Дубликат")</f>
        <v/>
      </c>
    </row>
    <row r="1647" ht="38" customHeight="1">
      <c r="A1647" s="146" t="inlineStr">
        <is>
          <t>BONUS-L1-PLUS7</t>
        </is>
      </c>
      <c r="B1647" s="39" t="inlineStr">
        <is>
          <t>1 уровень</t>
        </is>
      </c>
      <c r="C1647" s="34" t="inlineStr">
        <is>
          <t>Призы не на абонементы</t>
        </is>
      </c>
      <c r="D1647" s="34" t="inlineStr">
        <is>
          <t>+7 дней к сроку действия абонемента</t>
        </is>
      </c>
      <c r="E1647" s="34" t="inlineStr">
        <is>
          <t>При покупке абонемента на 8 или 12 занятий</t>
        </is>
      </c>
      <c r="F1647" s="147" t="inlineStr">
        <is>
          <t>FW-L1-3A9Y9-8PH3D</t>
        </is>
      </c>
      <c r="G1647" s="39" t="inlineStr">
        <is>
          <t>Не использован</t>
        </is>
      </c>
      <c r="H1647" s="148" t="n"/>
      <c r="I1647" s="34" t="str"/>
      <c r="J1647" s="34" t="str"/>
      <c r="K1647" s="130" t="n">
        <v>40</v>
      </c>
      <c r="L1647" s="43">
        <f>IF(COUNTIF($F$5:$F$2407,F1647)=1,"OK","Дубликат")</f>
        <v/>
      </c>
    </row>
    <row r="1648" ht="38" customHeight="1">
      <c r="A1648" s="146" t="inlineStr">
        <is>
          <t>BONUS-L1-PLUS7</t>
        </is>
      </c>
      <c r="B1648" s="39" t="inlineStr">
        <is>
          <t>1 уровень</t>
        </is>
      </c>
      <c r="C1648" s="34" t="inlineStr">
        <is>
          <t>Призы не на абонементы</t>
        </is>
      </c>
      <c r="D1648" s="34" t="inlineStr">
        <is>
          <t>+7 дней к сроку действия абонемента</t>
        </is>
      </c>
      <c r="E1648" s="34" t="inlineStr">
        <is>
          <t>При покупке абонемента на 8 или 12 занятий</t>
        </is>
      </c>
      <c r="F1648" s="147" t="inlineStr">
        <is>
          <t>FW-L1-4SMKB-46L5F</t>
        </is>
      </c>
      <c r="G1648" s="39" t="inlineStr">
        <is>
          <t>Не использован</t>
        </is>
      </c>
      <c r="H1648" s="148" t="n"/>
      <c r="I1648" s="34" t="str"/>
      <c r="J1648" s="34" t="str"/>
      <c r="K1648" s="130" t="n">
        <v>41</v>
      </c>
      <c r="L1648" s="43">
        <f>IF(COUNTIF($F$5:$F$2407,F1648)=1,"OK","Дубликат")</f>
        <v/>
      </c>
    </row>
    <row r="1649" ht="38" customHeight="1">
      <c r="A1649" s="146" t="inlineStr">
        <is>
          <t>BONUS-L1-PLUS7</t>
        </is>
      </c>
      <c r="B1649" s="39" t="inlineStr">
        <is>
          <t>1 уровень</t>
        </is>
      </c>
      <c r="C1649" s="34" t="inlineStr">
        <is>
          <t>Призы не на абонементы</t>
        </is>
      </c>
      <c r="D1649" s="34" t="inlineStr">
        <is>
          <t>+7 дней к сроку действия абонемента</t>
        </is>
      </c>
      <c r="E1649" s="34" t="inlineStr">
        <is>
          <t>При покупке абонемента на 8 или 12 занятий</t>
        </is>
      </c>
      <c r="F1649" s="147" t="inlineStr">
        <is>
          <t>FW-L1-8AUHQ-LMJS7</t>
        </is>
      </c>
      <c r="G1649" s="39" t="inlineStr">
        <is>
          <t>Не использован</t>
        </is>
      </c>
      <c r="H1649" s="148" t="n"/>
      <c r="I1649" s="34" t="str"/>
      <c r="J1649" s="34" t="str"/>
      <c r="K1649" s="130" t="n">
        <v>42</v>
      </c>
      <c r="L1649" s="43">
        <f>IF(COUNTIF($F$5:$F$2407,F1649)=1,"OK","Дубликат")</f>
        <v/>
      </c>
    </row>
    <row r="1650" ht="38" customHeight="1">
      <c r="A1650" s="146" t="inlineStr">
        <is>
          <t>BONUS-L1-PLUS7</t>
        </is>
      </c>
      <c r="B1650" s="39" t="inlineStr">
        <is>
          <t>1 уровень</t>
        </is>
      </c>
      <c r="C1650" s="34" t="inlineStr">
        <is>
          <t>Призы не на абонементы</t>
        </is>
      </c>
      <c r="D1650" s="34" t="inlineStr">
        <is>
          <t>+7 дней к сроку действия абонемента</t>
        </is>
      </c>
      <c r="E1650" s="34" t="inlineStr">
        <is>
          <t>При покупке абонемента на 8 или 12 занятий</t>
        </is>
      </c>
      <c r="F1650" s="147" t="inlineStr">
        <is>
          <t>FW-L1-DGYW3-D4KF4</t>
        </is>
      </c>
      <c r="G1650" s="39" t="inlineStr">
        <is>
          <t>Не использован</t>
        </is>
      </c>
      <c r="H1650" s="148" t="n"/>
      <c r="I1650" s="34" t="str"/>
      <c r="J1650" s="34" t="str"/>
      <c r="K1650" s="130" t="n">
        <v>43</v>
      </c>
      <c r="L1650" s="43">
        <f>IF(COUNTIF($F$5:$F$2407,F1650)=1,"OK","Дубликат")</f>
        <v/>
      </c>
    </row>
    <row r="1651" ht="38" customHeight="1">
      <c r="A1651" s="146" t="inlineStr">
        <is>
          <t>BONUS-L1-PLUS7</t>
        </is>
      </c>
      <c r="B1651" s="39" t="inlineStr">
        <is>
          <t>1 уровень</t>
        </is>
      </c>
      <c r="C1651" s="34" t="inlineStr">
        <is>
          <t>Призы не на абонементы</t>
        </is>
      </c>
      <c r="D1651" s="34" t="inlineStr">
        <is>
          <t>+7 дней к сроку действия абонемента</t>
        </is>
      </c>
      <c r="E1651" s="34" t="inlineStr">
        <is>
          <t>При покупке абонемента на 8 или 12 занятий</t>
        </is>
      </c>
      <c r="F1651" s="147" t="inlineStr">
        <is>
          <t>FW-L1-9GETY-NHNM2</t>
        </is>
      </c>
      <c r="G1651" s="39" t="inlineStr">
        <is>
          <t>Не использован</t>
        </is>
      </c>
      <c r="H1651" s="148" t="n"/>
      <c r="I1651" s="34" t="str"/>
      <c r="J1651" s="34" t="str"/>
      <c r="K1651" s="130" t="n">
        <v>44</v>
      </c>
      <c r="L1651" s="43">
        <f>IF(COUNTIF($F$5:$F$2407,F1651)=1,"OK","Дубликат")</f>
        <v/>
      </c>
    </row>
    <row r="1652" ht="38" customHeight="1">
      <c r="A1652" s="146" t="inlineStr">
        <is>
          <t>BONUS-L1-PLUS7</t>
        </is>
      </c>
      <c r="B1652" s="39" t="inlineStr">
        <is>
          <t>1 уровень</t>
        </is>
      </c>
      <c r="C1652" s="34" t="inlineStr">
        <is>
          <t>Призы не на абонементы</t>
        </is>
      </c>
      <c r="D1652" s="34" t="inlineStr">
        <is>
          <t>+7 дней к сроку действия абонемента</t>
        </is>
      </c>
      <c r="E1652" s="34" t="inlineStr">
        <is>
          <t>При покупке абонемента на 8 или 12 занятий</t>
        </is>
      </c>
      <c r="F1652" s="147" t="inlineStr">
        <is>
          <t>FW-L1-RLJZ3-WCCG6</t>
        </is>
      </c>
      <c r="G1652" s="39" t="inlineStr">
        <is>
          <t>Не использован</t>
        </is>
      </c>
      <c r="H1652" s="148" t="n"/>
      <c r="I1652" s="34" t="str"/>
      <c r="J1652" s="34" t="str"/>
      <c r="K1652" s="130" t="n">
        <v>45</v>
      </c>
      <c r="L1652" s="43">
        <f>IF(COUNTIF($F$5:$F$2407,F1652)=1,"OK","Дубликат")</f>
        <v/>
      </c>
    </row>
    <row r="1653" ht="38" customHeight="1">
      <c r="A1653" s="146" t="inlineStr">
        <is>
          <t>BONUS-L1-PLUS7</t>
        </is>
      </c>
      <c r="B1653" s="39" t="inlineStr">
        <is>
          <t>1 уровень</t>
        </is>
      </c>
      <c r="C1653" s="34" t="inlineStr">
        <is>
          <t>Призы не на абонементы</t>
        </is>
      </c>
      <c r="D1653" s="34" t="inlineStr">
        <is>
          <t>+7 дней к сроку действия абонемента</t>
        </is>
      </c>
      <c r="E1653" s="34" t="inlineStr">
        <is>
          <t>При покупке абонемента на 8 или 12 занятий</t>
        </is>
      </c>
      <c r="F1653" s="147" t="inlineStr">
        <is>
          <t>FW-L1-YG2CL-JUZPX</t>
        </is>
      </c>
      <c r="G1653" s="39" t="inlineStr">
        <is>
          <t>Не использован</t>
        </is>
      </c>
      <c r="H1653" s="148" t="n"/>
      <c r="I1653" s="34" t="str"/>
      <c r="J1653" s="34" t="str"/>
      <c r="K1653" s="130" t="n">
        <v>46</v>
      </c>
      <c r="L1653" s="43">
        <f>IF(COUNTIF($F$5:$F$2407,F1653)=1,"OK","Дубликат")</f>
        <v/>
      </c>
    </row>
    <row r="1654" ht="38" customHeight="1">
      <c r="A1654" s="146" t="inlineStr">
        <is>
          <t>BONUS-L1-PLUS7</t>
        </is>
      </c>
      <c r="B1654" s="39" t="inlineStr">
        <is>
          <t>1 уровень</t>
        </is>
      </c>
      <c r="C1654" s="34" t="inlineStr">
        <is>
          <t>Призы не на абонементы</t>
        </is>
      </c>
      <c r="D1654" s="34" t="inlineStr">
        <is>
          <t>+7 дней к сроку действия абонемента</t>
        </is>
      </c>
      <c r="E1654" s="34" t="inlineStr">
        <is>
          <t>При покупке абонемента на 8 или 12 занятий</t>
        </is>
      </c>
      <c r="F1654" s="147" t="inlineStr">
        <is>
          <t>FW-L1-GEUBX-84K8W</t>
        </is>
      </c>
      <c r="G1654" s="39" t="inlineStr">
        <is>
          <t>Не использован</t>
        </is>
      </c>
      <c r="H1654" s="148" t="n"/>
      <c r="I1654" s="34" t="str"/>
      <c r="J1654" s="34" t="str"/>
      <c r="K1654" s="130" t="n">
        <v>47</v>
      </c>
      <c r="L1654" s="43">
        <f>IF(COUNTIF($F$5:$F$2407,F1654)=1,"OK","Дубликат")</f>
        <v/>
      </c>
    </row>
    <row r="1655" ht="38" customHeight="1">
      <c r="A1655" s="146" t="inlineStr">
        <is>
          <t>BONUS-L1-PLUS7</t>
        </is>
      </c>
      <c r="B1655" s="39" t="inlineStr">
        <is>
          <t>1 уровень</t>
        </is>
      </c>
      <c r="C1655" s="34" t="inlineStr">
        <is>
          <t>Призы не на абонементы</t>
        </is>
      </c>
      <c r="D1655" s="34" t="inlineStr">
        <is>
          <t>+7 дней к сроку действия абонемента</t>
        </is>
      </c>
      <c r="E1655" s="34" t="inlineStr">
        <is>
          <t>При покупке абонемента на 8 или 12 занятий</t>
        </is>
      </c>
      <c r="F1655" s="147" t="inlineStr">
        <is>
          <t>FW-L1-2TZDK-WB6WZ</t>
        </is>
      </c>
      <c r="G1655" s="39" t="inlineStr">
        <is>
          <t>Не использован</t>
        </is>
      </c>
      <c r="H1655" s="148" t="n"/>
      <c r="I1655" s="34" t="str"/>
      <c r="J1655" s="34" t="str"/>
      <c r="K1655" s="130" t="n">
        <v>48</v>
      </c>
      <c r="L1655" s="43">
        <f>IF(COUNTIF($F$5:$F$2407,F1655)=1,"OK","Дубликат")</f>
        <v/>
      </c>
    </row>
    <row r="1656" ht="38" customHeight="1">
      <c r="A1656" s="146" t="inlineStr">
        <is>
          <t>BONUS-L1-PLUS7</t>
        </is>
      </c>
      <c r="B1656" s="39" t="inlineStr">
        <is>
          <t>1 уровень</t>
        </is>
      </c>
      <c r="C1656" s="34" t="inlineStr">
        <is>
          <t>Призы не на абонементы</t>
        </is>
      </c>
      <c r="D1656" s="34" t="inlineStr">
        <is>
          <t>+7 дней к сроку действия абонемента</t>
        </is>
      </c>
      <c r="E1656" s="34" t="inlineStr">
        <is>
          <t>При покупке абонемента на 8 или 12 занятий</t>
        </is>
      </c>
      <c r="F1656" s="147" t="inlineStr">
        <is>
          <t>FW-L1-WGJBR-CSNQL</t>
        </is>
      </c>
      <c r="G1656" s="39" t="inlineStr">
        <is>
          <t>Не использован</t>
        </is>
      </c>
      <c r="H1656" s="148" t="n"/>
      <c r="I1656" s="34" t="str"/>
      <c r="J1656" s="34" t="str"/>
      <c r="K1656" s="130" t="n">
        <v>49</v>
      </c>
      <c r="L1656" s="43">
        <f>IF(COUNTIF($F$5:$F$2407,F1656)=1,"OK","Дубликат")</f>
        <v/>
      </c>
    </row>
    <row r="1657" ht="38" customHeight="1">
      <c r="A1657" s="146" t="inlineStr">
        <is>
          <t>BONUS-L1-PLUS7</t>
        </is>
      </c>
      <c r="B1657" s="39" t="inlineStr">
        <is>
          <t>1 уровень</t>
        </is>
      </c>
      <c r="C1657" s="34" t="inlineStr">
        <is>
          <t>Призы не на абонементы</t>
        </is>
      </c>
      <c r="D1657" s="34" t="inlineStr">
        <is>
          <t>+7 дней к сроку действия абонемента</t>
        </is>
      </c>
      <c r="E1657" s="34" t="inlineStr">
        <is>
          <t>При покупке абонемента на 8 или 12 занятий</t>
        </is>
      </c>
      <c r="F1657" s="147" t="inlineStr">
        <is>
          <t>FW-L1-YY2DR-DQKSF</t>
        </is>
      </c>
      <c r="G1657" s="39" t="inlineStr">
        <is>
          <t>Не использован</t>
        </is>
      </c>
      <c r="H1657" s="148" t="n"/>
      <c r="I1657" s="34" t="str"/>
      <c r="J1657" s="34" t="str"/>
      <c r="K1657" s="130" t="n">
        <v>50</v>
      </c>
      <c r="L1657" s="43">
        <f>IF(COUNTIF($F$5:$F$2407,F1657)=1,"OK","Дубликат")</f>
        <v/>
      </c>
    </row>
    <row r="1658" ht="38" customHeight="1">
      <c r="A1658" s="146" t="inlineStr">
        <is>
          <t>BONUS-L1-PLUS7</t>
        </is>
      </c>
      <c r="B1658" s="39" t="inlineStr">
        <is>
          <t>1 уровень</t>
        </is>
      </c>
      <c r="C1658" s="34" t="inlineStr">
        <is>
          <t>Призы не на абонементы</t>
        </is>
      </c>
      <c r="D1658" s="34" t="inlineStr">
        <is>
          <t>+7 дней к сроку действия абонемента</t>
        </is>
      </c>
      <c r="E1658" s="34" t="inlineStr">
        <is>
          <t>При покупке абонемента на 8 или 12 занятий</t>
        </is>
      </c>
      <c r="F1658" s="147" t="inlineStr">
        <is>
          <t>FW-L1-9X4QR-DAKRB</t>
        </is>
      </c>
      <c r="G1658" s="39" t="inlineStr">
        <is>
          <t>Не использован</t>
        </is>
      </c>
      <c r="H1658" s="148" t="n"/>
      <c r="I1658" s="34" t="str"/>
      <c r="J1658" s="34" t="str"/>
      <c r="K1658" s="130" t="n">
        <v>51</v>
      </c>
      <c r="L1658" s="43">
        <f>IF(COUNTIF($F$5:$F$2407,F1658)=1,"OK","Дубликат")</f>
        <v/>
      </c>
    </row>
    <row r="1659" ht="38" customHeight="1">
      <c r="A1659" s="146" t="inlineStr">
        <is>
          <t>BONUS-L1-PLUS7</t>
        </is>
      </c>
      <c r="B1659" s="39" t="inlineStr">
        <is>
          <t>1 уровень</t>
        </is>
      </c>
      <c r="C1659" s="34" t="inlineStr">
        <is>
          <t>Призы не на абонементы</t>
        </is>
      </c>
      <c r="D1659" s="34" t="inlineStr">
        <is>
          <t>+7 дней к сроку действия абонемента</t>
        </is>
      </c>
      <c r="E1659" s="34" t="inlineStr">
        <is>
          <t>При покупке абонемента на 8 или 12 занятий</t>
        </is>
      </c>
      <c r="F1659" s="147" t="inlineStr">
        <is>
          <t>FW-L1-S7KJK-8P3RR</t>
        </is>
      </c>
      <c r="G1659" s="39" t="inlineStr">
        <is>
          <t>Не использован</t>
        </is>
      </c>
      <c r="H1659" s="148" t="n"/>
      <c r="I1659" s="34" t="str"/>
      <c r="J1659" s="34" t="str"/>
      <c r="K1659" s="130" t="n">
        <v>52</v>
      </c>
      <c r="L1659" s="43">
        <f>IF(COUNTIF($F$5:$F$2407,F1659)=1,"OK","Дубликат")</f>
        <v/>
      </c>
    </row>
    <row r="1660" ht="38" customHeight="1">
      <c r="A1660" s="146" t="inlineStr">
        <is>
          <t>BONUS-L1-PLUS7</t>
        </is>
      </c>
      <c r="B1660" s="39" t="inlineStr">
        <is>
          <t>1 уровень</t>
        </is>
      </c>
      <c r="C1660" s="34" t="inlineStr">
        <is>
          <t>Призы не на абонементы</t>
        </is>
      </c>
      <c r="D1660" s="34" t="inlineStr">
        <is>
          <t>+7 дней к сроку действия абонемента</t>
        </is>
      </c>
      <c r="E1660" s="34" t="inlineStr">
        <is>
          <t>При покупке абонемента на 8 или 12 занятий</t>
        </is>
      </c>
      <c r="F1660" s="147" t="inlineStr">
        <is>
          <t>FW-L1-NZ8UL-CP2GD</t>
        </is>
      </c>
      <c r="G1660" s="39" t="inlineStr">
        <is>
          <t>Не использован</t>
        </is>
      </c>
      <c r="H1660" s="148" t="n"/>
      <c r="I1660" s="34" t="str"/>
      <c r="J1660" s="34" t="str"/>
      <c r="K1660" s="130" t="n">
        <v>53</v>
      </c>
      <c r="L1660" s="43">
        <f>IF(COUNTIF($F$5:$F$2407,F1660)=1,"OK","Дубликат")</f>
        <v/>
      </c>
    </row>
    <row r="1661" ht="38" customHeight="1">
      <c r="A1661" s="146" t="inlineStr">
        <is>
          <t>BONUS-L1-PLUS7</t>
        </is>
      </c>
      <c r="B1661" s="39" t="inlineStr">
        <is>
          <t>1 уровень</t>
        </is>
      </c>
      <c r="C1661" s="34" t="inlineStr">
        <is>
          <t>Призы не на абонементы</t>
        </is>
      </c>
      <c r="D1661" s="34" t="inlineStr">
        <is>
          <t>+7 дней к сроку действия абонемента</t>
        </is>
      </c>
      <c r="E1661" s="34" t="inlineStr">
        <is>
          <t>При покупке абонемента на 8 или 12 занятий</t>
        </is>
      </c>
      <c r="F1661" s="147" t="inlineStr">
        <is>
          <t>FW-L1-64NQX-K8TE6</t>
        </is>
      </c>
      <c r="G1661" s="39" t="inlineStr">
        <is>
          <t>Не использован</t>
        </is>
      </c>
      <c r="H1661" s="148" t="n"/>
      <c r="I1661" s="34" t="str"/>
      <c r="J1661" s="34" t="str"/>
      <c r="K1661" s="130" t="n">
        <v>54</v>
      </c>
      <c r="L1661" s="43">
        <f>IF(COUNTIF($F$5:$F$2407,F1661)=1,"OK","Дубликат")</f>
        <v/>
      </c>
    </row>
    <row r="1662" ht="38" customHeight="1">
      <c r="A1662" s="146" t="inlineStr">
        <is>
          <t>BONUS-L1-PLUS7</t>
        </is>
      </c>
      <c r="B1662" s="39" t="inlineStr">
        <is>
          <t>1 уровень</t>
        </is>
      </c>
      <c r="C1662" s="34" t="inlineStr">
        <is>
          <t>Призы не на абонементы</t>
        </is>
      </c>
      <c r="D1662" s="34" t="inlineStr">
        <is>
          <t>+7 дней к сроку действия абонемента</t>
        </is>
      </c>
      <c r="E1662" s="34" t="inlineStr">
        <is>
          <t>При покупке абонемента на 8 или 12 занятий</t>
        </is>
      </c>
      <c r="F1662" s="147" t="inlineStr">
        <is>
          <t>FW-L1-9LT7Q-E54Q6</t>
        </is>
      </c>
      <c r="G1662" s="39" t="inlineStr">
        <is>
          <t>Не использован</t>
        </is>
      </c>
      <c r="H1662" s="148" t="n"/>
      <c r="I1662" s="34" t="str"/>
      <c r="J1662" s="34" t="str"/>
      <c r="K1662" s="130" t="n">
        <v>55</v>
      </c>
      <c r="L1662" s="43">
        <f>IF(COUNTIF($F$5:$F$2407,F1662)=1,"OK","Дубликат")</f>
        <v/>
      </c>
    </row>
    <row r="1663" ht="38" customHeight="1">
      <c r="A1663" s="146" t="inlineStr">
        <is>
          <t>BONUS-L1-PLUS7</t>
        </is>
      </c>
      <c r="B1663" s="39" t="inlineStr">
        <is>
          <t>1 уровень</t>
        </is>
      </c>
      <c r="C1663" s="34" t="inlineStr">
        <is>
          <t>Призы не на абонементы</t>
        </is>
      </c>
      <c r="D1663" s="34" t="inlineStr">
        <is>
          <t>+7 дней к сроку действия абонемента</t>
        </is>
      </c>
      <c r="E1663" s="34" t="inlineStr">
        <is>
          <t>При покупке абонемента на 8 или 12 занятий</t>
        </is>
      </c>
      <c r="F1663" s="147" t="inlineStr">
        <is>
          <t>FW-L1-P427V-YNUWF</t>
        </is>
      </c>
      <c r="G1663" s="39" t="inlineStr">
        <is>
          <t>Не использован</t>
        </is>
      </c>
      <c r="H1663" s="148" t="n"/>
      <c r="I1663" s="34" t="str"/>
      <c r="J1663" s="34" t="str"/>
      <c r="K1663" s="130" t="n">
        <v>56</v>
      </c>
      <c r="L1663" s="43">
        <f>IF(COUNTIF($F$5:$F$2407,F1663)=1,"OK","Дубликат")</f>
        <v/>
      </c>
    </row>
    <row r="1664" ht="38" customHeight="1">
      <c r="A1664" s="146" t="inlineStr">
        <is>
          <t>BONUS-L1-PLUS7</t>
        </is>
      </c>
      <c r="B1664" s="39" t="inlineStr">
        <is>
          <t>1 уровень</t>
        </is>
      </c>
      <c r="C1664" s="34" t="inlineStr">
        <is>
          <t>Призы не на абонементы</t>
        </is>
      </c>
      <c r="D1664" s="34" t="inlineStr">
        <is>
          <t>+7 дней к сроку действия абонемента</t>
        </is>
      </c>
      <c r="E1664" s="34" t="inlineStr">
        <is>
          <t>При покупке абонемента на 8 или 12 занятий</t>
        </is>
      </c>
      <c r="F1664" s="147" t="inlineStr">
        <is>
          <t>FW-L1-C8WXK-J9PZK</t>
        </is>
      </c>
      <c r="G1664" s="39" t="inlineStr">
        <is>
          <t>Не использован</t>
        </is>
      </c>
      <c r="H1664" s="148" t="n"/>
      <c r="I1664" s="34" t="str"/>
      <c r="J1664" s="34" t="str"/>
      <c r="K1664" s="130" t="n">
        <v>57</v>
      </c>
      <c r="L1664" s="43">
        <f>IF(COUNTIF($F$5:$F$2407,F1664)=1,"OK","Дубликат")</f>
        <v/>
      </c>
    </row>
    <row r="1665" ht="38" customHeight="1">
      <c r="A1665" s="146" t="inlineStr">
        <is>
          <t>BONUS-L1-PLUS7</t>
        </is>
      </c>
      <c r="B1665" s="39" t="inlineStr">
        <is>
          <t>1 уровень</t>
        </is>
      </c>
      <c r="C1665" s="34" t="inlineStr">
        <is>
          <t>Призы не на абонементы</t>
        </is>
      </c>
      <c r="D1665" s="34" t="inlineStr">
        <is>
          <t>+7 дней к сроку действия абонемента</t>
        </is>
      </c>
      <c r="E1665" s="34" t="inlineStr">
        <is>
          <t>При покупке абонемента на 8 или 12 занятий</t>
        </is>
      </c>
      <c r="F1665" s="147" t="inlineStr">
        <is>
          <t>FW-L1-YZQRK-AZLLZ</t>
        </is>
      </c>
      <c r="G1665" s="39" t="inlineStr">
        <is>
          <t>Не использован</t>
        </is>
      </c>
      <c r="H1665" s="148" t="n"/>
      <c r="I1665" s="34" t="str"/>
      <c r="J1665" s="34" t="str"/>
      <c r="K1665" s="130" t="n">
        <v>58</v>
      </c>
      <c r="L1665" s="43">
        <f>IF(COUNTIF($F$5:$F$2407,F1665)=1,"OK","Дубликат")</f>
        <v/>
      </c>
    </row>
    <row r="1666" ht="38" customHeight="1">
      <c r="A1666" s="146" t="inlineStr">
        <is>
          <t>BONUS-L1-PLUS7</t>
        </is>
      </c>
      <c r="B1666" s="39" t="inlineStr">
        <is>
          <t>1 уровень</t>
        </is>
      </c>
      <c r="C1666" s="34" t="inlineStr">
        <is>
          <t>Призы не на абонементы</t>
        </is>
      </c>
      <c r="D1666" s="34" t="inlineStr">
        <is>
          <t>+7 дней к сроку действия абонемента</t>
        </is>
      </c>
      <c r="E1666" s="34" t="inlineStr">
        <is>
          <t>При покупке абонемента на 8 или 12 занятий</t>
        </is>
      </c>
      <c r="F1666" s="147" t="inlineStr">
        <is>
          <t>FW-L1-9V4AQ-U27GJ</t>
        </is>
      </c>
      <c r="G1666" s="39" t="inlineStr">
        <is>
          <t>Не использован</t>
        </is>
      </c>
      <c r="H1666" s="148" t="n"/>
      <c r="I1666" s="34" t="str"/>
      <c r="J1666" s="34" t="str"/>
      <c r="K1666" s="130" t="n">
        <v>59</v>
      </c>
      <c r="L1666" s="43">
        <f>IF(COUNTIF($F$5:$F$2407,F1666)=1,"OK","Дубликат")</f>
        <v/>
      </c>
    </row>
    <row r="1667" ht="38" customHeight="1">
      <c r="A1667" s="146" t="inlineStr">
        <is>
          <t>BONUS-L1-PLUS7</t>
        </is>
      </c>
      <c r="B1667" s="39" t="inlineStr">
        <is>
          <t>1 уровень</t>
        </is>
      </c>
      <c r="C1667" s="34" t="inlineStr">
        <is>
          <t>Призы не на абонементы</t>
        </is>
      </c>
      <c r="D1667" s="34" t="inlineStr">
        <is>
          <t>+7 дней к сроку действия абонемента</t>
        </is>
      </c>
      <c r="E1667" s="34" t="inlineStr">
        <is>
          <t>При покупке абонемента на 8 или 12 занятий</t>
        </is>
      </c>
      <c r="F1667" s="147" t="inlineStr">
        <is>
          <t>FW-L1-8Y74S-RU5GG</t>
        </is>
      </c>
      <c r="G1667" s="39" t="inlineStr">
        <is>
          <t>Не использован</t>
        </is>
      </c>
      <c r="H1667" s="148" t="n"/>
      <c r="I1667" s="34" t="str"/>
      <c r="J1667" s="34" t="str"/>
      <c r="K1667" s="130" t="n">
        <v>60</v>
      </c>
      <c r="L1667" s="43">
        <f>IF(COUNTIF($F$5:$F$2407,F1667)=1,"OK","Дубликат")</f>
        <v/>
      </c>
    </row>
    <row r="1668" ht="38" customHeight="1">
      <c r="A1668" s="146" t="inlineStr">
        <is>
          <t>BONUS-L1-PLUS7</t>
        </is>
      </c>
      <c r="B1668" s="39" t="inlineStr">
        <is>
          <t>1 уровень</t>
        </is>
      </c>
      <c r="C1668" s="34" t="inlineStr">
        <is>
          <t>Призы не на абонементы</t>
        </is>
      </c>
      <c r="D1668" s="34" t="inlineStr">
        <is>
          <t>+7 дней к сроку действия абонемента</t>
        </is>
      </c>
      <c r="E1668" s="34" t="inlineStr">
        <is>
          <t>При покупке абонемента на 8 или 12 занятий</t>
        </is>
      </c>
      <c r="F1668" s="147" t="inlineStr">
        <is>
          <t>FW-L1-CU469-FH9M7</t>
        </is>
      </c>
      <c r="G1668" s="39" t="inlineStr">
        <is>
          <t>Не использован</t>
        </is>
      </c>
      <c r="H1668" s="148" t="n"/>
      <c r="I1668" s="34" t="str"/>
      <c r="J1668" s="34" t="str"/>
      <c r="K1668" s="130" t="n">
        <v>61</v>
      </c>
      <c r="L1668" s="43">
        <f>IF(COUNTIF($F$5:$F$2407,F1668)=1,"OK","Дубликат")</f>
        <v/>
      </c>
    </row>
    <row r="1669" ht="38" customHeight="1">
      <c r="A1669" s="146" t="inlineStr">
        <is>
          <t>BONUS-L1-PLUS7</t>
        </is>
      </c>
      <c r="B1669" s="39" t="inlineStr">
        <is>
          <t>1 уровень</t>
        </is>
      </c>
      <c r="C1669" s="34" t="inlineStr">
        <is>
          <t>Призы не на абонементы</t>
        </is>
      </c>
      <c r="D1669" s="34" t="inlineStr">
        <is>
          <t>+7 дней к сроку действия абонемента</t>
        </is>
      </c>
      <c r="E1669" s="34" t="inlineStr">
        <is>
          <t>При покупке абонемента на 8 или 12 занятий</t>
        </is>
      </c>
      <c r="F1669" s="147" t="inlineStr">
        <is>
          <t>FW-L1-MQ98X-H3FDH</t>
        </is>
      </c>
      <c r="G1669" s="39" t="inlineStr">
        <is>
          <t>Не использован</t>
        </is>
      </c>
      <c r="H1669" s="148" t="n"/>
      <c r="I1669" s="34" t="str"/>
      <c r="J1669" s="34" t="str"/>
      <c r="K1669" s="130" t="n">
        <v>62</v>
      </c>
      <c r="L1669" s="43">
        <f>IF(COUNTIF($F$5:$F$2407,F1669)=1,"OK","Дубликат")</f>
        <v/>
      </c>
    </row>
    <row r="1670" ht="38" customHeight="1">
      <c r="A1670" s="146" t="inlineStr">
        <is>
          <t>BONUS-L1-PLUS7</t>
        </is>
      </c>
      <c r="B1670" s="39" t="inlineStr">
        <is>
          <t>1 уровень</t>
        </is>
      </c>
      <c r="C1670" s="34" t="inlineStr">
        <is>
          <t>Призы не на абонементы</t>
        </is>
      </c>
      <c r="D1670" s="34" t="inlineStr">
        <is>
          <t>+7 дней к сроку действия абонемента</t>
        </is>
      </c>
      <c r="E1670" s="34" t="inlineStr">
        <is>
          <t>При покупке абонемента на 8 или 12 занятий</t>
        </is>
      </c>
      <c r="F1670" s="147" t="inlineStr">
        <is>
          <t>FW-L1-NKCKT-BNY5Z</t>
        </is>
      </c>
      <c r="G1670" s="39" t="inlineStr">
        <is>
          <t>Не использован</t>
        </is>
      </c>
      <c r="H1670" s="148" t="n"/>
      <c r="I1670" s="34" t="str"/>
      <c r="J1670" s="34" t="str"/>
      <c r="K1670" s="130" t="n">
        <v>63</v>
      </c>
      <c r="L1670" s="43">
        <f>IF(COUNTIF($F$5:$F$2407,F1670)=1,"OK","Дубликат")</f>
        <v/>
      </c>
    </row>
    <row r="1671" ht="38" customHeight="1">
      <c r="A1671" s="146" t="inlineStr">
        <is>
          <t>BONUS-L1-PLUS7</t>
        </is>
      </c>
      <c r="B1671" s="39" t="inlineStr">
        <is>
          <t>1 уровень</t>
        </is>
      </c>
      <c r="C1671" s="34" t="inlineStr">
        <is>
          <t>Призы не на абонементы</t>
        </is>
      </c>
      <c r="D1671" s="34" t="inlineStr">
        <is>
          <t>+7 дней к сроку действия абонемента</t>
        </is>
      </c>
      <c r="E1671" s="34" t="inlineStr">
        <is>
          <t>При покупке абонемента на 8 или 12 занятий</t>
        </is>
      </c>
      <c r="F1671" s="147" t="inlineStr">
        <is>
          <t>FW-L1-FLDBB-HT388</t>
        </is>
      </c>
      <c r="G1671" s="39" t="inlineStr">
        <is>
          <t>Не использован</t>
        </is>
      </c>
      <c r="H1671" s="148" t="n"/>
      <c r="I1671" s="34" t="str"/>
      <c r="J1671" s="34" t="str"/>
      <c r="K1671" s="130" t="n">
        <v>64</v>
      </c>
      <c r="L1671" s="43">
        <f>IF(COUNTIF($F$5:$F$2407,F1671)=1,"OK","Дубликат")</f>
        <v/>
      </c>
    </row>
    <row r="1672" ht="38" customHeight="1">
      <c r="A1672" s="146" t="inlineStr">
        <is>
          <t>BONUS-L1-PLUS7</t>
        </is>
      </c>
      <c r="B1672" s="39" t="inlineStr">
        <is>
          <t>1 уровень</t>
        </is>
      </c>
      <c r="C1672" s="34" t="inlineStr">
        <is>
          <t>Призы не на абонементы</t>
        </is>
      </c>
      <c r="D1672" s="34" t="inlineStr">
        <is>
          <t>+7 дней к сроку действия абонемента</t>
        </is>
      </c>
      <c r="E1672" s="34" t="inlineStr">
        <is>
          <t>При покупке абонемента на 8 или 12 занятий</t>
        </is>
      </c>
      <c r="F1672" s="147" t="inlineStr">
        <is>
          <t>FW-L1-6DF2Y-C6LKP</t>
        </is>
      </c>
      <c r="G1672" s="39" t="inlineStr">
        <is>
          <t>Не использован</t>
        </is>
      </c>
      <c r="H1672" s="148" t="n"/>
      <c r="I1672" s="34" t="str"/>
      <c r="J1672" s="34" t="str"/>
      <c r="K1672" s="130" t="n">
        <v>65</v>
      </c>
      <c r="L1672" s="43">
        <f>IF(COUNTIF($F$5:$F$2407,F1672)=1,"OK","Дубликат")</f>
        <v/>
      </c>
    </row>
    <row r="1673" ht="38" customHeight="1">
      <c r="A1673" s="146" t="inlineStr">
        <is>
          <t>BONUS-L1-PLUS7</t>
        </is>
      </c>
      <c r="B1673" s="39" t="inlineStr">
        <is>
          <t>1 уровень</t>
        </is>
      </c>
      <c r="C1673" s="34" t="inlineStr">
        <is>
          <t>Призы не на абонементы</t>
        </is>
      </c>
      <c r="D1673" s="34" t="inlineStr">
        <is>
          <t>+7 дней к сроку действия абонемента</t>
        </is>
      </c>
      <c r="E1673" s="34" t="inlineStr">
        <is>
          <t>При покупке абонемента на 8 или 12 занятий</t>
        </is>
      </c>
      <c r="F1673" s="147" t="inlineStr">
        <is>
          <t>FW-L1-53Q69-QGUJV</t>
        </is>
      </c>
      <c r="G1673" s="39" t="inlineStr">
        <is>
          <t>Не использован</t>
        </is>
      </c>
      <c r="H1673" s="148" t="n"/>
      <c r="I1673" s="34" t="str"/>
      <c r="J1673" s="34" t="str"/>
      <c r="K1673" s="130" t="n">
        <v>66</v>
      </c>
      <c r="L1673" s="43">
        <f>IF(COUNTIF($F$5:$F$2407,F1673)=1,"OK","Дубликат")</f>
        <v/>
      </c>
    </row>
    <row r="1674" ht="38" customHeight="1">
      <c r="A1674" s="146" t="inlineStr">
        <is>
          <t>BONUS-L1-PLUS7</t>
        </is>
      </c>
      <c r="B1674" s="39" t="inlineStr">
        <is>
          <t>1 уровень</t>
        </is>
      </c>
      <c r="C1674" s="34" t="inlineStr">
        <is>
          <t>Призы не на абонементы</t>
        </is>
      </c>
      <c r="D1674" s="34" t="inlineStr">
        <is>
          <t>+7 дней к сроку действия абонемента</t>
        </is>
      </c>
      <c r="E1674" s="34" t="inlineStr">
        <is>
          <t>При покупке абонемента на 8 или 12 занятий</t>
        </is>
      </c>
      <c r="F1674" s="147" t="inlineStr">
        <is>
          <t>FW-L1-ENAD4-PJNFH</t>
        </is>
      </c>
      <c r="G1674" s="39" t="inlineStr">
        <is>
          <t>Не использован</t>
        </is>
      </c>
      <c r="H1674" s="148" t="n"/>
      <c r="I1674" s="34" t="str"/>
      <c r="J1674" s="34" t="str"/>
      <c r="K1674" s="130" t="n">
        <v>67</v>
      </c>
      <c r="L1674" s="43">
        <f>IF(COUNTIF($F$5:$F$2407,F1674)=1,"OK","Дубликат")</f>
        <v/>
      </c>
    </row>
    <row r="1675" ht="38" customHeight="1">
      <c r="A1675" s="146" t="inlineStr">
        <is>
          <t>BONUS-L1-PLUS7</t>
        </is>
      </c>
      <c r="B1675" s="39" t="inlineStr">
        <is>
          <t>1 уровень</t>
        </is>
      </c>
      <c r="C1675" s="34" t="inlineStr">
        <is>
          <t>Призы не на абонементы</t>
        </is>
      </c>
      <c r="D1675" s="34" t="inlineStr">
        <is>
          <t>+7 дней к сроку действия абонемента</t>
        </is>
      </c>
      <c r="E1675" s="34" t="inlineStr">
        <is>
          <t>При покупке абонемента на 8 или 12 занятий</t>
        </is>
      </c>
      <c r="F1675" s="147" t="inlineStr">
        <is>
          <t>FW-L1-GTM4J-H3VV3</t>
        </is>
      </c>
      <c r="G1675" s="39" t="inlineStr">
        <is>
          <t>Не использован</t>
        </is>
      </c>
      <c r="H1675" s="148" t="n"/>
      <c r="I1675" s="34" t="str"/>
      <c r="J1675" s="34" t="str"/>
      <c r="K1675" s="130" t="n">
        <v>68</v>
      </c>
      <c r="L1675" s="43">
        <f>IF(COUNTIF($F$5:$F$2407,F1675)=1,"OK","Дубликат")</f>
        <v/>
      </c>
    </row>
    <row r="1676" ht="38" customHeight="1">
      <c r="A1676" s="146" t="inlineStr">
        <is>
          <t>BONUS-L1-PLUS7</t>
        </is>
      </c>
      <c r="B1676" s="39" t="inlineStr">
        <is>
          <t>1 уровень</t>
        </is>
      </c>
      <c r="C1676" s="34" t="inlineStr">
        <is>
          <t>Призы не на абонементы</t>
        </is>
      </c>
      <c r="D1676" s="34" t="inlineStr">
        <is>
          <t>+7 дней к сроку действия абонемента</t>
        </is>
      </c>
      <c r="E1676" s="34" t="inlineStr">
        <is>
          <t>При покупке абонемента на 8 или 12 занятий</t>
        </is>
      </c>
      <c r="F1676" s="147" t="inlineStr">
        <is>
          <t>FW-L1-5TSAM-PDM6D</t>
        </is>
      </c>
      <c r="G1676" s="39" t="inlineStr">
        <is>
          <t>Не использован</t>
        </is>
      </c>
      <c r="H1676" s="148" t="n"/>
      <c r="I1676" s="34" t="str"/>
      <c r="J1676" s="34" t="str"/>
      <c r="K1676" s="130" t="n">
        <v>69</v>
      </c>
      <c r="L1676" s="43">
        <f>IF(COUNTIF($F$5:$F$2407,F1676)=1,"OK","Дубликат")</f>
        <v/>
      </c>
    </row>
    <row r="1677" ht="38" customHeight="1">
      <c r="A1677" s="146" t="inlineStr">
        <is>
          <t>BONUS-L1-PLUS7</t>
        </is>
      </c>
      <c r="B1677" s="39" t="inlineStr">
        <is>
          <t>1 уровень</t>
        </is>
      </c>
      <c r="C1677" s="34" t="inlineStr">
        <is>
          <t>Призы не на абонементы</t>
        </is>
      </c>
      <c r="D1677" s="34" t="inlineStr">
        <is>
          <t>+7 дней к сроку действия абонемента</t>
        </is>
      </c>
      <c r="E1677" s="34" t="inlineStr">
        <is>
          <t>При покупке абонемента на 8 или 12 занятий</t>
        </is>
      </c>
      <c r="F1677" s="147" t="inlineStr">
        <is>
          <t>FW-L1-PGQ4L-3KTDL</t>
        </is>
      </c>
      <c r="G1677" s="39" t="inlineStr">
        <is>
          <t>Не использован</t>
        </is>
      </c>
      <c r="H1677" s="148" t="n"/>
      <c r="I1677" s="34" t="str"/>
      <c r="J1677" s="34" t="str"/>
      <c r="K1677" s="130" t="n">
        <v>70</v>
      </c>
      <c r="L1677" s="43">
        <f>IF(COUNTIF($F$5:$F$2407,F1677)=1,"OK","Дубликат")</f>
        <v/>
      </c>
    </row>
    <row r="1678" ht="38" customHeight="1">
      <c r="A1678" s="146" t="inlineStr">
        <is>
          <t>BONUS-L1-PLUS7</t>
        </is>
      </c>
      <c r="B1678" s="39" t="inlineStr">
        <is>
          <t>1 уровень</t>
        </is>
      </c>
      <c r="C1678" s="34" t="inlineStr">
        <is>
          <t>Призы не на абонементы</t>
        </is>
      </c>
      <c r="D1678" s="34" t="inlineStr">
        <is>
          <t>+7 дней к сроку действия абонемента</t>
        </is>
      </c>
      <c r="E1678" s="34" t="inlineStr">
        <is>
          <t>При покупке абонемента на 8 или 12 занятий</t>
        </is>
      </c>
      <c r="F1678" s="147" t="inlineStr">
        <is>
          <t>FW-L1-R76M7-VCKYL</t>
        </is>
      </c>
      <c r="G1678" s="39" t="inlineStr">
        <is>
          <t>Не использован</t>
        </is>
      </c>
      <c r="H1678" s="148" t="n"/>
      <c r="I1678" s="34" t="str"/>
      <c r="J1678" s="34" t="str"/>
      <c r="K1678" s="130" t="n">
        <v>71</v>
      </c>
      <c r="L1678" s="43">
        <f>IF(COUNTIF($F$5:$F$2407,F1678)=1,"OK","Дубликат")</f>
        <v/>
      </c>
    </row>
    <row r="1679" ht="38" customHeight="1">
      <c r="A1679" s="146" t="inlineStr">
        <is>
          <t>BONUS-L1-PLUS7</t>
        </is>
      </c>
      <c r="B1679" s="39" t="inlineStr">
        <is>
          <t>1 уровень</t>
        </is>
      </c>
      <c r="C1679" s="34" t="inlineStr">
        <is>
          <t>Призы не на абонементы</t>
        </is>
      </c>
      <c r="D1679" s="34" t="inlineStr">
        <is>
          <t>+7 дней к сроку действия абонемента</t>
        </is>
      </c>
      <c r="E1679" s="34" t="inlineStr">
        <is>
          <t>При покупке абонемента на 8 или 12 занятий</t>
        </is>
      </c>
      <c r="F1679" s="147" t="inlineStr">
        <is>
          <t>FW-L1-B8F4P-WGD38</t>
        </is>
      </c>
      <c r="G1679" s="39" t="inlineStr">
        <is>
          <t>Не использован</t>
        </is>
      </c>
      <c r="H1679" s="148" t="n"/>
      <c r="I1679" s="34" t="str"/>
      <c r="J1679" s="34" t="str"/>
      <c r="K1679" s="130" t="n">
        <v>72</v>
      </c>
      <c r="L1679" s="43">
        <f>IF(COUNTIF($F$5:$F$2407,F1679)=1,"OK","Дубликат")</f>
        <v/>
      </c>
    </row>
    <row r="1680" ht="38" customHeight="1">
      <c r="A1680" s="146" t="inlineStr">
        <is>
          <t>BONUS-L1-PLUS7</t>
        </is>
      </c>
      <c r="B1680" s="39" t="inlineStr">
        <is>
          <t>1 уровень</t>
        </is>
      </c>
      <c r="C1680" s="34" t="inlineStr">
        <is>
          <t>Призы не на абонементы</t>
        </is>
      </c>
      <c r="D1680" s="34" t="inlineStr">
        <is>
          <t>+7 дней к сроку действия абонемента</t>
        </is>
      </c>
      <c r="E1680" s="34" t="inlineStr">
        <is>
          <t>При покупке абонемента на 8 или 12 занятий</t>
        </is>
      </c>
      <c r="F1680" s="147" t="inlineStr">
        <is>
          <t>FW-L1-7KD3K-2JEJQ</t>
        </is>
      </c>
      <c r="G1680" s="39" t="inlineStr">
        <is>
          <t>Не использован</t>
        </is>
      </c>
      <c r="H1680" s="148" t="n"/>
      <c r="I1680" s="34" t="str"/>
      <c r="J1680" s="34" t="str"/>
      <c r="K1680" s="130" t="n">
        <v>73</v>
      </c>
      <c r="L1680" s="43">
        <f>IF(COUNTIF($F$5:$F$2407,F1680)=1,"OK","Дубликат")</f>
        <v/>
      </c>
    </row>
    <row r="1681" ht="38" customHeight="1">
      <c r="A1681" s="146" t="inlineStr">
        <is>
          <t>BONUS-L1-PLUS7</t>
        </is>
      </c>
      <c r="B1681" s="39" t="inlineStr">
        <is>
          <t>1 уровень</t>
        </is>
      </c>
      <c r="C1681" s="34" t="inlineStr">
        <is>
          <t>Призы не на абонементы</t>
        </is>
      </c>
      <c r="D1681" s="34" t="inlineStr">
        <is>
          <t>+7 дней к сроку действия абонемента</t>
        </is>
      </c>
      <c r="E1681" s="34" t="inlineStr">
        <is>
          <t>При покупке абонемента на 8 или 12 занятий</t>
        </is>
      </c>
      <c r="F1681" s="147" t="inlineStr">
        <is>
          <t>FW-L1-W7YQ5-KU6NU</t>
        </is>
      </c>
      <c r="G1681" s="39" t="inlineStr">
        <is>
          <t>Не использован</t>
        </is>
      </c>
      <c r="H1681" s="148" t="n"/>
      <c r="I1681" s="34" t="str"/>
      <c r="J1681" s="34" t="str"/>
      <c r="K1681" s="130" t="n">
        <v>74</v>
      </c>
      <c r="L1681" s="43">
        <f>IF(COUNTIF($F$5:$F$2407,F1681)=1,"OK","Дубликат")</f>
        <v/>
      </c>
    </row>
    <row r="1682" ht="38" customHeight="1">
      <c r="A1682" s="146" t="inlineStr">
        <is>
          <t>BONUS-L1-PLUS7</t>
        </is>
      </c>
      <c r="B1682" s="39" t="inlineStr">
        <is>
          <t>1 уровень</t>
        </is>
      </c>
      <c r="C1682" s="34" t="inlineStr">
        <is>
          <t>Призы не на абонементы</t>
        </is>
      </c>
      <c r="D1682" s="34" t="inlineStr">
        <is>
          <t>+7 дней к сроку действия абонемента</t>
        </is>
      </c>
      <c r="E1682" s="34" t="inlineStr">
        <is>
          <t>При покупке абонемента на 8 или 12 занятий</t>
        </is>
      </c>
      <c r="F1682" s="147" t="inlineStr">
        <is>
          <t>FW-L1-8UEY3-XXSB6</t>
        </is>
      </c>
      <c r="G1682" s="39" t="inlineStr">
        <is>
          <t>Не использован</t>
        </is>
      </c>
      <c r="H1682" s="148" t="n"/>
      <c r="I1682" s="34" t="str"/>
      <c r="J1682" s="34" t="str"/>
      <c r="K1682" s="130" t="n">
        <v>75</v>
      </c>
      <c r="L1682" s="43">
        <f>IF(COUNTIF($F$5:$F$2407,F1682)=1,"OK","Дубликат")</f>
        <v/>
      </c>
    </row>
    <row r="1683" ht="38" customHeight="1">
      <c r="A1683" s="146" t="inlineStr">
        <is>
          <t>BONUS-L1-PLUS7</t>
        </is>
      </c>
      <c r="B1683" s="39" t="inlineStr">
        <is>
          <t>1 уровень</t>
        </is>
      </c>
      <c r="C1683" s="34" t="inlineStr">
        <is>
          <t>Призы не на абонементы</t>
        </is>
      </c>
      <c r="D1683" s="34" t="inlineStr">
        <is>
          <t>+7 дней к сроку действия абонемента</t>
        </is>
      </c>
      <c r="E1683" s="34" t="inlineStr">
        <is>
          <t>При покупке абонемента на 8 или 12 занятий</t>
        </is>
      </c>
      <c r="F1683" s="147" t="inlineStr">
        <is>
          <t>FW-L1-SZCAM-GLXNB</t>
        </is>
      </c>
      <c r="G1683" s="39" t="inlineStr">
        <is>
          <t>Не использован</t>
        </is>
      </c>
      <c r="H1683" s="148" t="n"/>
      <c r="I1683" s="34" t="str"/>
      <c r="J1683" s="34" t="str"/>
      <c r="K1683" s="130" t="n">
        <v>76</v>
      </c>
      <c r="L1683" s="43">
        <f>IF(COUNTIF($F$5:$F$2407,F1683)=1,"OK","Дубликат")</f>
        <v/>
      </c>
    </row>
    <row r="1684" ht="38" customHeight="1">
      <c r="A1684" s="146" t="inlineStr">
        <is>
          <t>BONUS-L1-PLUS7</t>
        </is>
      </c>
      <c r="B1684" s="39" t="inlineStr">
        <is>
          <t>1 уровень</t>
        </is>
      </c>
      <c r="C1684" s="34" t="inlineStr">
        <is>
          <t>Призы не на абонементы</t>
        </is>
      </c>
      <c r="D1684" s="34" t="inlineStr">
        <is>
          <t>+7 дней к сроку действия абонемента</t>
        </is>
      </c>
      <c r="E1684" s="34" t="inlineStr">
        <is>
          <t>При покупке абонемента на 8 или 12 занятий</t>
        </is>
      </c>
      <c r="F1684" s="147" t="inlineStr">
        <is>
          <t>FW-L1-6HCXY-EAMRW</t>
        </is>
      </c>
      <c r="G1684" s="39" t="inlineStr">
        <is>
          <t>Не использован</t>
        </is>
      </c>
      <c r="H1684" s="148" t="n"/>
      <c r="I1684" s="34" t="str"/>
      <c r="J1684" s="34" t="str"/>
      <c r="K1684" s="130" t="n">
        <v>77</v>
      </c>
      <c r="L1684" s="43">
        <f>IF(COUNTIF($F$5:$F$2407,F1684)=1,"OK","Дубликат")</f>
        <v/>
      </c>
    </row>
    <row r="1685" ht="38" customHeight="1">
      <c r="A1685" s="146" t="inlineStr">
        <is>
          <t>BONUS-L1-PLUS7</t>
        </is>
      </c>
      <c r="B1685" s="39" t="inlineStr">
        <is>
          <t>1 уровень</t>
        </is>
      </c>
      <c r="C1685" s="34" t="inlineStr">
        <is>
          <t>Призы не на абонементы</t>
        </is>
      </c>
      <c r="D1685" s="34" t="inlineStr">
        <is>
          <t>+7 дней к сроку действия абонемента</t>
        </is>
      </c>
      <c r="E1685" s="34" t="inlineStr">
        <is>
          <t>При покупке абонемента на 8 или 12 занятий</t>
        </is>
      </c>
      <c r="F1685" s="147" t="inlineStr">
        <is>
          <t>FW-L1-BGB6X-AAB2F</t>
        </is>
      </c>
      <c r="G1685" s="39" t="inlineStr">
        <is>
          <t>Не использован</t>
        </is>
      </c>
      <c r="H1685" s="148" t="n"/>
      <c r="I1685" s="34" t="str"/>
      <c r="J1685" s="34" t="str"/>
      <c r="K1685" s="130" t="n">
        <v>78</v>
      </c>
      <c r="L1685" s="43">
        <f>IF(COUNTIF($F$5:$F$2407,F1685)=1,"OK","Дубликат")</f>
        <v/>
      </c>
    </row>
    <row r="1686" ht="38" customHeight="1">
      <c r="A1686" s="146" t="inlineStr">
        <is>
          <t>BONUS-L1-PLUS7</t>
        </is>
      </c>
      <c r="B1686" s="39" t="inlineStr">
        <is>
          <t>1 уровень</t>
        </is>
      </c>
      <c r="C1686" s="34" t="inlineStr">
        <is>
          <t>Призы не на абонементы</t>
        </is>
      </c>
      <c r="D1686" s="34" t="inlineStr">
        <is>
          <t>+7 дней к сроку действия абонемента</t>
        </is>
      </c>
      <c r="E1686" s="34" t="inlineStr">
        <is>
          <t>При покупке абонемента на 8 или 12 занятий</t>
        </is>
      </c>
      <c r="F1686" s="147" t="inlineStr">
        <is>
          <t>FW-L1-QZHR2-KA9YG</t>
        </is>
      </c>
      <c r="G1686" s="39" t="inlineStr">
        <is>
          <t>Не использован</t>
        </is>
      </c>
      <c r="H1686" s="148" t="n"/>
      <c r="I1686" s="34" t="str"/>
      <c r="J1686" s="34" t="str"/>
      <c r="K1686" s="130" t="n">
        <v>79</v>
      </c>
      <c r="L1686" s="43">
        <f>IF(COUNTIF($F$5:$F$2407,F1686)=1,"OK","Дубликат")</f>
        <v/>
      </c>
    </row>
    <row r="1687" ht="38" customHeight="1">
      <c r="A1687" s="146" t="inlineStr">
        <is>
          <t>BONUS-L1-PLUS7</t>
        </is>
      </c>
      <c r="B1687" s="39" t="inlineStr">
        <is>
          <t>1 уровень</t>
        </is>
      </c>
      <c r="C1687" s="34" t="inlineStr">
        <is>
          <t>Призы не на абонементы</t>
        </is>
      </c>
      <c r="D1687" s="34" t="inlineStr">
        <is>
          <t>+7 дней к сроку действия абонемента</t>
        </is>
      </c>
      <c r="E1687" s="34" t="inlineStr">
        <is>
          <t>При покупке абонемента на 8 или 12 занятий</t>
        </is>
      </c>
      <c r="F1687" s="147" t="inlineStr">
        <is>
          <t>FW-L1-BXZFP-G3SHC</t>
        </is>
      </c>
      <c r="G1687" s="39" t="inlineStr">
        <is>
          <t>Не использован</t>
        </is>
      </c>
      <c r="H1687" s="148" t="n"/>
      <c r="I1687" s="34" t="str"/>
      <c r="J1687" s="34" t="str"/>
      <c r="K1687" s="130" t="n">
        <v>80</v>
      </c>
      <c r="L1687" s="43">
        <f>IF(COUNTIF($F$5:$F$2407,F1687)=1,"OK","Дубликат")</f>
        <v/>
      </c>
    </row>
    <row r="1688" ht="38" customHeight="1">
      <c r="A1688" s="146" t="inlineStr">
        <is>
          <t>BONUS-L1-PLUS7</t>
        </is>
      </c>
      <c r="B1688" s="39" t="inlineStr">
        <is>
          <t>1 уровень</t>
        </is>
      </c>
      <c r="C1688" s="34" t="inlineStr">
        <is>
          <t>Призы не на абонементы</t>
        </is>
      </c>
      <c r="D1688" s="34" t="inlineStr">
        <is>
          <t>+7 дней к сроку действия абонемента</t>
        </is>
      </c>
      <c r="E1688" s="34" t="inlineStr">
        <is>
          <t>При покупке абонемента на 8 или 12 занятий</t>
        </is>
      </c>
      <c r="F1688" s="147" t="inlineStr">
        <is>
          <t>FW-L1-6W4CV-9T8EY</t>
        </is>
      </c>
      <c r="G1688" s="39" t="inlineStr">
        <is>
          <t>Не использован</t>
        </is>
      </c>
      <c r="H1688" s="148" t="n"/>
      <c r="I1688" s="34" t="str"/>
      <c r="J1688" s="34" t="str"/>
      <c r="K1688" s="130" t="n">
        <v>81</v>
      </c>
      <c r="L1688" s="43">
        <f>IF(COUNTIF($F$5:$F$2407,F1688)=1,"OK","Дубликат")</f>
        <v/>
      </c>
    </row>
    <row r="1689" ht="38" customHeight="1">
      <c r="A1689" s="146" t="inlineStr">
        <is>
          <t>BONUS-L1-PLUS7</t>
        </is>
      </c>
      <c r="B1689" s="39" t="inlineStr">
        <is>
          <t>1 уровень</t>
        </is>
      </c>
      <c r="C1689" s="34" t="inlineStr">
        <is>
          <t>Призы не на абонементы</t>
        </is>
      </c>
      <c r="D1689" s="34" t="inlineStr">
        <is>
          <t>+7 дней к сроку действия абонемента</t>
        </is>
      </c>
      <c r="E1689" s="34" t="inlineStr">
        <is>
          <t>При покупке абонемента на 8 или 12 занятий</t>
        </is>
      </c>
      <c r="F1689" s="147" t="inlineStr">
        <is>
          <t>FW-L1-R4LWL-DHV5H</t>
        </is>
      </c>
      <c r="G1689" s="39" t="inlineStr">
        <is>
          <t>Не использован</t>
        </is>
      </c>
      <c r="H1689" s="148" t="n"/>
      <c r="I1689" s="34" t="str"/>
      <c r="J1689" s="34" t="str"/>
      <c r="K1689" s="130" t="n">
        <v>82</v>
      </c>
      <c r="L1689" s="43">
        <f>IF(COUNTIF($F$5:$F$2407,F1689)=1,"OK","Дубликат")</f>
        <v/>
      </c>
    </row>
    <row r="1690" ht="38" customHeight="1">
      <c r="A1690" s="146" t="inlineStr">
        <is>
          <t>BONUS-L1-PLUS7</t>
        </is>
      </c>
      <c r="B1690" s="39" t="inlineStr">
        <is>
          <t>1 уровень</t>
        </is>
      </c>
      <c r="C1690" s="34" t="inlineStr">
        <is>
          <t>Призы не на абонементы</t>
        </is>
      </c>
      <c r="D1690" s="34" t="inlineStr">
        <is>
          <t>+7 дней к сроку действия абонемента</t>
        </is>
      </c>
      <c r="E1690" s="34" t="inlineStr">
        <is>
          <t>При покупке абонемента на 8 или 12 занятий</t>
        </is>
      </c>
      <c r="F1690" s="147" t="inlineStr">
        <is>
          <t>FW-L1-SYUAT-5RSDT</t>
        </is>
      </c>
      <c r="G1690" s="39" t="inlineStr">
        <is>
          <t>Не использован</t>
        </is>
      </c>
      <c r="H1690" s="148" t="n"/>
      <c r="I1690" s="34" t="str"/>
      <c r="J1690" s="34" t="str"/>
      <c r="K1690" s="130" t="n">
        <v>83</v>
      </c>
      <c r="L1690" s="43">
        <f>IF(COUNTIF($F$5:$F$2407,F1690)=1,"OK","Дубликат")</f>
        <v/>
      </c>
    </row>
    <row r="1691" ht="38" customHeight="1">
      <c r="A1691" s="146" t="inlineStr">
        <is>
          <t>BONUS-L1-PLUS7</t>
        </is>
      </c>
      <c r="B1691" s="39" t="inlineStr">
        <is>
          <t>1 уровень</t>
        </is>
      </c>
      <c r="C1691" s="34" t="inlineStr">
        <is>
          <t>Призы не на абонементы</t>
        </is>
      </c>
      <c r="D1691" s="34" t="inlineStr">
        <is>
          <t>+7 дней к сроку действия абонемента</t>
        </is>
      </c>
      <c r="E1691" s="34" t="inlineStr">
        <is>
          <t>При покупке абонемента на 8 или 12 занятий</t>
        </is>
      </c>
      <c r="F1691" s="147" t="inlineStr">
        <is>
          <t>FW-L1-5J6Y9-WVLT5</t>
        </is>
      </c>
      <c r="G1691" s="39" t="inlineStr">
        <is>
          <t>Не использован</t>
        </is>
      </c>
      <c r="H1691" s="148" t="n"/>
      <c r="I1691" s="34" t="str"/>
      <c r="J1691" s="34" t="str"/>
      <c r="K1691" s="130" t="n">
        <v>84</v>
      </c>
      <c r="L1691" s="43">
        <f>IF(COUNTIF($F$5:$F$2407,F1691)=1,"OK","Дубликат")</f>
        <v/>
      </c>
    </row>
    <row r="1692" ht="38" customHeight="1">
      <c r="A1692" s="146" t="inlineStr">
        <is>
          <t>BONUS-L1-PLUS7</t>
        </is>
      </c>
      <c r="B1692" s="39" t="inlineStr">
        <is>
          <t>1 уровень</t>
        </is>
      </c>
      <c r="C1692" s="34" t="inlineStr">
        <is>
          <t>Призы не на абонементы</t>
        </is>
      </c>
      <c r="D1692" s="34" t="inlineStr">
        <is>
          <t>+7 дней к сроку действия абонемента</t>
        </is>
      </c>
      <c r="E1692" s="34" t="inlineStr">
        <is>
          <t>При покупке абонемента на 8 или 12 занятий</t>
        </is>
      </c>
      <c r="F1692" s="147" t="inlineStr">
        <is>
          <t>FW-L1-A63CV-Y8QY7</t>
        </is>
      </c>
      <c r="G1692" s="39" t="inlineStr">
        <is>
          <t>Не использован</t>
        </is>
      </c>
      <c r="H1692" s="148" t="n"/>
      <c r="I1692" s="34" t="str"/>
      <c r="J1692" s="34" t="str"/>
      <c r="K1692" s="130" t="n">
        <v>85</v>
      </c>
      <c r="L1692" s="43">
        <f>IF(COUNTIF($F$5:$F$2407,F1692)=1,"OK","Дубликат")</f>
        <v/>
      </c>
    </row>
    <row r="1693" ht="38" customHeight="1">
      <c r="A1693" s="146" t="inlineStr">
        <is>
          <t>BONUS-L1-PLUS7</t>
        </is>
      </c>
      <c r="B1693" s="39" t="inlineStr">
        <is>
          <t>1 уровень</t>
        </is>
      </c>
      <c r="C1693" s="34" t="inlineStr">
        <is>
          <t>Призы не на абонементы</t>
        </is>
      </c>
      <c r="D1693" s="34" t="inlineStr">
        <is>
          <t>+7 дней к сроку действия абонемента</t>
        </is>
      </c>
      <c r="E1693" s="34" t="inlineStr">
        <is>
          <t>При покупке абонемента на 8 или 12 занятий</t>
        </is>
      </c>
      <c r="F1693" s="147" t="inlineStr">
        <is>
          <t>FW-L1-AJ29M-ER7W8</t>
        </is>
      </c>
      <c r="G1693" s="39" t="inlineStr">
        <is>
          <t>Не использован</t>
        </is>
      </c>
      <c r="H1693" s="148" t="n"/>
      <c r="I1693" s="34" t="str"/>
      <c r="J1693" s="34" t="str"/>
      <c r="K1693" s="130" t="n">
        <v>86</v>
      </c>
      <c r="L1693" s="43">
        <f>IF(COUNTIF($F$5:$F$2407,F1693)=1,"OK","Дубликат")</f>
        <v/>
      </c>
    </row>
    <row r="1694" ht="38" customHeight="1">
      <c r="A1694" s="146" t="inlineStr">
        <is>
          <t>BONUS-L1-PLUS7</t>
        </is>
      </c>
      <c r="B1694" s="39" t="inlineStr">
        <is>
          <t>1 уровень</t>
        </is>
      </c>
      <c r="C1694" s="34" t="inlineStr">
        <is>
          <t>Призы не на абонементы</t>
        </is>
      </c>
      <c r="D1694" s="34" t="inlineStr">
        <is>
          <t>+7 дней к сроку действия абонемента</t>
        </is>
      </c>
      <c r="E1694" s="34" t="inlineStr">
        <is>
          <t>При покупке абонемента на 8 или 12 занятий</t>
        </is>
      </c>
      <c r="F1694" s="147" t="inlineStr">
        <is>
          <t>FW-L1-XDB7K-TXZCJ</t>
        </is>
      </c>
      <c r="G1694" s="39" t="inlineStr">
        <is>
          <t>Не использован</t>
        </is>
      </c>
      <c r="H1694" s="148" t="n"/>
      <c r="I1694" s="34" t="str"/>
      <c r="J1694" s="34" t="str"/>
      <c r="K1694" s="130" t="n">
        <v>87</v>
      </c>
      <c r="L1694" s="43">
        <f>IF(COUNTIF($F$5:$F$2407,F1694)=1,"OK","Дубликат")</f>
        <v/>
      </c>
    </row>
    <row r="1695" ht="38" customHeight="1">
      <c r="A1695" s="146" t="inlineStr">
        <is>
          <t>BONUS-L1-PLUS7</t>
        </is>
      </c>
      <c r="B1695" s="39" t="inlineStr">
        <is>
          <t>1 уровень</t>
        </is>
      </c>
      <c r="C1695" s="34" t="inlineStr">
        <is>
          <t>Призы не на абонементы</t>
        </is>
      </c>
      <c r="D1695" s="34" t="inlineStr">
        <is>
          <t>+7 дней к сроку действия абонемента</t>
        </is>
      </c>
      <c r="E1695" s="34" t="inlineStr">
        <is>
          <t>При покупке абонемента на 8 или 12 занятий</t>
        </is>
      </c>
      <c r="F1695" s="147" t="inlineStr">
        <is>
          <t>FW-L1-A8N8N-6QPL6</t>
        </is>
      </c>
      <c r="G1695" s="39" t="inlineStr">
        <is>
          <t>Не использован</t>
        </is>
      </c>
      <c r="H1695" s="148" t="n"/>
      <c r="I1695" s="34" t="str"/>
      <c r="J1695" s="34" t="str"/>
      <c r="K1695" s="130" t="n">
        <v>88</v>
      </c>
      <c r="L1695" s="43">
        <f>IF(COUNTIF($F$5:$F$2407,F1695)=1,"OK","Дубликат")</f>
        <v/>
      </c>
    </row>
    <row r="1696" ht="38" customHeight="1">
      <c r="A1696" s="146" t="inlineStr">
        <is>
          <t>BONUS-L1-PLUS7</t>
        </is>
      </c>
      <c r="B1696" s="39" t="inlineStr">
        <is>
          <t>1 уровень</t>
        </is>
      </c>
      <c r="C1696" s="34" t="inlineStr">
        <is>
          <t>Призы не на абонементы</t>
        </is>
      </c>
      <c r="D1696" s="34" t="inlineStr">
        <is>
          <t>+7 дней к сроку действия абонемента</t>
        </is>
      </c>
      <c r="E1696" s="34" t="inlineStr">
        <is>
          <t>При покупке абонемента на 8 или 12 занятий</t>
        </is>
      </c>
      <c r="F1696" s="147" t="inlineStr">
        <is>
          <t>FW-L1-ASVJS-LQM8N</t>
        </is>
      </c>
      <c r="G1696" s="39" t="inlineStr">
        <is>
          <t>Не использован</t>
        </is>
      </c>
      <c r="H1696" s="148" t="n"/>
      <c r="I1696" s="34" t="str"/>
      <c r="J1696" s="34" t="str"/>
      <c r="K1696" s="130" t="n">
        <v>89</v>
      </c>
      <c r="L1696" s="43">
        <f>IF(COUNTIF($F$5:$F$2407,F1696)=1,"OK","Дубликат")</f>
        <v/>
      </c>
    </row>
    <row r="1697" ht="38" customHeight="1">
      <c r="A1697" s="146" t="inlineStr">
        <is>
          <t>BONUS-L1-PLUS7</t>
        </is>
      </c>
      <c r="B1697" s="39" t="inlineStr">
        <is>
          <t>1 уровень</t>
        </is>
      </c>
      <c r="C1697" s="34" t="inlineStr">
        <is>
          <t>Призы не на абонементы</t>
        </is>
      </c>
      <c r="D1697" s="34" t="inlineStr">
        <is>
          <t>+7 дней к сроку действия абонемента</t>
        </is>
      </c>
      <c r="E1697" s="34" t="inlineStr">
        <is>
          <t>При покупке абонемента на 8 или 12 занятий</t>
        </is>
      </c>
      <c r="F1697" s="147" t="inlineStr">
        <is>
          <t>FW-L1-VP43E-JZLUU</t>
        </is>
      </c>
      <c r="G1697" s="39" t="inlineStr">
        <is>
          <t>Не использован</t>
        </is>
      </c>
      <c r="H1697" s="148" t="n"/>
      <c r="I1697" s="34" t="str"/>
      <c r="J1697" s="34" t="str"/>
      <c r="K1697" s="130" t="n">
        <v>90</v>
      </c>
      <c r="L1697" s="43">
        <f>IF(COUNTIF($F$5:$F$2407,F1697)=1,"OK","Дубликат")</f>
        <v/>
      </c>
    </row>
    <row r="1698" ht="38" customHeight="1">
      <c r="A1698" s="146" t="inlineStr">
        <is>
          <t>BONUS-L1-PLUS7</t>
        </is>
      </c>
      <c r="B1698" s="39" t="inlineStr">
        <is>
          <t>1 уровень</t>
        </is>
      </c>
      <c r="C1698" s="34" t="inlineStr">
        <is>
          <t>Призы не на абонементы</t>
        </is>
      </c>
      <c r="D1698" s="34" t="inlineStr">
        <is>
          <t>+7 дней к сроку действия абонемента</t>
        </is>
      </c>
      <c r="E1698" s="34" t="inlineStr">
        <is>
          <t>При покупке абонемента на 8 или 12 занятий</t>
        </is>
      </c>
      <c r="F1698" s="147" t="inlineStr">
        <is>
          <t>FW-L1-NXL33-CNF5B</t>
        </is>
      </c>
      <c r="G1698" s="39" t="inlineStr">
        <is>
          <t>Не использован</t>
        </is>
      </c>
      <c r="H1698" s="148" t="n"/>
      <c r="I1698" s="34" t="str"/>
      <c r="J1698" s="34" t="str"/>
      <c r="K1698" s="130" t="n">
        <v>91</v>
      </c>
      <c r="L1698" s="43">
        <f>IF(COUNTIF($F$5:$F$2407,F1698)=1,"OK","Дубликат")</f>
        <v/>
      </c>
    </row>
    <row r="1699" ht="38" customHeight="1">
      <c r="A1699" s="146" t="inlineStr">
        <is>
          <t>BONUS-L1-PLUS7</t>
        </is>
      </c>
      <c r="B1699" s="39" t="inlineStr">
        <is>
          <t>1 уровень</t>
        </is>
      </c>
      <c r="C1699" s="34" t="inlineStr">
        <is>
          <t>Призы не на абонементы</t>
        </is>
      </c>
      <c r="D1699" s="34" t="inlineStr">
        <is>
          <t>+7 дней к сроку действия абонемента</t>
        </is>
      </c>
      <c r="E1699" s="34" t="inlineStr">
        <is>
          <t>При покупке абонемента на 8 или 12 занятий</t>
        </is>
      </c>
      <c r="F1699" s="147" t="inlineStr">
        <is>
          <t>FW-L1-ETY9C-SGHX9</t>
        </is>
      </c>
      <c r="G1699" s="39" t="inlineStr">
        <is>
          <t>Не использован</t>
        </is>
      </c>
      <c r="H1699" s="148" t="n"/>
      <c r="I1699" s="34" t="str"/>
      <c r="J1699" s="34" t="str"/>
      <c r="K1699" s="130" t="n">
        <v>92</v>
      </c>
      <c r="L1699" s="43">
        <f>IF(COUNTIF($F$5:$F$2407,F1699)=1,"OK","Дубликат")</f>
        <v/>
      </c>
    </row>
    <row r="1700" ht="38" customHeight="1">
      <c r="A1700" s="146" t="inlineStr">
        <is>
          <t>BONUS-L1-PLUS7</t>
        </is>
      </c>
      <c r="B1700" s="39" t="inlineStr">
        <is>
          <t>1 уровень</t>
        </is>
      </c>
      <c r="C1700" s="34" t="inlineStr">
        <is>
          <t>Призы не на абонементы</t>
        </is>
      </c>
      <c r="D1700" s="34" t="inlineStr">
        <is>
          <t>+7 дней к сроку действия абонемента</t>
        </is>
      </c>
      <c r="E1700" s="34" t="inlineStr">
        <is>
          <t>При покупке абонемента на 8 или 12 занятий</t>
        </is>
      </c>
      <c r="F1700" s="147" t="inlineStr">
        <is>
          <t>FW-L1-LC7MW-6LLAC</t>
        </is>
      </c>
      <c r="G1700" s="39" t="inlineStr">
        <is>
          <t>Не использован</t>
        </is>
      </c>
      <c r="H1700" s="148" t="n"/>
      <c r="I1700" s="34" t="str"/>
      <c r="J1700" s="34" t="str"/>
      <c r="K1700" s="130" t="n">
        <v>93</v>
      </c>
      <c r="L1700" s="43">
        <f>IF(COUNTIF($F$5:$F$2407,F1700)=1,"OK","Дубликат")</f>
        <v/>
      </c>
    </row>
    <row r="1701" ht="38" customHeight="1">
      <c r="A1701" s="146" t="inlineStr">
        <is>
          <t>BONUS-L1-PLUS7</t>
        </is>
      </c>
      <c r="B1701" s="39" t="inlineStr">
        <is>
          <t>1 уровень</t>
        </is>
      </c>
      <c r="C1701" s="34" t="inlineStr">
        <is>
          <t>Призы не на абонементы</t>
        </is>
      </c>
      <c r="D1701" s="34" t="inlineStr">
        <is>
          <t>+7 дней к сроку действия абонемента</t>
        </is>
      </c>
      <c r="E1701" s="34" t="inlineStr">
        <is>
          <t>При покупке абонемента на 8 или 12 занятий</t>
        </is>
      </c>
      <c r="F1701" s="147" t="inlineStr">
        <is>
          <t>FW-L1-RBLWY-46UM6</t>
        </is>
      </c>
      <c r="G1701" s="39" t="inlineStr">
        <is>
          <t>Не использован</t>
        </is>
      </c>
      <c r="H1701" s="148" t="n"/>
      <c r="I1701" s="34" t="str"/>
      <c r="J1701" s="34" t="str"/>
      <c r="K1701" s="130" t="n">
        <v>94</v>
      </c>
      <c r="L1701" s="43">
        <f>IF(COUNTIF($F$5:$F$2407,F1701)=1,"OK","Дубликат")</f>
        <v/>
      </c>
    </row>
    <row r="1702" ht="38" customHeight="1">
      <c r="A1702" s="146" t="inlineStr">
        <is>
          <t>BONUS-L1-PLUS7</t>
        </is>
      </c>
      <c r="B1702" s="39" t="inlineStr">
        <is>
          <t>1 уровень</t>
        </is>
      </c>
      <c r="C1702" s="34" t="inlineStr">
        <is>
          <t>Призы не на абонементы</t>
        </is>
      </c>
      <c r="D1702" s="34" t="inlineStr">
        <is>
          <t>+7 дней к сроку действия абонемента</t>
        </is>
      </c>
      <c r="E1702" s="34" t="inlineStr">
        <is>
          <t>При покупке абонемента на 8 или 12 занятий</t>
        </is>
      </c>
      <c r="F1702" s="147" t="inlineStr">
        <is>
          <t>FW-L1-4C6RK-PJ6D9</t>
        </is>
      </c>
      <c r="G1702" s="39" t="inlineStr">
        <is>
          <t>Не использован</t>
        </is>
      </c>
      <c r="H1702" s="148" t="n"/>
      <c r="I1702" s="34" t="str"/>
      <c r="J1702" s="34" t="str"/>
      <c r="K1702" s="130" t="n">
        <v>95</v>
      </c>
      <c r="L1702" s="43">
        <f>IF(COUNTIF($F$5:$F$2407,F1702)=1,"OK","Дубликат")</f>
        <v/>
      </c>
    </row>
    <row r="1703" ht="38" customHeight="1">
      <c r="A1703" s="146" t="inlineStr">
        <is>
          <t>BONUS-L1-PLUS7</t>
        </is>
      </c>
      <c r="B1703" s="39" t="inlineStr">
        <is>
          <t>1 уровень</t>
        </is>
      </c>
      <c r="C1703" s="34" t="inlineStr">
        <is>
          <t>Призы не на абонементы</t>
        </is>
      </c>
      <c r="D1703" s="34" t="inlineStr">
        <is>
          <t>+7 дней к сроку действия абонемента</t>
        </is>
      </c>
      <c r="E1703" s="34" t="inlineStr">
        <is>
          <t>При покупке абонемента на 8 или 12 занятий</t>
        </is>
      </c>
      <c r="F1703" s="147" t="inlineStr">
        <is>
          <t>FW-L1-CXHS2-YKBZ9</t>
        </is>
      </c>
      <c r="G1703" s="39" t="inlineStr">
        <is>
          <t>Не использован</t>
        </is>
      </c>
      <c r="H1703" s="148" t="n"/>
      <c r="I1703" s="34" t="str"/>
      <c r="J1703" s="34" t="str"/>
      <c r="K1703" s="130" t="n">
        <v>96</v>
      </c>
      <c r="L1703" s="43">
        <f>IF(COUNTIF($F$5:$F$2407,F1703)=1,"OK","Дубликат")</f>
        <v/>
      </c>
    </row>
    <row r="1704" ht="38" customHeight="1">
      <c r="A1704" s="146" t="inlineStr">
        <is>
          <t>BONUS-L1-PLUS7</t>
        </is>
      </c>
      <c r="B1704" s="39" t="inlineStr">
        <is>
          <t>1 уровень</t>
        </is>
      </c>
      <c r="C1704" s="34" t="inlineStr">
        <is>
          <t>Призы не на абонементы</t>
        </is>
      </c>
      <c r="D1704" s="34" t="inlineStr">
        <is>
          <t>+7 дней к сроку действия абонемента</t>
        </is>
      </c>
      <c r="E1704" s="34" t="inlineStr">
        <is>
          <t>При покупке абонемента на 8 или 12 занятий</t>
        </is>
      </c>
      <c r="F1704" s="147" t="inlineStr">
        <is>
          <t>FW-L1-6HW77-6CPQ5</t>
        </is>
      </c>
      <c r="G1704" s="39" t="inlineStr">
        <is>
          <t>Не использован</t>
        </is>
      </c>
      <c r="H1704" s="148" t="n"/>
      <c r="I1704" s="34" t="str"/>
      <c r="J1704" s="34" t="str"/>
      <c r="K1704" s="130" t="n">
        <v>97</v>
      </c>
      <c r="L1704" s="43">
        <f>IF(COUNTIF($F$5:$F$2407,F1704)=1,"OK","Дубликат")</f>
        <v/>
      </c>
    </row>
    <row r="1705" ht="38" customHeight="1">
      <c r="A1705" s="146" t="inlineStr">
        <is>
          <t>BONUS-L1-PLUS7</t>
        </is>
      </c>
      <c r="B1705" s="39" t="inlineStr">
        <is>
          <t>1 уровень</t>
        </is>
      </c>
      <c r="C1705" s="34" t="inlineStr">
        <is>
          <t>Призы не на абонементы</t>
        </is>
      </c>
      <c r="D1705" s="34" t="inlineStr">
        <is>
          <t>+7 дней к сроку действия абонемента</t>
        </is>
      </c>
      <c r="E1705" s="34" t="inlineStr">
        <is>
          <t>При покупке абонемента на 8 или 12 занятий</t>
        </is>
      </c>
      <c r="F1705" s="147" t="inlineStr">
        <is>
          <t>FW-L1-MVKF5-GBGZA</t>
        </is>
      </c>
      <c r="G1705" s="39" t="inlineStr">
        <is>
          <t>Не использован</t>
        </is>
      </c>
      <c r="H1705" s="148" t="n"/>
      <c r="I1705" s="34" t="str"/>
      <c r="J1705" s="34" t="str"/>
      <c r="K1705" s="130" t="n">
        <v>98</v>
      </c>
      <c r="L1705" s="43">
        <f>IF(COUNTIF($F$5:$F$2407,F1705)=1,"OK","Дубликат")</f>
        <v/>
      </c>
    </row>
    <row r="1706" ht="38" customHeight="1">
      <c r="A1706" s="146" t="inlineStr">
        <is>
          <t>BONUS-L1-PLUS7</t>
        </is>
      </c>
      <c r="B1706" s="39" t="inlineStr">
        <is>
          <t>1 уровень</t>
        </is>
      </c>
      <c r="C1706" s="34" t="inlineStr">
        <is>
          <t>Призы не на абонементы</t>
        </is>
      </c>
      <c r="D1706" s="34" t="inlineStr">
        <is>
          <t>+7 дней к сроку действия абонемента</t>
        </is>
      </c>
      <c r="E1706" s="34" t="inlineStr">
        <is>
          <t>При покупке абонемента на 8 или 12 занятий</t>
        </is>
      </c>
      <c r="F1706" s="147" t="inlineStr">
        <is>
          <t>FW-L1-KV4C2-GVYUX</t>
        </is>
      </c>
      <c r="G1706" s="39" t="inlineStr">
        <is>
          <t>Не использован</t>
        </is>
      </c>
      <c r="H1706" s="148" t="n"/>
      <c r="I1706" s="34" t="str"/>
      <c r="J1706" s="34" t="str"/>
      <c r="K1706" s="130" t="n">
        <v>99</v>
      </c>
      <c r="L1706" s="43">
        <f>IF(COUNTIF($F$5:$F$2407,F1706)=1,"OK","Дубликат")</f>
        <v/>
      </c>
    </row>
    <row r="1707" ht="38" customHeight="1">
      <c r="A1707" s="146" t="inlineStr">
        <is>
          <t>BONUS-L1-PLUS7</t>
        </is>
      </c>
      <c r="B1707" s="39" t="inlineStr">
        <is>
          <t>1 уровень</t>
        </is>
      </c>
      <c r="C1707" s="34" t="inlineStr">
        <is>
          <t>Призы не на абонементы</t>
        </is>
      </c>
      <c r="D1707" s="34" t="inlineStr">
        <is>
          <t>+7 дней к сроку действия абонемента</t>
        </is>
      </c>
      <c r="E1707" s="34" t="inlineStr">
        <is>
          <t>При покупке абонемента на 8 или 12 занятий</t>
        </is>
      </c>
      <c r="F1707" s="147" t="inlineStr">
        <is>
          <t>FW-L1-WX23J-598YS</t>
        </is>
      </c>
      <c r="G1707" s="39" t="inlineStr">
        <is>
          <t>Не использован</t>
        </is>
      </c>
      <c r="H1707" s="148" t="n"/>
      <c r="I1707" s="34" t="str"/>
      <c r="J1707" s="34" t="str"/>
      <c r="K1707" s="130" t="n">
        <v>100</v>
      </c>
      <c r="L1707" s="43">
        <f>IF(COUNTIF($F$5:$F$2407,F1707)=1,"OK","Дубликат")</f>
        <v/>
      </c>
    </row>
    <row r="1708" ht="38" customHeight="1">
      <c r="A1708" s="146" t="inlineStr">
        <is>
          <t>BONUS-L1-PLUS7</t>
        </is>
      </c>
      <c r="B1708" s="39" t="inlineStr">
        <is>
          <t>1 уровень</t>
        </is>
      </c>
      <c r="C1708" s="34" t="inlineStr">
        <is>
          <t>Призы не на абонементы</t>
        </is>
      </c>
      <c r="D1708" s="34" t="inlineStr">
        <is>
          <t>+7 дней к сроку действия абонемента</t>
        </is>
      </c>
      <c r="E1708" s="34" t="inlineStr">
        <is>
          <t>При покупке абонемента на 8 или 12 занятий</t>
        </is>
      </c>
      <c r="F1708" s="147" t="inlineStr">
        <is>
          <t>FW-L1-YYV8L-3VKD4</t>
        </is>
      </c>
      <c r="G1708" s="39" t="inlineStr">
        <is>
          <t>Не использован</t>
        </is>
      </c>
      <c r="H1708" s="148" t="n"/>
      <c r="I1708" s="34" t="str"/>
      <c r="J1708" s="34" t="str"/>
      <c r="K1708" s="130" t="n">
        <v>101</v>
      </c>
      <c r="L1708" s="43">
        <f>IF(COUNTIF($F$5:$F$2407,F1708)=1,"OK","Дубликат")</f>
        <v/>
      </c>
    </row>
    <row r="1709" ht="38" customHeight="1">
      <c r="A1709" s="146" t="inlineStr">
        <is>
          <t>BONUS-L1-PLUS7</t>
        </is>
      </c>
      <c r="B1709" s="39" t="inlineStr">
        <is>
          <t>1 уровень</t>
        </is>
      </c>
      <c r="C1709" s="34" t="inlineStr">
        <is>
          <t>Призы не на абонементы</t>
        </is>
      </c>
      <c r="D1709" s="34" t="inlineStr">
        <is>
          <t>+7 дней к сроку действия абонемента</t>
        </is>
      </c>
      <c r="E1709" s="34" t="inlineStr">
        <is>
          <t>При покупке абонемента на 8 или 12 занятий</t>
        </is>
      </c>
      <c r="F1709" s="147" t="inlineStr">
        <is>
          <t>FW-L1-ZFLVF-2SAT7</t>
        </is>
      </c>
      <c r="G1709" s="39" t="inlineStr">
        <is>
          <t>Не использован</t>
        </is>
      </c>
      <c r="H1709" s="148" t="n"/>
      <c r="I1709" s="34" t="str"/>
      <c r="J1709" s="34" t="str"/>
      <c r="K1709" s="130" t="n">
        <v>102</v>
      </c>
      <c r="L1709" s="43">
        <f>IF(COUNTIF($F$5:$F$2407,F1709)=1,"OK","Дубликат")</f>
        <v/>
      </c>
    </row>
    <row r="1710" ht="38" customHeight="1">
      <c r="A1710" s="146" t="inlineStr">
        <is>
          <t>BONUS-L1-PLUS7</t>
        </is>
      </c>
      <c r="B1710" s="39" t="inlineStr">
        <is>
          <t>1 уровень</t>
        </is>
      </c>
      <c r="C1710" s="34" t="inlineStr">
        <is>
          <t>Призы не на абонементы</t>
        </is>
      </c>
      <c r="D1710" s="34" t="inlineStr">
        <is>
          <t>+7 дней к сроку действия абонемента</t>
        </is>
      </c>
      <c r="E1710" s="34" t="inlineStr">
        <is>
          <t>При покупке абонемента на 8 или 12 занятий</t>
        </is>
      </c>
      <c r="F1710" s="147" t="inlineStr">
        <is>
          <t>FW-L1-TSQBG-D4ZPB</t>
        </is>
      </c>
      <c r="G1710" s="39" t="inlineStr">
        <is>
          <t>Не использован</t>
        </is>
      </c>
      <c r="H1710" s="148" t="n"/>
      <c r="I1710" s="34" t="str"/>
      <c r="J1710" s="34" t="str"/>
      <c r="K1710" s="130" t="n">
        <v>103</v>
      </c>
      <c r="L1710" s="43">
        <f>IF(COUNTIF($F$5:$F$2407,F1710)=1,"OK","Дубликат")</f>
        <v/>
      </c>
    </row>
    <row r="1711" ht="38" customHeight="1">
      <c r="A1711" s="146" t="inlineStr">
        <is>
          <t>BONUS-L1-PLUS7</t>
        </is>
      </c>
      <c r="B1711" s="39" t="inlineStr">
        <is>
          <t>1 уровень</t>
        </is>
      </c>
      <c r="C1711" s="34" t="inlineStr">
        <is>
          <t>Призы не на абонементы</t>
        </is>
      </c>
      <c r="D1711" s="34" t="inlineStr">
        <is>
          <t>+7 дней к сроку действия абонемента</t>
        </is>
      </c>
      <c r="E1711" s="34" t="inlineStr">
        <is>
          <t>При покупке абонемента на 8 или 12 занятий</t>
        </is>
      </c>
      <c r="F1711" s="147" t="inlineStr">
        <is>
          <t>FW-L1-A2HX9-S6CTS</t>
        </is>
      </c>
      <c r="G1711" s="39" t="inlineStr">
        <is>
          <t>Не использован</t>
        </is>
      </c>
      <c r="H1711" s="148" t="n"/>
      <c r="I1711" s="34" t="str"/>
      <c r="J1711" s="34" t="str"/>
      <c r="K1711" s="130" t="n">
        <v>104</v>
      </c>
      <c r="L1711" s="43">
        <f>IF(COUNTIF($F$5:$F$2407,F1711)=1,"OK","Дубликат")</f>
        <v/>
      </c>
    </row>
    <row r="1712" ht="38" customHeight="1">
      <c r="A1712" s="146" t="inlineStr">
        <is>
          <t>BONUS-L1-PLUS7</t>
        </is>
      </c>
      <c r="B1712" s="39" t="inlineStr">
        <is>
          <t>1 уровень</t>
        </is>
      </c>
      <c r="C1712" s="34" t="inlineStr">
        <is>
          <t>Призы не на абонементы</t>
        </is>
      </c>
      <c r="D1712" s="34" t="inlineStr">
        <is>
          <t>+7 дней к сроку действия абонемента</t>
        </is>
      </c>
      <c r="E1712" s="34" t="inlineStr">
        <is>
          <t>При покупке абонемента на 8 или 12 занятий</t>
        </is>
      </c>
      <c r="F1712" s="147" t="inlineStr">
        <is>
          <t>FW-L1-AH6RM-J76CR</t>
        </is>
      </c>
      <c r="G1712" s="39" t="inlineStr">
        <is>
          <t>Не использован</t>
        </is>
      </c>
      <c r="H1712" s="148" t="n"/>
      <c r="I1712" s="34" t="str"/>
      <c r="J1712" s="34" t="str"/>
      <c r="K1712" s="130" t="n">
        <v>105</v>
      </c>
      <c r="L1712" s="43">
        <f>IF(COUNTIF($F$5:$F$2407,F1712)=1,"OK","Дубликат")</f>
        <v/>
      </c>
    </row>
    <row r="1713" ht="38" customHeight="1">
      <c r="A1713" s="146" t="inlineStr">
        <is>
          <t>BONUS-L1-PLUS7</t>
        </is>
      </c>
      <c r="B1713" s="39" t="inlineStr">
        <is>
          <t>1 уровень</t>
        </is>
      </c>
      <c r="C1713" s="34" t="inlineStr">
        <is>
          <t>Призы не на абонементы</t>
        </is>
      </c>
      <c r="D1713" s="34" t="inlineStr">
        <is>
          <t>+7 дней к сроку действия абонемента</t>
        </is>
      </c>
      <c r="E1713" s="34" t="inlineStr">
        <is>
          <t>При покупке абонемента на 8 или 12 занятий</t>
        </is>
      </c>
      <c r="F1713" s="147" t="inlineStr">
        <is>
          <t>FW-L1-J85UT-9W73J</t>
        </is>
      </c>
      <c r="G1713" s="39" t="inlineStr">
        <is>
          <t>Не использован</t>
        </is>
      </c>
      <c r="H1713" s="148" t="n"/>
      <c r="I1713" s="34" t="str"/>
      <c r="J1713" s="34" t="str"/>
      <c r="K1713" s="130" t="n">
        <v>106</v>
      </c>
      <c r="L1713" s="43">
        <f>IF(COUNTIF($F$5:$F$2407,F1713)=1,"OK","Дубликат")</f>
        <v/>
      </c>
    </row>
    <row r="1714" ht="38" customHeight="1">
      <c r="A1714" s="146" t="inlineStr">
        <is>
          <t>BONUS-L1-PLUS7</t>
        </is>
      </c>
      <c r="B1714" s="39" t="inlineStr">
        <is>
          <t>1 уровень</t>
        </is>
      </c>
      <c r="C1714" s="34" t="inlineStr">
        <is>
          <t>Призы не на абонементы</t>
        </is>
      </c>
      <c r="D1714" s="34" t="inlineStr">
        <is>
          <t>+7 дней к сроку действия абонемента</t>
        </is>
      </c>
      <c r="E1714" s="34" t="inlineStr">
        <is>
          <t>При покупке абонемента на 8 или 12 занятий</t>
        </is>
      </c>
      <c r="F1714" s="147" t="inlineStr">
        <is>
          <t>FW-L1-M93HM-PMKLF</t>
        </is>
      </c>
      <c r="G1714" s="39" t="inlineStr">
        <is>
          <t>Не использован</t>
        </is>
      </c>
      <c r="H1714" s="148" t="n"/>
      <c r="I1714" s="34" t="str"/>
      <c r="J1714" s="34" t="str"/>
      <c r="K1714" s="130" t="n">
        <v>107</v>
      </c>
      <c r="L1714" s="43">
        <f>IF(COUNTIF($F$5:$F$2407,F1714)=1,"OK","Дубликат")</f>
        <v/>
      </c>
    </row>
    <row r="1715" ht="38" customHeight="1">
      <c r="A1715" s="146" t="inlineStr">
        <is>
          <t>BONUS-L1-PLUS7</t>
        </is>
      </c>
      <c r="B1715" s="39" t="inlineStr">
        <is>
          <t>1 уровень</t>
        </is>
      </c>
      <c r="C1715" s="34" t="inlineStr">
        <is>
          <t>Призы не на абонементы</t>
        </is>
      </c>
      <c r="D1715" s="34" t="inlineStr">
        <is>
          <t>+7 дней к сроку действия абонемента</t>
        </is>
      </c>
      <c r="E1715" s="34" t="inlineStr">
        <is>
          <t>При покупке абонемента на 8 или 12 занятий</t>
        </is>
      </c>
      <c r="F1715" s="147" t="inlineStr">
        <is>
          <t>FW-L1-JCAHY-L4LF2</t>
        </is>
      </c>
      <c r="G1715" s="39" t="inlineStr">
        <is>
          <t>Не использован</t>
        </is>
      </c>
      <c r="H1715" s="148" t="n"/>
      <c r="I1715" s="34" t="str"/>
      <c r="J1715" s="34" t="str"/>
      <c r="K1715" s="130" t="n">
        <v>108</v>
      </c>
      <c r="L1715" s="43">
        <f>IF(COUNTIF($F$5:$F$2407,F1715)=1,"OK","Дубликат")</f>
        <v/>
      </c>
    </row>
    <row r="1716" ht="38" customHeight="1">
      <c r="A1716" s="146" t="inlineStr">
        <is>
          <t>BONUS-L1-PLUS7</t>
        </is>
      </c>
      <c r="B1716" s="39" t="inlineStr">
        <is>
          <t>1 уровень</t>
        </is>
      </c>
      <c r="C1716" s="34" t="inlineStr">
        <is>
          <t>Призы не на абонементы</t>
        </is>
      </c>
      <c r="D1716" s="34" t="inlineStr">
        <is>
          <t>+7 дней к сроку действия абонемента</t>
        </is>
      </c>
      <c r="E1716" s="34" t="inlineStr">
        <is>
          <t>При покупке абонемента на 8 или 12 занятий</t>
        </is>
      </c>
      <c r="F1716" s="147" t="inlineStr">
        <is>
          <t>FW-L1-UX64T-KK874</t>
        </is>
      </c>
      <c r="G1716" s="39" t="inlineStr">
        <is>
          <t>Не использован</t>
        </is>
      </c>
      <c r="H1716" s="148" t="n"/>
      <c r="I1716" s="34" t="str"/>
      <c r="J1716" s="34" t="str"/>
      <c r="K1716" s="130" t="n">
        <v>109</v>
      </c>
      <c r="L1716" s="43">
        <f>IF(COUNTIF($F$5:$F$2407,F1716)=1,"OK","Дубликат")</f>
        <v/>
      </c>
    </row>
    <row r="1717" ht="38" customHeight="1">
      <c r="A1717" s="146" t="inlineStr">
        <is>
          <t>BONUS-L1-PLUS7</t>
        </is>
      </c>
      <c r="B1717" s="39" t="inlineStr">
        <is>
          <t>1 уровень</t>
        </is>
      </c>
      <c r="C1717" s="34" t="inlineStr">
        <is>
          <t>Призы не на абонементы</t>
        </is>
      </c>
      <c r="D1717" s="34" t="inlineStr">
        <is>
          <t>+7 дней к сроку действия абонемента</t>
        </is>
      </c>
      <c r="E1717" s="34" t="inlineStr">
        <is>
          <t>При покупке абонемента на 8 или 12 занятий</t>
        </is>
      </c>
      <c r="F1717" s="147" t="inlineStr">
        <is>
          <t>FW-L1-BSMLZ-SP4C2</t>
        </is>
      </c>
      <c r="G1717" s="39" t="inlineStr">
        <is>
          <t>Не использован</t>
        </is>
      </c>
      <c r="H1717" s="148" t="n"/>
      <c r="I1717" s="34" t="str"/>
      <c r="J1717" s="34" t="str"/>
      <c r="K1717" s="130" t="n">
        <v>110</v>
      </c>
      <c r="L1717" s="43">
        <f>IF(COUNTIF($F$5:$F$2407,F1717)=1,"OK","Дубликат")</f>
        <v/>
      </c>
    </row>
    <row r="1718" ht="38" customHeight="1">
      <c r="A1718" s="146" t="inlineStr">
        <is>
          <t>BONUS-L1-PLUS7</t>
        </is>
      </c>
      <c r="B1718" s="39" t="inlineStr">
        <is>
          <t>1 уровень</t>
        </is>
      </c>
      <c r="C1718" s="34" t="inlineStr">
        <is>
          <t>Призы не на абонементы</t>
        </is>
      </c>
      <c r="D1718" s="34" t="inlineStr">
        <is>
          <t>+7 дней к сроку действия абонемента</t>
        </is>
      </c>
      <c r="E1718" s="34" t="inlineStr">
        <is>
          <t>При покупке абонемента на 8 или 12 занятий</t>
        </is>
      </c>
      <c r="F1718" s="147" t="inlineStr">
        <is>
          <t>FW-L1-XN5DA-DK6Z7</t>
        </is>
      </c>
      <c r="G1718" s="39" t="inlineStr">
        <is>
          <t>Не использован</t>
        </is>
      </c>
      <c r="H1718" s="148" t="n"/>
      <c r="I1718" s="34" t="str"/>
      <c r="J1718" s="34" t="str"/>
      <c r="K1718" s="130" t="n">
        <v>111</v>
      </c>
      <c r="L1718" s="43">
        <f>IF(COUNTIF($F$5:$F$2407,F1718)=1,"OK","Дубликат")</f>
        <v/>
      </c>
    </row>
    <row r="1719" ht="38" customHeight="1">
      <c r="A1719" s="146" t="inlineStr">
        <is>
          <t>BONUS-L1-PLUS7</t>
        </is>
      </c>
      <c r="B1719" s="39" t="inlineStr">
        <is>
          <t>1 уровень</t>
        </is>
      </c>
      <c r="C1719" s="34" t="inlineStr">
        <is>
          <t>Призы не на абонементы</t>
        </is>
      </c>
      <c r="D1719" s="34" t="inlineStr">
        <is>
          <t>+7 дней к сроку действия абонемента</t>
        </is>
      </c>
      <c r="E1719" s="34" t="inlineStr">
        <is>
          <t>При покупке абонемента на 8 или 12 занятий</t>
        </is>
      </c>
      <c r="F1719" s="147" t="inlineStr">
        <is>
          <t>FW-L1-H3XHT-TGJU3</t>
        </is>
      </c>
      <c r="G1719" s="39" t="inlineStr">
        <is>
          <t>Не использован</t>
        </is>
      </c>
      <c r="H1719" s="148" t="n"/>
      <c r="I1719" s="34" t="str"/>
      <c r="J1719" s="34" t="str"/>
      <c r="K1719" s="130" t="n">
        <v>112</v>
      </c>
      <c r="L1719" s="43">
        <f>IF(COUNTIF($F$5:$F$2407,F1719)=1,"OK","Дубликат")</f>
        <v/>
      </c>
    </row>
    <row r="1720" ht="38" customHeight="1">
      <c r="A1720" s="146" t="inlineStr">
        <is>
          <t>BONUS-L1-PLUS7</t>
        </is>
      </c>
      <c r="B1720" s="39" t="inlineStr">
        <is>
          <t>1 уровень</t>
        </is>
      </c>
      <c r="C1720" s="34" t="inlineStr">
        <is>
          <t>Призы не на абонементы</t>
        </is>
      </c>
      <c r="D1720" s="34" t="inlineStr">
        <is>
          <t>+7 дней к сроку действия абонемента</t>
        </is>
      </c>
      <c r="E1720" s="34" t="inlineStr">
        <is>
          <t>При покупке абонемента на 8 или 12 занятий</t>
        </is>
      </c>
      <c r="F1720" s="147" t="inlineStr">
        <is>
          <t>FW-L1-9U7KX-8VA5N</t>
        </is>
      </c>
      <c r="G1720" s="39" t="inlineStr">
        <is>
          <t>Не использован</t>
        </is>
      </c>
      <c r="H1720" s="148" t="n"/>
      <c r="I1720" s="34" t="str"/>
      <c r="J1720" s="34" t="str"/>
      <c r="K1720" s="130" t="n">
        <v>113</v>
      </c>
      <c r="L1720" s="43">
        <f>IF(COUNTIF($F$5:$F$2407,F1720)=1,"OK","Дубликат")</f>
        <v/>
      </c>
    </row>
    <row r="1721" ht="38" customHeight="1">
      <c r="A1721" s="146" t="inlineStr">
        <is>
          <t>BONUS-L1-PLUS7</t>
        </is>
      </c>
      <c r="B1721" s="39" t="inlineStr">
        <is>
          <t>1 уровень</t>
        </is>
      </c>
      <c r="C1721" s="34" t="inlineStr">
        <is>
          <t>Призы не на абонементы</t>
        </is>
      </c>
      <c r="D1721" s="34" t="inlineStr">
        <is>
          <t>+7 дней к сроку действия абонемента</t>
        </is>
      </c>
      <c r="E1721" s="34" t="inlineStr">
        <is>
          <t>При покупке абонемента на 8 или 12 занятий</t>
        </is>
      </c>
      <c r="F1721" s="147" t="inlineStr">
        <is>
          <t>FW-L1-DGVMP-5Y5K9</t>
        </is>
      </c>
      <c r="G1721" s="39" t="inlineStr">
        <is>
          <t>Не использован</t>
        </is>
      </c>
      <c r="H1721" s="148" t="n"/>
      <c r="I1721" s="34" t="str"/>
      <c r="J1721" s="34" t="str"/>
      <c r="K1721" s="130" t="n">
        <v>114</v>
      </c>
      <c r="L1721" s="43">
        <f>IF(COUNTIF($F$5:$F$2407,F1721)=1,"OK","Дубликат")</f>
        <v/>
      </c>
    </row>
    <row r="1722" ht="38" customHeight="1">
      <c r="A1722" s="146" t="inlineStr">
        <is>
          <t>BONUS-L1-PLUS7</t>
        </is>
      </c>
      <c r="B1722" s="39" t="inlineStr">
        <is>
          <t>1 уровень</t>
        </is>
      </c>
      <c r="C1722" s="34" t="inlineStr">
        <is>
          <t>Призы не на абонементы</t>
        </is>
      </c>
      <c r="D1722" s="34" t="inlineStr">
        <is>
          <t>+7 дней к сроку действия абонемента</t>
        </is>
      </c>
      <c r="E1722" s="34" t="inlineStr">
        <is>
          <t>При покупке абонемента на 8 или 12 занятий</t>
        </is>
      </c>
      <c r="F1722" s="147" t="inlineStr">
        <is>
          <t>FW-L1-Y6KLL-HWE3F</t>
        </is>
      </c>
      <c r="G1722" s="39" t="inlineStr">
        <is>
          <t>Не использован</t>
        </is>
      </c>
      <c r="H1722" s="148" t="n"/>
      <c r="I1722" s="34" t="str"/>
      <c r="J1722" s="34" t="str"/>
      <c r="K1722" s="130" t="n">
        <v>115</v>
      </c>
      <c r="L1722" s="43">
        <f>IF(COUNTIF($F$5:$F$2407,F1722)=1,"OK","Дубликат")</f>
        <v/>
      </c>
    </row>
    <row r="1723" ht="38" customHeight="1">
      <c r="A1723" s="146" t="inlineStr">
        <is>
          <t>BONUS-L1-PLUS7</t>
        </is>
      </c>
      <c r="B1723" s="39" t="inlineStr">
        <is>
          <t>1 уровень</t>
        </is>
      </c>
      <c r="C1723" s="34" t="inlineStr">
        <is>
          <t>Призы не на абонементы</t>
        </is>
      </c>
      <c r="D1723" s="34" t="inlineStr">
        <is>
          <t>+7 дней к сроку действия абонемента</t>
        </is>
      </c>
      <c r="E1723" s="34" t="inlineStr">
        <is>
          <t>При покупке абонемента на 8 или 12 занятий</t>
        </is>
      </c>
      <c r="F1723" s="147" t="inlineStr">
        <is>
          <t>FW-L1-VRNWJ-XAWLG</t>
        </is>
      </c>
      <c r="G1723" s="39" t="inlineStr">
        <is>
          <t>Не использован</t>
        </is>
      </c>
      <c r="H1723" s="148" t="n"/>
      <c r="I1723" s="34" t="str"/>
      <c r="J1723" s="34" t="str"/>
      <c r="K1723" s="130" t="n">
        <v>116</v>
      </c>
      <c r="L1723" s="43">
        <f>IF(COUNTIF($F$5:$F$2407,F1723)=1,"OK","Дубликат")</f>
        <v/>
      </c>
    </row>
    <row r="1724" ht="38" customHeight="1">
      <c r="A1724" s="146" t="inlineStr">
        <is>
          <t>BONUS-L1-PLUS7</t>
        </is>
      </c>
      <c r="B1724" s="39" t="inlineStr">
        <is>
          <t>1 уровень</t>
        </is>
      </c>
      <c r="C1724" s="34" t="inlineStr">
        <is>
          <t>Призы не на абонементы</t>
        </is>
      </c>
      <c r="D1724" s="34" t="inlineStr">
        <is>
          <t>+7 дней к сроку действия абонемента</t>
        </is>
      </c>
      <c r="E1724" s="34" t="inlineStr">
        <is>
          <t>При покупке абонемента на 8 или 12 занятий</t>
        </is>
      </c>
      <c r="F1724" s="147" t="inlineStr">
        <is>
          <t>FW-L1-YVPAU-WVA43</t>
        </is>
      </c>
      <c r="G1724" s="39" t="inlineStr">
        <is>
          <t>Не использован</t>
        </is>
      </c>
      <c r="H1724" s="148" t="n"/>
      <c r="I1724" s="34" t="str"/>
      <c r="J1724" s="34" t="str"/>
      <c r="K1724" s="130" t="n">
        <v>117</v>
      </c>
      <c r="L1724" s="43">
        <f>IF(COUNTIF($F$5:$F$2407,F1724)=1,"OK","Дубликат")</f>
        <v/>
      </c>
    </row>
    <row r="1725" ht="38" customHeight="1">
      <c r="A1725" s="146" t="inlineStr">
        <is>
          <t>BONUS-L1-PLUS7</t>
        </is>
      </c>
      <c r="B1725" s="39" t="inlineStr">
        <is>
          <t>1 уровень</t>
        </is>
      </c>
      <c r="C1725" s="34" t="inlineStr">
        <is>
          <t>Призы не на абонементы</t>
        </is>
      </c>
      <c r="D1725" s="34" t="inlineStr">
        <is>
          <t>+7 дней к сроку действия абонемента</t>
        </is>
      </c>
      <c r="E1725" s="34" t="inlineStr">
        <is>
          <t>При покупке абонемента на 8 или 12 занятий</t>
        </is>
      </c>
      <c r="F1725" s="147" t="inlineStr">
        <is>
          <t>FW-L1-2SQL3-FWTDB</t>
        </is>
      </c>
      <c r="G1725" s="39" t="inlineStr">
        <is>
          <t>Не использован</t>
        </is>
      </c>
      <c r="H1725" s="148" t="n"/>
      <c r="I1725" s="34" t="str"/>
      <c r="J1725" s="34" t="str"/>
      <c r="K1725" s="130" t="n">
        <v>118</v>
      </c>
      <c r="L1725" s="43">
        <f>IF(COUNTIF($F$5:$F$2407,F1725)=1,"OK","Дубликат")</f>
        <v/>
      </c>
    </row>
    <row r="1726" ht="38" customHeight="1">
      <c r="A1726" s="146" t="inlineStr">
        <is>
          <t>BONUS-L1-PLUS7</t>
        </is>
      </c>
      <c r="B1726" s="39" t="inlineStr">
        <is>
          <t>1 уровень</t>
        </is>
      </c>
      <c r="C1726" s="34" t="inlineStr">
        <is>
          <t>Призы не на абонементы</t>
        </is>
      </c>
      <c r="D1726" s="34" t="inlineStr">
        <is>
          <t>+7 дней к сроку действия абонемента</t>
        </is>
      </c>
      <c r="E1726" s="34" t="inlineStr">
        <is>
          <t>При покупке абонемента на 8 или 12 занятий</t>
        </is>
      </c>
      <c r="F1726" s="147" t="inlineStr">
        <is>
          <t>FW-L1-DA4G9-P2ZP2</t>
        </is>
      </c>
      <c r="G1726" s="39" t="inlineStr">
        <is>
          <t>Не использован</t>
        </is>
      </c>
      <c r="H1726" s="148" t="n"/>
      <c r="I1726" s="34" t="str"/>
      <c r="J1726" s="34" t="str"/>
      <c r="K1726" s="130" t="n">
        <v>119</v>
      </c>
      <c r="L1726" s="43">
        <f>IF(COUNTIF($F$5:$F$2407,F1726)=1,"OK","Дубликат")</f>
        <v/>
      </c>
    </row>
    <row r="1727" ht="38" customHeight="1">
      <c r="A1727" s="146" t="inlineStr">
        <is>
          <t>BONUS-L1-PLUS7</t>
        </is>
      </c>
      <c r="B1727" s="39" t="inlineStr">
        <is>
          <t>1 уровень</t>
        </is>
      </c>
      <c r="C1727" s="34" t="inlineStr">
        <is>
          <t>Призы не на абонементы</t>
        </is>
      </c>
      <c r="D1727" s="34" t="inlineStr">
        <is>
          <t>+7 дней к сроку действия абонемента</t>
        </is>
      </c>
      <c r="E1727" s="34" t="inlineStr">
        <is>
          <t>При покупке абонемента на 8 или 12 занятий</t>
        </is>
      </c>
      <c r="F1727" s="147" t="inlineStr">
        <is>
          <t>FW-L1-MGMJC-GJW22</t>
        </is>
      </c>
      <c r="G1727" s="39" t="inlineStr">
        <is>
          <t>Не использован</t>
        </is>
      </c>
      <c r="H1727" s="148" t="n"/>
      <c r="I1727" s="34" t="str"/>
      <c r="J1727" s="34" t="str"/>
      <c r="K1727" s="130" t="n">
        <v>120</v>
      </c>
      <c r="L1727" s="43">
        <f>IF(COUNTIF($F$5:$F$2407,F1727)=1,"OK","Дубликат")</f>
        <v/>
      </c>
    </row>
    <row r="1728" ht="38" customHeight="1">
      <c r="A1728" s="146" t="inlineStr">
        <is>
          <t>BONUS-L1-PLUS7</t>
        </is>
      </c>
      <c r="B1728" s="39" t="inlineStr">
        <is>
          <t>1 уровень</t>
        </is>
      </c>
      <c r="C1728" s="34" t="inlineStr">
        <is>
          <t>Призы не на абонементы</t>
        </is>
      </c>
      <c r="D1728" s="34" t="inlineStr">
        <is>
          <t>+7 дней к сроку действия абонемента</t>
        </is>
      </c>
      <c r="E1728" s="34" t="inlineStr">
        <is>
          <t>При покупке абонемента на 8 или 12 занятий</t>
        </is>
      </c>
      <c r="F1728" s="147" t="inlineStr">
        <is>
          <t>FW-L1-HUH2E-4YM7J</t>
        </is>
      </c>
      <c r="G1728" s="39" t="inlineStr">
        <is>
          <t>Не использован</t>
        </is>
      </c>
      <c r="H1728" s="148" t="n"/>
      <c r="I1728" s="34" t="str"/>
      <c r="J1728" s="34" t="str"/>
      <c r="K1728" s="130" t="n">
        <v>121</v>
      </c>
      <c r="L1728" s="43">
        <f>IF(COUNTIF($F$5:$F$2407,F1728)=1,"OK","Дубликат")</f>
        <v/>
      </c>
    </row>
    <row r="1729" ht="38" customHeight="1">
      <c r="A1729" s="146" t="inlineStr">
        <is>
          <t>BONUS-L1-PLUS7</t>
        </is>
      </c>
      <c r="B1729" s="39" t="inlineStr">
        <is>
          <t>1 уровень</t>
        </is>
      </c>
      <c r="C1729" s="34" t="inlineStr">
        <is>
          <t>Призы не на абонементы</t>
        </is>
      </c>
      <c r="D1729" s="34" t="inlineStr">
        <is>
          <t>+7 дней к сроку действия абонемента</t>
        </is>
      </c>
      <c r="E1729" s="34" t="inlineStr">
        <is>
          <t>При покупке абонемента на 8 или 12 занятий</t>
        </is>
      </c>
      <c r="F1729" s="147" t="inlineStr">
        <is>
          <t>FW-L1-L25HV-ZC6SQ</t>
        </is>
      </c>
      <c r="G1729" s="39" t="inlineStr">
        <is>
          <t>Не использован</t>
        </is>
      </c>
      <c r="H1729" s="148" t="n"/>
      <c r="I1729" s="34" t="str"/>
      <c r="J1729" s="34" t="str"/>
      <c r="K1729" s="130" t="n">
        <v>122</v>
      </c>
      <c r="L1729" s="43">
        <f>IF(COUNTIF($F$5:$F$2407,F1729)=1,"OK","Дубликат")</f>
        <v/>
      </c>
    </row>
    <row r="1730" ht="38" customHeight="1">
      <c r="A1730" s="146" t="inlineStr">
        <is>
          <t>BONUS-L1-PLUS7</t>
        </is>
      </c>
      <c r="B1730" s="39" t="inlineStr">
        <is>
          <t>1 уровень</t>
        </is>
      </c>
      <c r="C1730" s="34" t="inlineStr">
        <is>
          <t>Призы не на абонементы</t>
        </is>
      </c>
      <c r="D1730" s="34" t="inlineStr">
        <is>
          <t>+7 дней к сроку действия абонемента</t>
        </is>
      </c>
      <c r="E1730" s="34" t="inlineStr">
        <is>
          <t>При покупке абонемента на 8 или 12 занятий</t>
        </is>
      </c>
      <c r="F1730" s="147" t="inlineStr">
        <is>
          <t>FW-L1-XUEJE-37MA2</t>
        </is>
      </c>
      <c r="G1730" s="39" t="inlineStr">
        <is>
          <t>Не использован</t>
        </is>
      </c>
      <c r="H1730" s="148" t="n"/>
      <c r="I1730" s="34" t="str"/>
      <c r="J1730" s="34" t="str"/>
      <c r="K1730" s="130" t="n">
        <v>123</v>
      </c>
      <c r="L1730" s="43">
        <f>IF(COUNTIF($F$5:$F$2407,F1730)=1,"OK","Дубликат")</f>
        <v/>
      </c>
    </row>
    <row r="1731" ht="38" customHeight="1">
      <c r="A1731" s="146" t="inlineStr">
        <is>
          <t>BONUS-L1-PLUS7</t>
        </is>
      </c>
      <c r="B1731" s="39" t="inlineStr">
        <is>
          <t>1 уровень</t>
        </is>
      </c>
      <c r="C1731" s="34" t="inlineStr">
        <is>
          <t>Призы не на абонементы</t>
        </is>
      </c>
      <c r="D1731" s="34" t="inlineStr">
        <is>
          <t>+7 дней к сроку действия абонемента</t>
        </is>
      </c>
      <c r="E1731" s="34" t="inlineStr">
        <is>
          <t>При покупке абонемента на 8 или 12 занятий</t>
        </is>
      </c>
      <c r="F1731" s="147" t="inlineStr">
        <is>
          <t>FW-L1-BJNME-U8MH6</t>
        </is>
      </c>
      <c r="G1731" s="39" t="inlineStr">
        <is>
          <t>Не использован</t>
        </is>
      </c>
      <c r="H1731" s="148" t="n"/>
      <c r="I1731" s="34" t="str"/>
      <c r="J1731" s="34" t="str"/>
      <c r="K1731" s="130" t="n">
        <v>124</v>
      </c>
      <c r="L1731" s="43">
        <f>IF(COUNTIF($F$5:$F$2407,F1731)=1,"OK","Дубликат")</f>
        <v/>
      </c>
    </row>
    <row r="1732" ht="38" customHeight="1">
      <c r="A1732" s="146" t="inlineStr">
        <is>
          <t>BONUS-L1-PLUS7</t>
        </is>
      </c>
      <c r="B1732" s="39" t="inlineStr">
        <is>
          <t>1 уровень</t>
        </is>
      </c>
      <c r="C1732" s="34" t="inlineStr">
        <is>
          <t>Призы не на абонементы</t>
        </is>
      </c>
      <c r="D1732" s="34" t="inlineStr">
        <is>
          <t>+7 дней к сроку действия абонемента</t>
        </is>
      </c>
      <c r="E1732" s="34" t="inlineStr">
        <is>
          <t>При покупке абонемента на 8 или 12 занятий</t>
        </is>
      </c>
      <c r="F1732" s="147" t="inlineStr">
        <is>
          <t>FW-L1-Z4T4J-W3EZ2</t>
        </is>
      </c>
      <c r="G1732" s="39" t="inlineStr">
        <is>
          <t>Не использован</t>
        </is>
      </c>
      <c r="H1732" s="148" t="n"/>
      <c r="I1732" s="34" t="str"/>
      <c r="J1732" s="34" t="str"/>
      <c r="K1732" s="130" t="n">
        <v>125</v>
      </c>
      <c r="L1732" s="43">
        <f>IF(COUNTIF($F$5:$F$2407,F1732)=1,"OK","Дубликат")</f>
        <v/>
      </c>
    </row>
    <row r="1733" ht="38" customHeight="1">
      <c r="A1733" s="146" t="inlineStr">
        <is>
          <t>BONUS-L1-PLUS7</t>
        </is>
      </c>
      <c r="B1733" s="39" t="inlineStr">
        <is>
          <t>1 уровень</t>
        </is>
      </c>
      <c r="C1733" s="34" t="inlineStr">
        <is>
          <t>Призы не на абонементы</t>
        </is>
      </c>
      <c r="D1733" s="34" t="inlineStr">
        <is>
          <t>+7 дней к сроку действия абонемента</t>
        </is>
      </c>
      <c r="E1733" s="34" t="inlineStr">
        <is>
          <t>При покупке абонемента на 8 или 12 занятий</t>
        </is>
      </c>
      <c r="F1733" s="147" t="inlineStr">
        <is>
          <t>FW-L1-B65U9-RY6BG</t>
        </is>
      </c>
      <c r="G1733" s="39" t="inlineStr">
        <is>
          <t>Не использован</t>
        </is>
      </c>
      <c r="H1733" s="148" t="n"/>
      <c r="I1733" s="34" t="str"/>
      <c r="J1733" s="34" t="str"/>
      <c r="K1733" s="130" t="n">
        <v>126</v>
      </c>
      <c r="L1733" s="43">
        <f>IF(COUNTIF($F$5:$F$2407,F1733)=1,"OK","Дубликат")</f>
        <v/>
      </c>
    </row>
    <row r="1734" ht="38" customHeight="1">
      <c r="A1734" s="146" t="inlineStr">
        <is>
          <t>BONUS-L1-PLUS7</t>
        </is>
      </c>
      <c r="B1734" s="39" t="inlineStr">
        <is>
          <t>1 уровень</t>
        </is>
      </c>
      <c r="C1734" s="34" t="inlineStr">
        <is>
          <t>Призы не на абонементы</t>
        </is>
      </c>
      <c r="D1734" s="34" t="inlineStr">
        <is>
          <t>+7 дней к сроку действия абонемента</t>
        </is>
      </c>
      <c r="E1734" s="34" t="inlineStr">
        <is>
          <t>При покупке абонемента на 8 или 12 занятий</t>
        </is>
      </c>
      <c r="F1734" s="147" t="inlineStr">
        <is>
          <t>FW-L1-8UFL4-4S6VC</t>
        </is>
      </c>
      <c r="G1734" s="39" t="inlineStr">
        <is>
          <t>Не использован</t>
        </is>
      </c>
      <c r="H1734" s="148" t="n"/>
      <c r="I1734" s="34" t="str"/>
      <c r="J1734" s="34" t="str"/>
      <c r="K1734" s="130" t="n">
        <v>127</v>
      </c>
      <c r="L1734" s="43">
        <f>IF(COUNTIF($F$5:$F$2407,F1734)=1,"OK","Дубликат")</f>
        <v/>
      </c>
    </row>
    <row r="1735" ht="38" customHeight="1">
      <c r="A1735" s="146" t="inlineStr">
        <is>
          <t>BONUS-L1-PLUS7</t>
        </is>
      </c>
      <c r="B1735" s="39" t="inlineStr">
        <is>
          <t>1 уровень</t>
        </is>
      </c>
      <c r="C1735" s="34" t="inlineStr">
        <is>
          <t>Призы не на абонементы</t>
        </is>
      </c>
      <c r="D1735" s="34" t="inlineStr">
        <is>
          <t>+7 дней к сроку действия абонемента</t>
        </is>
      </c>
      <c r="E1735" s="34" t="inlineStr">
        <is>
          <t>При покупке абонемента на 8 или 12 занятий</t>
        </is>
      </c>
      <c r="F1735" s="147" t="inlineStr">
        <is>
          <t>FW-L1-QRMR8-MQ3Y5</t>
        </is>
      </c>
      <c r="G1735" s="39" t="inlineStr">
        <is>
          <t>Не использован</t>
        </is>
      </c>
      <c r="H1735" s="148" t="n"/>
      <c r="I1735" s="34" t="str"/>
      <c r="J1735" s="34" t="str"/>
      <c r="K1735" s="130" t="n">
        <v>128</v>
      </c>
      <c r="L1735" s="43">
        <f>IF(COUNTIF($F$5:$F$2407,F1735)=1,"OK","Дубликат")</f>
        <v/>
      </c>
    </row>
    <row r="1736" ht="38" customHeight="1">
      <c r="A1736" s="146" t="inlineStr">
        <is>
          <t>BONUS-L1-PLUS7</t>
        </is>
      </c>
      <c r="B1736" s="39" t="inlineStr">
        <is>
          <t>1 уровень</t>
        </is>
      </c>
      <c r="C1736" s="34" t="inlineStr">
        <is>
          <t>Призы не на абонементы</t>
        </is>
      </c>
      <c r="D1736" s="34" t="inlineStr">
        <is>
          <t>+7 дней к сроку действия абонемента</t>
        </is>
      </c>
      <c r="E1736" s="34" t="inlineStr">
        <is>
          <t>При покупке абонемента на 8 или 12 занятий</t>
        </is>
      </c>
      <c r="F1736" s="147" t="inlineStr">
        <is>
          <t>FW-L1-HCDGY-NNB2K</t>
        </is>
      </c>
      <c r="G1736" s="39" t="inlineStr">
        <is>
          <t>Не использован</t>
        </is>
      </c>
      <c r="H1736" s="148" t="n"/>
      <c r="I1736" s="34" t="str"/>
      <c r="J1736" s="34" t="str"/>
      <c r="K1736" s="130" t="n">
        <v>129</v>
      </c>
      <c r="L1736" s="43">
        <f>IF(COUNTIF($F$5:$F$2407,F1736)=1,"OK","Дубликат")</f>
        <v/>
      </c>
    </row>
    <row r="1737" ht="38" customHeight="1">
      <c r="A1737" s="146" t="inlineStr">
        <is>
          <t>BONUS-L1-PLUS7</t>
        </is>
      </c>
      <c r="B1737" s="39" t="inlineStr">
        <is>
          <t>1 уровень</t>
        </is>
      </c>
      <c r="C1737" s="34" t="inlineStr">
        <is>
          <t>Призы не на абонементы</t>
        </is>
      </c>
      <c r="D1737" s="34" t="inlineStr">
        <is>
          <t>+7 дней к сроку действия абонемента</t>
        </is>
      </c>
      <c r="E1737" s="34" t="inlineStr">
        <is>
          <t>При покупке абонемента на 8 или 12 занятий</t>
        </is>
      </c>
      <c r="F1737" s="147" t="inlineStr">
        <is>
          <t>FW-L1-RQNWD-HWJMW</t>
        </is>
      </c>
      <c r="G1737" s="39" t="inlineStr">
        <is>
          <t>Не использован</t>
        </is>
      </c>
      <c r="H1737" s="148" t="n"/>
      <c r="I1737" s="34" t="str"/>
      <c r="J1737" s="34" t="str"/>
      <c r="K1737" s="130" t="n">
        <v>130</v>
      </c>
      <c r="L1737" s="43">
        <f>IF(COUNTIF($F$5:$F$2407,F1737)=1,"OK","Дубликат")</f>
        <v/>
      </c>
    </row>
    <row r="1738" ht="38" customHeight="1">
      <c r="A1738" s="146" t="inlineStr">
        <is>
          <t>BONUS-L1-PLUS7</t>
        </is>
      </c>
      <c r="B1738" s="39" t="inlineStr">
        <is>
          <t>1 уровень</t>
        </is>
      </c>
      <c r="C1738" s="34" t="inlineStr">
        <is>
          <t>Призы не на абонементы</t>
        </is>
      </c>
      <c r="D1738" s="34" t="inlineStr">
        <is>
          <t>+7 дней к сроку действия абонемента</t>
        </is>
      </c>
      <c r="E1738" s="34" t="inlineStr">
        <is>
          <t>При покупке абонемента на 8 или 12 занятий</t>
        </is>
      </c>
      <c r="F1738" s="147" t="inlineStr">
        <is>
          <t>FW-L1-XHNMY-F9648</t>
        </is>
      </c>
      <c r="G1738" s="39" t="inlineStr">
        <is>
          <t>Не использован</t>
        </is>
      </c>
      <c r="H1738" s="148" t="n"/>
      <c r="I1738" s="34" t="str"/>
      <c r="J1738" s="34" t="str"/>
      <c r="K1738" s="130" t="n">
        <v>131</v>
      </c>
      <c r="L1738" s="43">
        <f>IF(COUNTIF($F$5:$F$2407,F1738)=1,"OK","Дубликат")</f>
        <v/>
      </c>
    </row>
    <row r="1739" ht="38" customHeight="1">
      <c r="A1739" s="146" t="inlineStr">
        <is>
          <t>BONUS-L1-PLUS7</t>
        </is>
      </c>
      <c r="B1739" s="39" t="inlineStr">
        <is>
          <t>1 уровень</t>
        </is>
      </c>
      <c r="C1739" s="34" t="inlineStr">
        <is>
          <t>Призы не на абонементы</t>
        </is>
      </c>
      <c r="D1739" s="34" t="inlineStr">
        <is>
          <t>+7 дней к сроку действия абонемента</t>
        </is>
      </c>
      <c r="E1739" s="34" t="inlineStr">
        <is>
          <t>При покупке абонемента на 8 или 12 занятий</t>
        </is>
      </c>
      <c r="F1739" s="147" t="inlineStr">
        <is>
          <t>FW-L1-R68DB-QLR6P</t>
        </is>
      </c>
      <c r="G1739" s="39" t="inlineStr">
        <is>
          <t>Не использован</t>
        </is>
      </c>
      <c r="H1739" s="148" t="n"/>
      <c r="I1739" s="34" t="str"/>
      <c r="J1739" s="34" t="str"/>
      <c r="K1739" s="130" t="n">
        <v>132</v>
      </c>
      <c r="L1739" s="43">
        <f>IF(COUNTIF($F$5:$F$2407,F1739)=1,"OK","Дубликат")</f>
        <v/>
      </c>
    </row>
    <row r="1740" ht="38" customHeight="1">
      <c r="A1740" s="146" t="inlineStr">
        <is>
          <t>BONUS-L1-PLUS7</t>
        </is>
      </c>
      <c r="B1740" s="39" t="inlineStr">
        <is>
          <t>1 уровень</t>
        </is>
      </c>
      <c r="C1740" s="34" t="inlineStr">
        <is>
          <t>Призы не на абонементы</t>
        </is>
      </c>
      <c r="D1740" s="34" t="inlineStr">
        <is>
          <t>+7 дней к сроку действия абонемента</t>
        </is>
      </c>
      <c r="E1740" s="34" t="inlineStr">
        <is>
          <t>При покупке абонемента на 8 или 12 занятий</t>
        </is>
      </c>
      <c r="F1740" s="147" t="inlineStr">
        <is>
          <t>FW-L1-Q286D-KFK84</t>
        </is>
      </c>
      <c r="G1740" s="39" t="inlineStr">
        <is>
          <t>Не использован</t>
        </is>
      </c>
      <c r="H1740" s="148" t="n"/>
      <c r="I1740" s="34" t="str"/>
      <c r="J1740" s="34" t="str"/>
      <c r="K1740" s="130" t="n">
        <v>133</v>
      </c>
      <c r="L1740" s="43">
        <f>IF(COUNTIF($F$5:$F$2407,F1740)=1,"OK","Дубликат")</f>
        <v/>
      </c>
    </row>
    <row r="1741" ht="38" customHeight="1">
      <c r="A1741" s="146" t="inlineStr">
        <is>
          <t>BONUS-L1-PLUS7</t>
        </is>
      </c>
      <c r="B1741" s="39" t="inlineStr">
        <is>
          <t>1 уровень</t>
        </is>
      </c>
      <c r="C1741" s="34" t="inlineStr">
        <is>
          <t>Призы не на абонементы</t>
        </is>
      </c>
      <c r="D1741" s="34" t="inlineStr">
        <is>
          <t>+7 дней к сроку действия абонемента</t>
        </is>
      </c>
      <c r="E1741" s="34" t="inlineStr">
        <is>
          <t>При покупке абонемента на 8 или 12 занятий</t>
        </is>
      </c>
      <c r="F1741" s="147" t="inlineStr">
        <is>
          <t>FW-L1-8BMJU-ZWXF9</t>
        </is>
      </c>
      <c r="G1741" s="39" t="inlineStr">
        <is>
          <t>Не использован</t>
        </is>
      </c>
      <c r="H1741" s="148" t="n"/>
      <c r="I1741" s="34" t="str"/>
      <c r="J1741" s="34" t="str"/>
      <c r="K1741" s="130" t="n">
        <v>134</v>
      </c>
      <c r="L1741" s="43">
        <f>IF(COUNTIF($F$5:$F$2407,F1741)=1,"OK","Дубликат")</f>
        <v/>
      </c>
    </row>
    <row r="1742" ht="38" customHeight="1">
      <c r="A1742" s="146" t="inlineStr">
        <is>
          <t>BONUS-L1-PLUS7</t>
        </is>
      </c>
      <c r="B1742" s="39" t="inlineStr">
        <is>
          <t>1 уровень</t>
        </is>
      </c>
      <c r="C1742" s="34" t="inlineStr">
        <is>
          <t>Призы не на абонементы</t>
        </is>
      </c>
      <c r="D1742" s="34" t="inlineStr">
        <is>
          <t>+7 дней к сроку действия абонемента</t>
        </is>
      </c>
      <c r="E1742" s="34" t="inlineStr">
        <is>
          <t>При покупке абонемента на 8 или 12 занятий</t>
        </is>
      </c>
      <c r="F1742" s="147" t="inlineStr">
        <is>
          <t>FW-L1-8SK7H-PFZG2</t>
        </is>
      </c>
      <c r="G1742" s="39" t="inlineStr">
        <is>
          <t>Не использован</t>
        </is>
      </c>
      <c r="H1742" s="148" t="n"/>
      <c r="I1742" s="34" t="str"/>
      <c r="J1742" s="34" t="str"/>
      <c r="K1742" s="130" t="n">
        <v>135</v>
      </c>
      <c r="L1742" s="43">
        <f>IF(COUNTIF($F$5:$F$2407,F1742)=1,"OK","Дубликат")</f>
        <v/>
      </c>
    </row>
    <row r="1743" ht="38" customHeight="1">
      <c r="A1743" s="146" t="inlineStr">
        <is>
          <t>BONUS-L1-PLUS7</t>
        </is>
      </c>
      <c r="B1743" s="39" t="inlineStr">
        <is>
          <t>1 уровень</t>
        </is>
      </c>
      <c r="C1743" s="34" t="inlineStr">
        <is>
          <t>Призы не на абонементы</t>
        </is>
      </c>
      <c r="D1743" s="34" t="inlineStr">
        <is>
          <t>+7 дней к сроку действия абонемента</t>
        </is>
      </c>
      <c r="E1743" s="34" t="inlineStr">
        <is>
          <t>При покупке абонемента на 8 или 12 занятий</t>
        </is>
      </c>
      <c r="F1743" s="147" t="inlineStr">
        <is>
          <t>FW-L1-RKTQG-9GW85</t>
        </is>
      </c>
      <c r="G1743" s="39" t="inlineStr">
        <is>
          <t>Не использован</t>
        </is>
      </c>
      <c r="H1743" s="148" t="n"/>
      <c r="I1743" s="34" t="str"/>
      <c r="J1743" s="34" t="str"/>
      <c r="K1743" s="130" t="n">
        <v>136</v>
      </c>
      <c r="L1743" s="43">
        <f>IF(COUNTIF($F$5:$F$2407,F1743)=1,"OK","Дубликат")</f>
        <v/>
      </c>
    </row>
    <row r="1744" ht="38" customHeight="1">
      <c r="A1744" s="146" t="inlineStr">
        <is>
          <t>BONUS-L1-PLUS7</t>
        </is>
      </c>
      <c r="B1744" s="39" t="inlineStr">
        <is>
          <t>1 уровень</t>
        </is>
      </c>
      <c r="C1744" s="34" t="inlineStr">
        <is>
          <t>Призы не на абонементы</t>
        </is>
      </c>
      <c r="D1744" s="34" t="inlineStr">
        <is>
          <t>+7 дней к сроку действия абонемента</t>
        </is>
      </c>
      <c r="E1744" s="34" t="inlineStr">
        <is>
          <t>При покупке абонемента на 8 или 12 занятий</t>
        </is>
      </c>
      <c r="F1744" s="147" t="inlineStr">
        <is>
          <t>FW-L1-WJJD2-FRWKC</t>
        </is>
      </c>
      <c r="G1744" s="39" t="inlineStr">
        <is>
          <t>Не использован</t>
        </is>
      </c>
      <c r="H1744" s="148" t="n"/>
      <c r="I1744" s="34" t="str"/>
      <c r="J1744" s="34" t="str"/>
      <c r="K1744" s="130" t="n">
        <v>137</v>
      </c>
      <c r="L1744" s="43">
        <f>IF(COUNTIF($F$5:$F$2407,F1744)=1,"OK","Дубликат")</f>
        <v/>
      </c>
    </row>
    <row r="1745" ht="38" customHeight="1">
      <c r="A1745" s="146" t="inlineStr">
        <is>
          <t>BONUS-L1-PLUS7</t>
        </is>
      </c>
      <c r="B1745" s="39" t="inlineStr">
        <is>
          <t>1 уровень</t>
        </is>
      </c>
      <c r="C1745" s="34" t="inlineStr">
        <is>
          <t>Призы не на абонементы</t>
        </is>
      </c>
      <c r="D1745" s="34" t="inlineStr">
        <is>
          <t>+7 дней к сроку действия абонемента</t>
        </is>
      </c>
      <c r="E1745" s="34" t="inlineStr">
        <is>
          <t>При покупке абонемента на 8 или 12 занятий</t>
        </is>
      </c>
      <c r="F1745" s="147" t="inlineStr">
        <is>
          <t>FW-L1-2DJS7-UDLC3</t>
        </is>
      </c>
      <c r="G1745" s="39" t="inlineStr">
        <is>
          <t>Не использован</t>
        </is>
      </c>
      <c r="H1745" s="148" t="n"/>
      <c r="I1745" s="34" t="str"/>
      <c r="J1745" s="34" t="str"/>
      <c r="K1745" s="130" t="n">
        <v>138</v>
      </c>
      <c r="L1745" s="43">
        <f>IF(COUNTIF($F$5:$F$2407,F1745)=1,"OK","Дубликат")</f>
        <v/>
      </c>
    </row>
    <row r="1746" ht="38" customHeight="1">
      <c r="A1746" s="146" t="inlineStr">
        <is>
          <t>BONUS-L1-PLUS7</t>
        </is>
      </c>
      <c r="B1746" s="39" t="inlineStr">
        <is>
          <t>1 уровень</t>
        </is>
      </c>
      <c r="C1746" s="34" t="inlineStr">
        <is>
          <t>Призы не на абонементы</t>
        </is>
      </c>
      <c r="D1746" s="34" t="inlineStr">
        <is>
          <t>+7 дней к сроку действия абонемента</t>
        </is>
      </c>
      <c r="E1746" s="34" t="inlineStr">
        <is>
          <t>При покупке абонемента на 8 или 12 занятий</t>
        </is>
      </c>
      <c r="F1746" s="147" t="inlineStr">
        <is>
          <t>FW-L1-K5QVZ-TA25C</t>
        </is>
      </c>
      <c r="G1746" s="39" t="inlineStr">
        <is>
          <t>Не использован</t>
        </is>
      </c>
      <c r="H1746" s="148" t="n"/>
      <c r="I1746" s="34" t="str"/>
      <c r="J1746" s="34" t="str"/>
      <c r="K1746" s="130" t="n">
        <v>139</v>
      </c>
      <c r="L1746" s="43">
        <f>IF(COUNTIF($F$5:$F$2407,F1746)=1,"OK","Дубликат")</f>
        <v/>
      </c>
    </row>
    <row r="1747" ht="38" customHeight="1">
      <c r="A1747" s="146" t="inlineStr">
        <is>
          <t>BONUS-L1-PLUS7</t>
        </is>
      </c>
      <c r="B1747" s="39" t="inlineStr">
        <is>
          <t>1 уровень</t>
        </is>
      </c>
      <c r="C1747" s="34" t="inlineStr">
        <is>
          <t>Призы не на абонементы</t>
        </is>
      </c>
      <c r="D1747" s="34" t="inlineStr">
        <is>
          <t>+7 дней к сроку действия абонемента</t>
        </is>
      </c>
      <c r="E1747" s="34" t="inlineStr">
        <is>
          <t>При покупке абонемента на 8 или 12 занятий</t>
        </is>
      </c>
      <c r="F1747" s="147" t="inlineStr">
        <is>
          <t>FW-L1-SNGKE-WZZLY</t>
        </is>
      </c>
      <c r="G1747" s="39" t="inlineStr">
        <is>
          <t>Не использован</t>
        </is>
      </c>
      <c r="H1747" s="148" t="n"/>
      <c r="I1747" s="34" t="str"/>
      <c r="J1747" s="34" t="str"/>
      <c r="K1747" s="130" t="n">
        <v>140</v>
      </c>
      <c r="L1747" s="43">
        <f>IF(COUNTIF($F$5:$F$2407,F1747)=1,"OK","Дубликат")</f>
        <v/>
      </c>
    </row>
    <row r="1748" ht="38" customHeight="1">
      <c r="A1748" s="146" t="inlineStr">
        <is>
          <t>BONUS-L1-PLUS7</t>
        </is>
      </c>
      <c r="B1748" s="39" t="inlineStr">
        <is>
          <t>1 уровень</t>
        </is>
      </c>
      <c r="C1748" s="34" t="inlineStr">
        <is>
          <t>Призы не на абонементы</t>
        </is>
      </c>
      <c r="D1748" s="34" t="inlineStr">
        <is>
          <t>+7 дней к сроку действия абонемента</t>
        </is>
      </c>
      <c r="E1748" s="34" t="inlineStr">
        <is>
          <t>При покупке абонемента на 8 или 12 занятий</t>
        </is>
      </c>
      <c r="F1748" s="147" t="inlineStr">
        <is>
          <t>FW-L1-NQH92-DADGP</t>
        </is>
      </c>
      <c r="G1748" s="39" t="inlineStr">
        <is>
          <t>Не использован</t>
        </is>
      </c>
      <c r="H1748" s="148" t="n"/>
      <c r="I1748" s="34" t="str"/>
      <c r="J1748" s="34" t="str"/>
      <c r="K1748" s="130" t="n">
        <v>141</v>
      </c>
      <c r="L1748" s="43">
        <f>IF(COUNTIF($F$5:$F$2407,F1748)=1,"OK","Дубликат")</f>
        <v/>
      </c>
    </row>
    <row r="1749" ht="38" customHeight="1">
      <c r="A1749" s="146" t="inlineStr">
        <is>
          <t>BONUS-L1-PLUS7</t>
        </is>
      </c>
      <c r="B1749" s="39" t="inlineStr">
        <is>
          <t>1 уровень</t>
        </is>
      </c>
      <c r="C1749" s="34" t="inlineStr">
        <is>
          <t>Призы не на абонементы</t>
        </is>
      </c>
      <c r="D1749" s="34" t="inlineStr">
        <is>
          <t>+7 дней к сроку действия абонемента</t>
        </is>
      </c>
      <c r="E1749" s="34" t="inlineStr">
        <is>
          <t>При покупке абонемента на 8 или 12 занятий</t>
        </is>
      </c>
      <c r="F1749" s="147" t="inlineStr">
        <is>
          <t>FW-L1-P4QZ2-DPYXS</t>
        </is>
      </c>
      <c r="G1749" s="39" t="inlineStr">
        <is>
          <t>Не использован</t>
        </is>
      </c>
      <c r="H1749" s="148" t="n"/>
      <c r="I1749" s="34" t="str"/>
      <c r="J1749" s="34" t="str"/>
      <c r="K1749" s="130" t="n">
        <v>142</v>
      </c>
      <c r="L1749" s="43">
        <f>IF(COUNTIF($F$5:$F$2407,F1749)=1,"OK","Дубликат")</f>
        <v/>
      </c>
    </row>
    <row r="1750" ht="38" customHeight="1">
      <c r="A1750" s="146" t="inlineStr">
        <is>
          <t>BONUS-L1-PLUS7</t>
        </is>
      </c>
      <c r="B1750" s="39" t="inlineStr">
        <is>
          <t>1 уровень</t>
        </is>
      </c>
      <c r="C1750" s="34" t="inlineStr">
        <is>
          <t>Призы не на абонементы</t>
        </is>
      </c>
      <c r="D1750" s="34" t="inlineStr">
        <is>
          <t>+7 дней к сроку действия абонемента</t>
        </is>
      </c>
      <c r="E1750" s="34" t="inlineStr">
        <is>
          <t>При покупке абонемента на 8 или 12 занятий</t>
        </is>
      </c>
      <c r="F1750" s="147" t="inlineStr">
        <is>
          <t>FW-L1-U9776-RJPCT</t>
        </is>
      </c>
      <c r="G1750" s="39" t="inlineStr">
        <is>
          <t>Не использован</t>
        </is>
      </c>
      <c r="H1750" s="148" t="n"/>
      <c r="I1750" s="34" t="str"/>
      <c r="J1750" s="34" t="str"/>
      <c r="K1750" s="130" t="n">
        <v>143</v>
      </c>
      <c r="L1750" s="43">
        <f>IF(COUNTIF($F$5:$F$2407,F1750)=1,"OK","Дубликат")</f>
        <v/>
      </c>
    </row>
    <row r="1751" ht="38" customHeight="1">
      <c r="A1751" s="146" t="inlineStr">
        <is>
          <t>BONUS-L1-PLUS7</t>
        </is>
      </c>
      <c r="B1751" s="39" t="inlineStr">
        <is>
          <t>1 уровень</t>
        </is>
      </c>
      <c r="C1751" s="34" t="inlineStr">
        <is>
          <t>Призы не на абонементы</t>
        </is>
      </c>
      <c r="D1751" s="34" t="inlineStr">
        <is>
          <t>+7 дней к сроку действия абонемента</t>
        </is>
      </c>
      <c r="E1751" s="34" t="inlineStr">
        <is>
          <t>При покупке абонемента на 8 или 12 занятий</t>
        </is>
      </c>
      <c r="F1751" s="147" t="inlineStr">
        <is>
          <t>FW-L1-7QUSL-7KSSQ</t>
        </is>
      </c>
      <c r="G1751" s="39" t="inlineStr">
        <is>
          <t>Не использован</t>
        </is>
      </c>
      <c r="H1751" s="148" t="n"/>
      <c r="I1751" s="34" t="str"/>
      <c r="J1751" s="34" t="str"/>
      <c r="K1751" s="130" t="n">
        <v>144</v>
      </c>
      <c r="L1751" s="43">
        <f>IF(COUNTIF($F$5:$F$2407,F1751)=1,"OK","Дубликат")</f>
        <v/>
      </c>
    </row>
    <row r="1752" ht="38" customHeight="1">
      <c r="A1752" s="146" t="inlineStr">
        <is>
          <t>BONUS-L1-PLUS7</t>
        </is>
      </c>
      <c r="B1752" s="39" t="inlineStr">
        <is>
          <t>1 уровень</t>
        </is>
      </c>
      <c r="C1752" s="34" t="inlineStr">
        <is>
          <t>Призы не на абонементы</t>
        </is>
      </c>
      <c r="D1752" s="34" t="inlineStr">
        <is>
          <t>+7 дней к сроку действия абонемента</t>
        </is>
      </c>
      <c r="E1752" s="34" t="inlineStr">
        <is>
          <t>При покупке абонемента на 8 или 12 занятий</t>
        </is>
      </c>
      <c r="F1752" s="147" t="inlineStr">
        <is>
          <t>FW-L1-U6J5F-RH8GL</t>
        </is>
      </c>
      <c r="G1752" s="39" t="inlineStr">
        <is>
          <t>Не использован</t>
        </is>
      </c>
      <c r="H1752" s="148" t="n"/>
      <c r="I1752" s="34" t="str"/>
      <c r="J1752" s="34" t="str"/>
      <c r="K1752" s="130" t="n">
        <v>145</v>
      </c>
      <c r="L1752" s="43">
        <f>IF(COUNTIF($F$5:$F$2407,F1752)=1,"OK","Дубликат")</f>
        <v/>
      </c>
    </row>
    <row r="1753" ht="38" customHeight="1">
      <c r="A1753" s="146" t="inlineStr">
        <is>
          <t>BONUS-L1-PLUS7</t>
        </is>
      </c>
      <c r="B1753" s="39" t="inlineStr">
        <is>
          <t>1 уровень</t>
        </is>
      </c>
      <c r="C1753" s="34" t="inlineStr">
        <is>
          <t>Призы не на абонементы</t>
        </is>
      </c>
      <c r="D1753" s="34" t="inlineStr">
        <is>
          <t>+7 дней к сроку действия абонемента</t>
        </is>
      </c>
      <c r="E1753" s="34" t="inlineStr">
        <is>
          <t>При покупке абонемента на 8 или 12 занятий</t>
        </is>
      </c>
      <c r="F1753" s="147" t="inlineStr">
        <is>
          <t>FW-L1-UFHQJ-3USHB</t>
        </is>
      </c>
      <c r="G1753" s="39" t="inlineStr">
        <is>
          <t>Не использован</t>
        </is>
      </c>
      <c r="H1753" s="148" t="n"/>
      <c r="I1753" s="34" t="str"/>
      <c r="J1753" s="34" t="str"/>
      <c r="K1753" s="130" t="n">
        <v>146</v>
      </c>
      <c r="L1753" s="43">
        <f>IF(COUNTIF($F$5:$F$2407,F1753)=1,"OK","Дубликат")</f>
        <v/>
      </c>
    </row>
    <row r="1754" ht="38" customHeight="1">
      <c r="A1754" s="146" t="inlineStr">
        <is>
          <t>BONUS-L1-PLUS7</t>
        </is>
      </c>
      <c r="B1754" s="39" t="inlineStr">
        <is>
          <t>1 уровень</t>
        </is>
      </c>
      <c r="C1754" s="34" t="inlineStr">
        <is>
          <t>Призы не на абонементы</t>
        </is>
      </c>
      <c r="D1754" s="34" t="inlineStr">
        <is>
          <t>+7 дней к сроку действия абонемента</t>
        </is>
      </c>
      <c r="E1754" s="34" t="inlineStr">
        <is>
          <t>При покупке абонемента на 8 или 12 занятий</t>
        </is>
      </c>
      <c r="F1754" s="147" t="inlineStr">
        <is>
          <t>FW-L1-HPT36-ZQ922</t>
        </is>
      </c>
      <c r="G1754" s="39" t="inlineStr">
        <is>
          <t>Не использован</t>
        </is>
      </c>
      <c r="H1754" s="148" t="n"/>
      <c r="I1754" s="34" t="str"/>
      <c r="J1754" s="34" t="str"/>
      <c r="K1754" s="130" t="n">
        <v>147</v>
      </c>
      <c r="L1754" s="43">
        <f>IF(COUNTIF($F$5:$F$2407,F1754)=1,"OK","Дубликат")</f>
        <v/>
      </c>
    </row>
    <row r="1755" ht="38" customHeight="1">
      <c r="A1755" s="146" t="inlineStr">
        <is>
          <t>BONUS-L1-PLUS7</t>
        </is>
      </c>
      <c r="B1755" s="39" t="inlineStr">
        <is>
          <t>1 уровень</t>
        </is>
      </c>
      <c r="C1755" s="34" t="inlineStr">
        <is>
          <t>Призы не на абонементы</t>
        </is>
      </c>
      <c r="D1755" s="34" t="inlineStr">
        <is>
          <t>+7 дней к сроку действия абонемента</t>
        </is>
      </c>
      <c r="E1755" s="34" t="inlineStr">
        <is>
          <t>При покупке абонемента на 8 или 12 занятий</t>
        </is>
      </c>
      <c r="F1755" s="147" t="inlineStr">
        <is>
          <t>FW-L1-Z5JAQ-8LUZ4</t>
        </is>
      </c>
      <c r="G1755" s="39" t="inlineStr">
        <is>
          <t>Не использован</t>
        </is>
      </c>
      <c r="H1755" s="148" t="n"/>
      <c r="I1755" s="34" t="str"/>
      <c r="J1755" s="34" t="str"/>
      <c r="K1755" s="130" t="n">
        <v>148</v>
      </c>
      <c r="L1755" s="43">
        <f>IF(COUNTIF($F$5:$F$2407,F1755)=1,"OK","Дубликат")</f>
        <v/>
      </c>
    </row>
    <row r="1756" ht="38" customHeight="1">
      <c r="A1756" s="146" t="inlineStr">
        <is>
          <t>BONUS-L1-PLUS7</t>
        </is>
      </c>
      <c r="B1756" s="39" t="inlineStr">
        <is>
          <t>1 уровень</t>
        </is>
      </c>
      <c r="C1756" s="34" t="inlineStr">
        <is>
          <t>Призы не на абонементы</t>
        </is>
      </c>
      <c r="D1756" s="34" t="inlineStr">
        <is>
          <t>+7 дней к сроку действия абонемента</t>
        </is>
      </c>
      <c r="E1756" s="34" t="inlineStr">
        <is>
          <t>При покупке абонемента на 8 или 12 занятий</t>
        </is>
      </c>
      <c r="F1756" s="147" t="inlineStr">
        <is>
          <t>FW-L1-X5QM5-T7ST5</t>
        </is>
      </c>
      <c r="G1756" s="39" t="inlineStr">
        <is>
          <t>Не использован</t>
        </is>
      </c>
      <c r="H1756" s="148" t="n"/>
      <c r="I1756" s="34" t="str"/>
      <c r="J1756" s="34" t="str"/>
      <c r="K1756" s="130" t="n">
        <v>149</v>
      </c>
      <c r="L1756" s="43">
        <f>IF(COUNTIF($F$5:$F$2407,F1756)=1,"OK","Дубликат")</f>
        <v/>
      </c>
    </row>
    <row r="1757" ht="38" customHeight="1">
      <c r="A1757" s="146" t="inlineStr">
        <is>
          <t>BONUS-L1-PLUS7</t>
        </is>
      </c>
      <c r="B1757" s="39" t="inlineStr">
        <is>
          <t>1 уровень</t>
        </is>
      </c>
      <c r="C1757" s="34" t="inlineStr">
        <is>
          <t>Призы не на абонементы</t>
        </is>
      </c>
      <c r="D1757" s="34" t="inlineStr">
        <is>
          <t>+7 дней к сроку действия абонемента</t>
        </is>
      </c>
      <c r="E1757" s="34" t="inlineStr">
        <is>
          <t>При покупке абонемента на 8 или 12 занятий</t>
        </is>
      </c>
      <c r="F1757" s="147" t="inlineStr">
        <is>
          <t>FW-L1-UCDLY-4CPG7</t>
        </is>
      </c>
      <c r="G1757" s="39" t="inlineStr">
        <is>
          <t>Не использован</t>
        </is>
      </c>
      <c r="H1757" s="148" t="n"/>
      <c r="I1757" s="34" t="str"/>
      <c r="J1757" s="34" t="str"/>
      <c r="K1757" s="130" t="n">
        <v>150</v>
      </c>
      <c r="L1757" s="43">
        <f>IF(COUNTIF($F$5:$F$2407,F1757)=1,"OK","Дубликат")</f>
        <v/>
      </c>
    </row>
    <row r="1758" ht="38" customHeight="1">
      <c r="A1758" s="146" t="inlineStr">
        <is>
          <t>BONUS-L1-PLUS7</t>
        </is>
      </c>
      <c r="B1758" s="39" t="inlineStr">
        <is>
          <t>1 уровень</t>
        </is>
      </c>
      <c r="C1758" s="34" t="inlineStr">
        <is>
          <t>Призы не на абонементы</t>
        </is>
      </c>
      <c r="D1758" s="34" t="inlineStr">
        <is>
          <t>+7 дней к сроку действия абонемента</t>
        </is>
      </c>
      <c r="E1758" s="34" t="inlineStr">
        <is>
          <t>При покупке абонемента на 8 или 12 занятий</t>
        </is>
      </c>
      <c r="F1758" s="147" t="inlineStr">
        <is>
          <t>FW-L1-GWYVB-BA7FH</t>
        </is>
      </c>
      <c r="G1758" s="39" t="inlineStr">
        <is>
          <t>Не использован</t>
        </is>
      </c>
      <c r="H1758" s="148" t="n"/>
      <c r="I1758" s="34" t="str"/>
      <c r="J1758" s="34" t="str"/>
      <c r="K1758" s="130" t="n">
        <v>151</v>
      </c>
      <c r="L1758" s="43">
        <f>IF(COUNTIF($F$5:$F$2407,F1758)=1,"OK","Дубликат")</f>
        <v/>
      </c>
    </row>
    <row r="1759" ht="38" customHeight="1">
      <c r="A1759" s="146" t="inlineStr">
        <is>
          <t>BONUS-L1-PLUS7</t>
        </is>
      </c>
      <c r="B1759" s="39" t="inlineStr">
        <is>
          <t>1 уровень</t>
        </is>
      </c>
      <c r="C1759" s="34" t="inlineStr">
        <is>
          <t>Призы не на абонементы</t>
        </is>
      </c>
      <c r="D1759" s="34" t="inlineStr">
        <is>
          <t>+7 дней к сроку действия абонемента</t>
        </is>
      </c>
      <c r="E1759" s="34" t="inlineStr">
        <is>
          <t>При покупке абонемента на 8 или 12 занятий</t>
        </is>
      </c>
      <c r="F1759" s="147" t="inlineStr">
        <is>
          <t>FW-L1-ZL8BF-2FYUY</t>
        </is>
      </c>
      <c r="G1759" s="39" t="inlineStr">
        <is>
          <t>Не использован</t>
        </is>
      </c>
      <c r="H1759" s="148" t="n"/>
      <c r="I1759" s="34" t="str"/>
      <c r="J1759" s="34" t="str"/>
      <c r="K1759" s="130" t="n">
        <v>152</v>
      </c>
      <c r="L1759" s="43">
        <f>IF(COUNTIF($F$5:$F$2407,F1759)=1,"OK","Дубликат")</f>
        <v/>
      </c>
    </row>
    <row r="1760" ht="38" customHeight="1">
      <c r="A1760" s="146" t="inlineStr">
        <is>
          <t>BONUS-L1-PLUS7</t>
        </is>
      </c>
      <c r="B1760" s="39" t="inlineStr">
        <is>
          <t>1 уровень</t>
        </is>
      </c>
      <c r="C1760" s="34" t="inlineStr">
        <is>
          <t>Призы не на абонементы</t>
        </is>
      </c>
      <c r="D1760" s="34" t="inlineStr">
        <is>
          <t>+7 дней к сроку действия абонемента</t>
        </is>
      </c>
      <c r="E1760" s="34" t="inlineStr">
        <is>
          <t>При покупке абонемента на 8 или 12 занятий</t>
        </is>
      </c>
      <c r="F1760" s="147" t="inlineStr">
        <is>
          <t>FW-L1-D95UH-DVQTR</t>
        </is>
      </c>
      <c r="G1760" s="39" t="inlineStr">
        <is>
          <t>Не использован</t>
        </is>
      </c>
      <c r="H1760" s="148" t="n"/>
      <c r="I1760" s="34" t="str"/>
      <c r="J1760" s="34" t="str"/>
      <c r="K1760" s="130" t="n">
        <v>153</v>
      </c>
      <c r="L1760" s="43">
        <f>IF(COUNTIF($F$5:$F$2407,F1760)=1,"OK","Дубликат")</f>
        <v/>
      </c>
    </row>
    <row r="1761" ht="38" customHeight="1">
      <c r="A1761" s="146" t="inlineStr">
        <is>
          <t>BONUS-L1-PLUS7</t>
        </is>
      </c>
      <c r="B1761" s="39" t="inlineStr">
        <is>
          <t>1 уровень</t>
        </is>
      </c>
      <c r="C1761" s="34" t="inlineStr">
        <is>
          <t>Призы не на абонементы</t>
        </is>
      </c>
      <c r="D1761" s="34" t="inlineStr">
        <is>
          <t>+7 дней к сроку действия абонемента</t>
        </is>
      </c>
      <c r="E1761" s="34" t="inlineStr">
        <is>
          <t>При покупке абонемента на 8 или 12 занятий</t>
        </is>
      </c>
      <c r="F1761" s="147" t="inlineStr">
        <is>
          <t>FW-L1-T7EXC-G5NSK</t>
        </is>
      </c>
      <c r="G1761" s="39" t="inlineStr">
        <is>
          <t>Не использован</t>
        </is>
      </c>
      <c r="H1761" s="148" t="n"/>
      <c r="I1761" s="34" t="str"/>
      <c r="J1761" s="34" t="str"/>
      <c r="K1761" s="130" t="n">
        <v>154</v>
      </c>
      <c r="L1761" s="43">
        <f>IF(COUNTIF($F$5:$F$2407,F1761)=1,"OK","Дубликат")</f>
        <v/>
      </c>
    </row>
    <row r="1762" ht="38" customHeight="1">
      <c r="A1762" s="146" t="inlineStr">
        <is>
          <t>BONUS-L1-PLUS7</t>
        </is>
      </c>
      <c r="B1762" s="39" t="inlineStr">
        <is>
          <t>1 уровень</t>
        </is>
      </c>
      <c r="C1762" s="34" t="inlineStr">
        <is>
          <t>Призы не на абонементы</t>
        </is>
      </c>
      <c r="D1762" s="34" t="inlineStr">
        <is>
          <t>+7 дней к сроку действия абонемента</t>
        </is>
      </c>
      <c r="E1762" s="34" t="inlineStr">
        <is>
          <t>При покупке абонемента на 8 или 12 занятий</t>
        </is>
      </c>
      <c r="F1762" s="147" t="inlineStr">
        <is>
          <t>FW-L1-FTHYU-823VN</t>
        </is>
      </c>
      <c r="G1762" s="39" t="inlineStr">
        <is>
          <t>Не использован</t>
        </is>
      </c>
      <c r="H1762" s="148" t="n"/>
      <c r="I1762" s="34" t="str"/>
      <c r="J1762" s="34" t="str"/>
      <c r="K1762" s="130" t="n">
        <v>155</v>
      </c>
      <c r="L1762" s="43">
        <f>IF(COUNTIF($F$5:$F$2407,F1762)=1,"OK","Дубликат")</f>
        <v/>
      </c>
    </row>
    <row r="1763" ht="38" customHeight="1">
      <c r="A1763" s="146" t="inlineStr">
        <is>
          <t>BONUS-L1-PLUS7</t>
        </is>
      </c>
      <c r="B1763" s="39" t="inlineStr">
        <is>
          <t>1 уровень</t>
        </is>
      </c>
      <c r="C1763" s="34" t="inlineStr">
        <is>
          <t>Призы не на абонементы</t>
        </is>
      </c>
      <c r="D1763" s="34" t="inlineStr">
        <is>
          <t>+7 дней к сроку действия абонемента</t>
        </is>
      </c>
      <c r="E1763" s="34" t="inlineStr">
        <is>
          <t>При покупке абонемента на 8 или 12 занятий</t>
        </is>
      </c>
      <c r="F1763" s="147" t="inlineStr">
        <is>
          <t>FW-L1-925W5-R55ZP</t>
        </is>
      </c>
      <c r="G1763" s="39" t="inlineStr">
        <is>
          <t>Не использован</t>
        </is>
      </c>
      <c r="H1763" s="148" t="n"/>
      <c r="I1763" s="34" t="str"/>
      <c r="J1763" s="34" t="str"/>
      <c r="K1763" s="130" t="n">
        <v>156</v>
      </c>
      <c r="L1763" s="43">
        <f>IF(COUNTIF($F$5:$F$2407,F1763)=1,"OK","Дубликат")</f>
        <v/>
      </c>
    </row>
    <row r="1764" ht="38" customHeight="1">
      <c r="A1764" s="146" t="inlineStr">
        <is>
          <t>BONUS-L1-PLUS7</t>
        </is>
      </c>
      <c r="B1764" s="39" t="inlineStr">
        <is>
          <t>1 уровень</t>
        </is>
      </c>
      <c r="C1764" s="34" t="inlineStr">
        <is>
          <t>Призы не на абонементы</t>
        </is>
      </c>
      <c r="D1764" s="34" t="inlineStr">
        <is>
          <t>+7 дней к сроку действия абонемента</t>
        </is>
      </c>
      <c r="E1764" s="34" t="inlineStr">
        <is>
          <t>При покупке абонемента на 8 или 12 занятий</t>
        </is>
      </c>
      <c r="F1764" s="147" t="inlineStr">
        <is>
          <t>FW-L1-Q4PW6-N6XZN</t>
        </is>
      </c>
      <c r="G1764" s="39" t="inlineStr">
        <is>
          <t>Не использован</t>
        </is>
      </c>
      <c r="H1764" s="148" t="n"/>
      <c r="I1764" s="34" t="str"/>
      <c r="J1764" s="34" t="str"/>
      <c r="K1764" s="130" t="n">
        <v>157</v>
      </c>
      <c r="L1764" s="43">
        <f>IF(COUNTIF($F$5:$F$2407,F1764)=1,"OK","Дубликат")</f>
        <v/>
      </c>
    </row>
    <row r="1765" ht="38" customHeight="1">
      <c r="A1765" s="146" t="inlineStr">
        <is>
          <t>BONUS-L1-PLUS7</t>
        </is>
      </c>
      <c r="B1765" s="39" t="inlineStr">
        <is>
          <t>1 уровень</t>
        </is>
      </c>
      <c r="C1765" s="34" t="inlineStr">
        <is>
          <t>Призы не на абонементы</t>
        </is>
      </c>
      <c r="D1765" s="34" t="inlineStr">
        <is>
          <t>+7 дней к сроку действия абонемента</t>
        </is>
      </c>
      <c r="E1765" s="34" t="inlineStr">
        <is>
          <t>При покупке абонемента на 8 или 12 занятий</t>
        </is>
      </c>
      <c r="F1765" s="147" t="inlineStr">
        <is>
          <t>FW-L1-4XDRX-U5S7J</t>
        </is>
      </c>
      <c r="G1765" s="39" t="inlineStr">
        <is>
          <t>Не использован</t>
        </is>
      </c>
      <c r="H1765" s="148" t="n"/>
      <c r="I1765" s="34" t="str"/>
      <c r="J1765" s="34" t="str"/>
      <c r="K1765" s="130" t="n">
        <v>158</v>
      </c>
      <c r="L1765" s="43">
        <f>IF(COUNTIF($F$5:$F$2407,F1765)=1,"OK","Дубликат")</f>
        <v/>
      </c>
    </row>
    <row r="1766" ht="38" customHeight="1">
      <c r="A1766" s="146" t="inlineStr">
        <is>
          <t>BONUS-L1-PLUS7</t>
        </is>
      </c>
      <c r="B1766" s="39" t="inlineStr">
        <is>
          <t>1 уровень</t>
        </is>
      </c>
      <c r="C1766" s="34" t="inlineStr">
        <is>
          <t>Призы не на абонементы</t>
        </is>
      </c>
      <c r="D1766" s="34" t="inlineStr">
        <is>
          <t>+7 дней к сроку действия абонемента</t>
        </is>
      </c>
      <c r="E1766" s="34" t="inlineStr">
        <is>
          <t>При покупке абонемента на 8 или 12 занятий</t>
        </is>
      </c>
      <c r="F1766" s="147" t="inlineStr">
        <is>
          <t>FW-L1-AZGTR-SRSFM</t>
        </is>
      </c>
      <c r="G1766" s="39" t="inlineStr">
        <is>
          <t>Не использован</t>
        </is>
      </c>
      <c r="H1766" s="148" t="n"/>
      <c r="I1766" s="34" t="str"/>
      <c r="J1766" s="34" t="str"/>
      <c r="K1766" s="130" t="n">
        <v>159</v>
      </c>
      <c r="L1766" s="43">
        <f>IF(COUNTIF($F$5:$F$2407,F1766)=1,"OK","Дубликат")</f>
        <v/>
      </c>
    </row>
    <row r="1767" ht="38" customHeight="1">
      <c r="A1767" s="146" t="inlineStr">
        <is>
          <t>BONUS-L1-PLUS7</t>
        </is>
      </c>
      <c r="B1767" s="39" t="inlineStr">
        <is>
          <t>1 уровень</t>
        </is>
      </c>
      <c r="C1767" s="34" t="inlineStr">
        <is>
          <t>Призы не на абонементы</t>
        </is>
      </c>
      <c r="D1767" s="34" t="inlineStr">
        <is>
          <t>+7 дней к сроку действия абонемента</t>
        </is>
      </c>
      <c r="E1767" s="34" t="inlineStr">
        <is>
          <t>При покупке абонемента на 8 или 12 занятий</t>
        </is>
      </c>
      <c r="F1767" s="147" t="inlineStr">
        <is>
          <t>FW-L1-WJYZM-XUX5Y</t>
        </is>
      </c>
      <c r="G1767" s="39" t="inlineStr">
        <is>
          <t>Не использован</t>
        </is>
      </c>
      <c r="H1767" s="148" t="n"/>
      <c r="I1767" s="34" t="str"/>
      <c r="J1767" s="34" t="str"/>
      <c r="K1767" s="130" t="n">
        <v>160</v>
      </c>
      <c r="L1767" s="43">
        <f>IF(COUNTIF($F$5:$F$2407,F1767)=1,"OK","Дубликат")</f>
        <v/>
      </c>
    </row>
    <row r="1768" ht="38" customHeight="1">
      <c r="A1768" s="146" t="inlineStr">
        <is>
          <t>BONUS-L1-PLUS7</t>
        </is>
      </c>
      <c r="B1768" s="39" t="inlineStr">
        <is>
          <t>1 уровень</t>
        </is>
      </c>
      <c r="C1768" s="34" t="inlineStr">
        <is>
          <t>Призы не на абонементы</t>
        </is>
      </c>
      <c r="D1768" s="34" t="inlineStr">
        <is>
          <t>+7 дней к сроку действия абонемента</t>
        </is>
      </c>
      <c r="E1768" s="34" t="inlineStr">
        <is>
          <t>При покупке абонемента на 8 или 12 занятий</t>
        </is>
      </c>
      <c r="F1768" s="147" t="inlineStr">
        <is>
          <t>FW-L1-3JSX9-MRJPQ</t>
        </is>
      </c>
      <c r="G1768" s="39" t="inlineStr">
        <is>
          <t>Не использован</t>
        </is>
      </c>
      <c r="H1768" s="148" t="n"/>
      <c r="I1768" s="34" t="str"/>
      <c r="J1768" s="34" t="str"/>
      <c r="K1768" s="130" t="n">
        <v>161</v>
      </c>
      <c r="L1768" s="43">
        <f>IF(COUNTIF($F$5:$F$2407,F1768)=1,"OK","Дубликат")</f>
        <v/>
      </c>
    </row>
    <row r="1769" ht="38" customHeight="1">
      <c r="A1769" s="146" t="inlineStr">
        <is>
          <t>BONUS-L1-PLUS7</t>
        </is>
      </c>
      <c r="B1769" s="39" t="inlineStr">
        <is>
          <t>1 уровень</t>
        </is>
      </c>
      <c r="C1769" s="34" t="inlineStr">
        <is>
          <t>Призы не на абонементы</t>
        </is>
      </c>
      <c r="D1769" s="34" t="inlineStr">
        <is>
          <t>+7 дней к сроку действия абонемента</t>
        </is>
      </c>
      <c r="E1769" s="34" t="inlineStr">
        <is>
          <t>При покупке абонемента на 8 или 12 занятий</t>
        </is>
      </c>
      <c r="F1769" s="147" t="inlineStr">
        <is>
          <t>FW-L1-CTEXQ-92S37</t>
        </is>
      </c>
      <c r="G1769" s="39" t="inlineStr">
        <is>
          <t>Не использован</t>
        </is>
      </c>
      <c r="H1769" s="148" t="n"/>
      <c r="I1769" s="34" t="str"/>
      <c r="J1769" s="34" t="str"/>
      <c r="K1769" s="130" t="n">
        <v>162</v>
      </c>
      <c r="L1769" s="43">
        <f>IF(COUNTIF($F$5:$F$2407,F1769)=1,"OK","Дубликат")</f>
        <v/>
      </c>
    </row>
    <row r="1770" ht="38" customHeight="1">
      <c r="A1770" s="146" t="inlineStr">
        <is>
          <t>BONUS-L1-PLUS7</t>
        </is>
      </c>
      <c r="B1770" s="39" t="inlineStr">
        <is>
          <t>1 уровень</t>
        </is>
      </c>
      <c r="C1770" s="34" t="inlineStr">
        <is>
          <t>Призы не на абонементы</t>
        </is>
      </c>
      <c r="D1770" s="34" t="inlineStr">
        <is>
          <t>+7 дней к сроку действия абонемента</t>
        </is>
      </c>
      <c r="E1770" s="34" t="inlineStr">
        <is>
          <t>При покупке абонемента на 8 или 12 занятий</t>
        </is>
      </c>
      <c r="F1770" s="147" t="inlineStr">
        <is>
          <t>FW-L1-747DL-R7K2P</t>
        </is>
      </c>
      <c r="G1770" s="39" t="inlineStr">
        <is>
          <t>Не использован</t>
        </is>
      </c>
      <c r="H1770" s="148" t="n"/>
      <c r="I1770" s="34" t="str"/>
      <c r="J1770" s="34" t="str"/>
      <c r="K1770" s="130" t="n">
        <v>163</v>
      </c>
      <c r="L1770" s="43">
        <f>IF(COUNTIF($F$5:$F$2407,F1770)=1,"OK","Дубликат")</f>
        <v/>
      </c>
    </row>
    <row r="1771" ht="38" customHeight="1">
      <c r="A1771" s="146" t="inlineStr">
        <is>
          <t>BONUS-L1-PLUS7</t>
        </is>
      </c>
      <c r="B1771" s="39" t="inlineStr">
        <is>
          <t>1 уровень</t>
        </is>
      </c>
      <c r="C1771" s="34" t="inlineStr">
        <is>
          <t>Призы не на абонементы</t>
        </is>
      </c>
      <c r="D1771" s="34" t="inlineStr">
        <is>
          <t>+7 дней к сроку действия абонемента</t>
        </is>
      </c>
      <c r="E1771" s="34" t="inlineStr">
        <is>
          <t>При покупке абонемента на 8 или 12 занятий</t>
        </is>
      </c>
      <c r="F1771" s="147" t="inlineStr">
        <is>
          <t>FW-L1-A4FVL-S4UVF</t>
        </is>
      </c>
      <c r="G1771" s="39" t="inlineStr">
        <is>
          <t>Не использован</t>
        </is>
      </c>
      <c r="H1771" s="148" t="n"/>
      <c r="I1771" s="34" t="str"/>
      <c r="J1771" s="34" t="str"/>
      <c r="K1771" s="130" t="n">
        <v>164</v>
      </c>
      <c r="L1771" s="43">
        <f>IF(COUNTIF($F$5:$F$2407,F1771)=1,"OK","Дубликат")</f>
        <v/>
      </c>
    </row>
    <row r="1772" ht="38" customHeight="1">
      <c r="A1772" s="146" t="inlineStr">
        <is>
          <t>BONUS-L1-PLUS7</t>
        </is>
      </c>
      <c r="B1772" s="39" t="inlineStr">
        <is>
          <t>1 уровень</t>
        </is>
      </c>
      <c r="C1772" s="34" t="inlineStr">
        <is>
          <t>Призы не на абонементы</t>
        </is>
      </c>
      <c r="D1772" s="34" t="inlineStr">
        <is>
          <t>+7 дней к сроку действия абонемента</t>
        </is>
      </c>
      <c r="E1772" s="34" t="inlineStr">
        <is>
          <t>При покупке абонемента на 8 или 12 занятий</t>
        </is>
      </c>
      <c r="F1772" s="147" t="inlineStr">
        <is>
          <t>FW-L1-ZRRES-TTZ5G</t>
        </is>
      </c>
      <c r="G1772" s="39" t="inlineStr">
        <is>
          <t>Не использован</t>
        </is>
      </c>
      <c r="H1772" s="148" t="n"/>
      <c r="I1772" s="34" t="str"/>
      <c r="J1772" s="34" t="str"/>
      <c r="K1772" s="130" t="n">
        <v>165</v>
      </c>
      <c r="L1772" s="43">
        <f>IF(COUNTIF($F$5:$F$2407,F1772)=1,"OK","Дубликат")</f>
        <v/>
      </c>
    </row>
    <row r="1773" ht="38" customHeight="1">
      <c r="A1773" s="146" t="inlineStr">
        <is>
          <t>BONUS-L1-PLUS7</t>
        </is>
      </c>
      <c r="B1773" s="39" t="inlineStr">
        <is>
          <t>1 уровень</t>
        </is>
      </c>
      <c r="C1773" s="34" t="inlineStr">
        <is>
          <t>Призы не на абонементы</t>
        </is>
      </c>
      <c r="D1773" s="34" t="inlineStr">
        <is>
          <t>+7 дней к сроку действия абонемента</t>
        </is>
      </c>
      <c r="E1773" s="34" t="inlineStr">
        <is>
          <t>При покупке абонемента на 8 или 12 занятий</t>
        </is>
      </c>
      <c r="F1773" s="147" t="inlineStr">
        <is>
          <t>FW-L1-9PWWD-LYA6C</t>
        </is>
      </c>
      <c r="G1773" s="39" t="inlineStr">
        <is>
          <t>Не использован</t>
        </is>
      </c>
      <c r="H1773" s="148" t="n"/>
      <c r="I1773" s="34" t="str"/>
      <c r="J1773" s="34" t="str"/>
      <c r="K1773" s="130" t="n">
        <v>166</v>
      </c>
      <c r="L1773" s="43">
        <f>IF(COUNTIF($F$5:$F$2407,F1773)=1,"OK","Дубликат")</f>
        <v/>
      </c>
    </row>
    <row r="1774" ht="38" customHeight="1">
      <c r="A1774" s="146" t="inlineStr">
        <is>
          <t>BONUS-L1-PLUS7</t>
        </is>
      </c>
      <c r="B1774" s="39" t="inlineStr">
        <is>
          <t>1 уровень</t>
        </is>
      </c>
      <c r="C1774" s="34" t="inlineStr">
        <is>
          <t>Призы не на абонементы</t>
        </is>
      </c>
      <c r="D1774" s="34" t="inlineStr">
        <is>
          <t>+7 дней к сроку действия абонемента</t>
        </is>
      </c>
      <c r="E1774" s="34" t="inlineStr">
        <is>
          <t>При покупке абонемента на 8 или 12 занятий</t>
        </is>
      </c>
      <c r="F1774" s="147" t="inlineStr">
        <is>
          <t>FW-L1-RKHAL-LX4JH</t>
        </is>
      </c>
      <c r="G1774" s="39" t="inlineStr">
        <is>
          <t>Не использован</t>
        </is>
      </c>
      <c r="H1774" s="148" t="n"/>
      <c r="I1774" s="34" t="str"/>
      <c r="J1774" s="34" t="str"/>
      <c r="K1774" s="130" t="n">
        <v>167</v>
      </c>
      <c r="L1774" s="43">
        <f>IF(COUNTIF($F$5:$F$2407,F1774)=1,"OK","Дубликат")</f>
        <v/>
      </c>
    </row>
    <row r="1775" ht="38" customHeight="1">
      <c r="A1775" s="146" t="inlineStr">
        <is>
          <t>BONUS-L1-PLUS7</t>
        </is>
      </c>
      <c r="B1775" s="39" t="inlineStr">
        <is>
          <t>1 уровень</t>
        </is>
      </c>
      <c r="C1775" s="34" t="inlineStr">
        <is>
          <t>Призы не на абонементы</t>
        </is>
      </c>
      <c r="D1775" s="34" t="inlineStr">
        <is>
          <t>+7 дней к сроку действия абонемента</t>
        </is>
      </c>
      <c r="E1775" s="34" t="inlineStr">
        <is>
          <t>При покупке абонемента на 8 или 12 занятий</t>
        </is>
      </c>
      <c r="F1775" s="147" t="inlineStr">
        <is>
          <t>FW-L1-2ZU6T-A3DNR</t>
        </is>
      </c>
      <c r="G1775" s="39" t="inlineStr">
        <is>
          <t>Не использован</t>
        </is>
      </c>
      <c r="H1775" s="148" t="n"/>
      <c r="I1775" s="34" t="str"/>
      <c r="J1775" s="34" t="str"/>
      <c r="K1775" s="130" t="n">
        <v>168</v>
      </c>
      <c r="L1775" s="43">
        <f>IF(COUNTIF($F$5:$F$2407,F1775)=1,"OK","Дубликат")</f>
        <v/>
      </c>
    </row>
    <row r="1776" ht="38" customHeight="1">
      <c r="A1776" s="146" t="inlineStr">
        <is>
          <t>BONUS-L1-PLUS7</t>
        </is>
      </c>
      <c r="B1776" s="39" t="inlineStr">
        <is>
          <t>1 уровень</t>
        </is>
      </c>
      <c r="C1776" s="34" t="inlineStr">
        <is>
          <t>Призы не на абонементы</t>
        </is>
      </c>
      <c r="D1776" s="34" t="inlineStr">
        <is>
          <t>+7 дней к сроку действия абонемента</t>
        </is>
      </c>
      <c r="E1776" s="34" t="inlineStr">
        <is>
          <t>При покупке абонемента на 8 или 12 занятий</t>
        </is>
      </c>
      <c r="F1776" s="147" t="inlineStr">
        <is>
          <t>FW-L1-YMF4S-RKLT5</t>
        </is>
      </c>
      <c r="G1776" s="39" t="inlineStr">
        <is>
          <t>Не использован</t>
        </is>
      </c>
      <c r="H1776" s="148" t="n"/>
      <c r="I1776" s="34" t="str"/>
      <c r="J1776" s="34" t="str"/>
      <c r="K1776" s="130" t="n">
        <v>169</v>
      </c>
      <c r="L1776" s="43">
        <f>IF(COUNTIF($F$5:$F$2407,F1776)=1,"OK","Дубликат")</f>
        <v/>
      </c>
    </row>
    <row r="1777" ht="38" customHeight="1">
      <c r="A1777" s="146" t="inlineStr">
        <is>
          <t>BONUS-L1-PLUS7</t>
        </is>
      </c>
      <c r="B1777" s="39" t="inlineStr">
        <is>
          <t>1 уровень</t>
        </is>
      </c>
      <c r="C1777" s="34" t="inlineStr">
        <is>
          <t>Призы не на абонементы</t>
        </is>
      </c>
      <c r="D1777" s="34" t="inlineStr">
        <is>
          <t>+7 дней к сроку действия абонемента</t>
        </is>
      </c>
      <c r="E1777" s="34" t="inlineStr">
        <is>
          <t>При покупке абонемента на 8 или 12 занятий</t>
        </is>
      </c>
      <c r="F1777" s="147" t="inlineStr">
        <is>
          <t>FW-L1-NBMFA-EHPFC</t>
        </is>
      </c>
      <c r="G1777" s="39" t="inlineStr">
        <is>
          <t>Не использован</t>
        </is>
      </c>
      <c r="H1777" s="148" t="n"/>
      <c r="I1777" s="34" t="str"/>
      <c r="J1777" s="34" t="str"/>
      <c r="K1777" s="130" t="n">
        <v>170</v>
      </c>
      <c r="L1777" s="43">
        <f>IF(COUNTIF($F$5:$F$2407,F1777)=1,"OK","Дубликат")</f>
        <v/>
      </c>
    </row>
    <row r="1778" ht="38" customHeight="1">
      <c r="A1778" s="146" t="inlineStr">
        <is>
          <t>BONUS-L1-PLUS7</t>
        </is>
      </c>
      <c r="B1778" s="39" t="inlineStr">
        <is>
          <t>1 уровень</t>
        </is>
      </c>
      <c r="C1778" s="34" t="inlineStr">
        <is>
          <t>Призы не на абонементы</t>
        </is>
      </c>
      <c r="D1778" s="34" t="inlineStr">
        <is>
          <t>+7 дней к сроку действия абонемента</t>
        </is>
      </c>
      <c r="E1778" s="34" t="inlineStr">
        <is>
          <t>При покупке абонемента на 8 или 12 занятий</t>
        </is>
      </c>
      <c r="F1778" s="147" t="inlineStr">
        <is>
          <t>FW-L1-XUXXH-K6KGQ</t>
        </is>
      </c>
      <c r="G1778" s="39" t="inlineStr">
        <is>
          <t>Не использован</t>
        </is>
      </c>
      <c r="H1778" s="148" t="n"/>
      <c r="I1778" s="34" t="str"/>
      <c r="J1778" s="34" t="str"/>
      <c r="K1778" s="130" t="n">
        <v>171</v>
      </c>
      <c r="L1778" s="43">
        <f>IF(COUNTIF($F$5:$F$2407,F1778)=1,"OK","Дубликат")</f>
        <v/>
      </c>
    </row>
    <row r="1779" ht="38" customHeight="1">
      <c r="A1779" s="146" t="inlineStr">
        <is>
          <t>BONUS-L1-PLUS7</t>
        </is>
      </c>
      <c r="B1779" s="39" t="inlineStr">
        <is>
          <t>1 уровень</t>
        </is>
      </c>
      <c r="C1779" s="34" t="inlineStr">
        <is>
          <t>Призы не на абонементы</t>
        </is>
      </c>
      <c r="D1779" s="34" t="inlineStr">
        <is>
          <t>+7 дней к сроку действия абонемента</t>
        </is>
      </c>
      <c r="E1779" s="34" t="inlineStr">
        <is>
          <t>При покупке абонемента на 8 или 12 занятий</t>
        </is>
      </c>
      <c r="F1779" s="147" t="inlineStr">
        <is>
          <t>FW-L1-6L6CL-E45KR</t>
        </is>
      </c>
      <c r="G1779" s="39" t="inlineStr">
        <is>
          <t>Не использован</t>
        </is>
      </c>
      <c r="H1779" s="148" t="n"/>
      <c r="I1779" s="34" t="str"/>
      <c r="J1779" s="34" t="str"/>
      <c r="K1779" s="130" t="n">
        <v>172</v>
      </c>
      <c r="L1779" s="43">
        <f>IF(COUNTIF($F$5:$F$2407,F1779)=1,"OK","Дубликат")</f>
        <v/>
      </c>
    </row>
    <row r="1780" ht="38" customHeight="1">
      <c r="A1780" s="146" t="inlineStr">
        <is>
          <t>BONUS-L1-PLUS7</t>
        </is>
      </c>
      <c r="B1780" s="39" t="inlineStr">
        <is>
          <t>1 уровень</t>
        </is>
      </c>
      <c r="C1780" s="34" t="inlineStr">
        <is>
          <t>Призы не на абонементы</t>
        </is>
      </c>
      <c r="D1780" s="34" t="inlineStr">
        <is>
          <t>+7 дней к сроку действия абонемента</t>
        </is>
      </c>
      <c r="E1780" s="34" t="inlineStr">
        <is>
          <t>При покупке абонемента на 8 или 12 занятий</t>
        </is>
      </c>
      <c r="F1780" s="147" t="inlineStr">
        <is>
          <t>FW-L1-H76D9-4VWFU</t>
        </is>
      </c>
      <c r="G1780" s="39" t="inlineStr">
        <is>
          <t>Не использован</t>
        </is>
      </c>
      <c r="H1780" s="148" t="n"/>
      <c r="I1780" s="34" t="str"/>
      <c r="J1780" s="34" t="str"/>
      <c r="K1780" s="130" t="n">
        <v>173</v>
      </c>
      <c r="L1780" s="43">
        <f>IF(COUNTIF($F$5:$F$2407,F1780)=1,"OK","Дубликат")</f>
        <v/>
      </c>
    </row>
    <row r="1781" ht="38" customHeight="1">
      <c r="A1781" s="146" t="inlineStr">
        <is>
          <t>BONUS-L1-PLUS7</t>
        </is>
      </c>
      <c r="B1781" s="39" t="inlineStr">
        <is>
          <t>1 уровень</t>
        </is>
      </c>
      <c r="C1781" s="34" t="inlineStr">
        <is>
          <t>Призы не на абонементы</t>
        </is>
      </c>
      <c r="D1781" s="34" t="inlineStr">
        <is>
          <t>+7 дней к сроку действия абонемента</t>
        </is>
      </c>
      <c r="E1781" s="34" t="inlineStr">
        <is>
          <t>При покупке абонемента на 8 или 12 занятий</t>
        </is>
      </c>
      <c r="F1781" s="147" t="inlineStr">
        <is>
          <t>FW-L1-XW993-2R663</t>
        </is>
      </c>
      <c r="G1781" s="39" t="inlineStr">
        <is>
          <t>Не использован</t>
        </is>
      </c>
      <c r="H1781" s="148" t="n"/>
      <c r="I1781" s="34" t="str"/>
      <c r="J1781" s="34" t="str"/>
      <c r="K1781" s="130" t="n">
        <v>174</v>
      </c>
      <c r="L1781" s="43">
        <f>IF(COUNTIF($F$5:$F$2407,F1781)=1,"OK","Дубликат")</f>
        <v/>
      </c>
    </row>
    <row r="1782" ht="38" customHeight="1">
      <c r="A1782" s="146" t="inlineStr">
        <is>
          <t>BONUS-L1-PLUS7</t>
        </is>
      </c>
      <c r="B1782" s="39" t="inlineStr">
        <is>
          <t>1 уровень</t>
        </is>
      </c>
      <c r="C1782" s="34" t="inlineStr">
        <is>
          <t>Призы не на абонементы</t>
        </is>
      </c>
      <c r="D1782" s="34" t="inlineStr">
        <is>
          <t>+7 дней к сроку действия абонемента</t>
        </is>
      </c>
      <c r="E1782" s="34" t="inlineStr">
        <is>
          <t>При покупке абонемента на 8 или 12 занятий</t>
        </is>
      </c>
      <c r="F1782" s="147" t="inlineStr">
        <is>
          <t>FW-L1-7NYQD-R46YD</t>
        </is>
      </c>
      <c r="G1782" s="39" t="inlineStr">
        <is>
          <t>Не использован</t>
        </is>
      </c>
      <c r="H1782" s="148" t="n"/>
      <c r="I1782" s="34" t="str"/>
      <c r="J1782" s="34" t="str"/>
      <c r="K1782" s="130" t="n">
        <v>175</v>
      </c>
      <c r="L1782" s="43">
        <f>IF(COUNTIF($F$5:$F$2407,F1782)=1,"OK","Дубликат")</f>
        <v/>
      </c>
    </row>
    <row r="1783" ht="38" customHeight="1">
      <c r="A1783" s="146" t="inlineStr">
        <is>
          <t>BONUS-L1-PLUS7</t>
        </is>
      </c>
      <c r="B1783" s="39" t="inlineStr">
        <is>
          <t>1 уровень</t>
        </is>
      </c>
      <c r="C1783" s="34" t="inlineStr">
        <is>
          <t>Призы не на абонементы</t>
        </is>
      </c>
      <c r="D1783" s="34" t="inlineStr">
        <is>
          <t>+7 дней к сроку действия абонемента</t>
        </is>
      </c>
      <c r="E1783" s="34" t="inlineStr">
        <is>
          <t>При покупке абонемента на 8 или 12 занятий</t>
        </is>
      </c>
      <c r="F1783" s="147" t="inlineStr">
        <is>
          <t>FW-L1-EM7JQ-MTK3R</t>
        </is>
      </c>
      <c r="G1783" s="39" t="inlineStr">
        <is>
          <t>Не использован</t>
        </is>
      </c>
      <c r="H1783" s="148" t="n"/>
      <c r="I1783" s="34" t="str"/>
      <c r="J1783" s="34" t="str"/>
      <c r="K1783" s="130" t="n">
        <v>176</v>
      </c>
      <c r="L1783" s="43">
        <f>IF(COUNTIF($F$5:$F$2407,F1783)=1,"OK","Дубликат")</f>
        <v/>
      </c>
    </row>
    <row r="1784" ht="38" customHeight="1">
      <c r="A1784" s="146" t="inlineStr">
        <is>
          <t>BONUS-L1-PLUS7</t>
        </is>
      </c>
      <c r="B1784" s="39" t="inlineStr">
        <is>
          <t>1 уровень</t>
        </is>
      </c>
      <c r="C1784" s="34" t="inlineStr">
        <is>
          <t>Призы не на абонементы</t>
        </is>
      </c>
      <c r="D1784" s="34" t="inlineStr">
        <is>
          <t>+7 дней к сроку действия абонемента</t>
        </is>
      </c>
      <c r="E1784" s="34" t="inlineStr">
        <is>
          <t>При покупке абонемента на 8 или 12 занятий</t>
        </is>
      </c>
      <c r="F1784" s="147" t="inlineStr">
        <is>
          <t>FW-L1-SFUEM-FUBDK</t>
        </is>
      </c>
      <c r="G1784" s="39" t="inlineStr">
        <is>
          <t>Не использован</t>
        </is>
      </c>
      <c r="H1784" s="148" t="n"/>
      <c r="I1784" s="34" t="str"/>
      <c r="J1784" s="34" t="str"/>
      <c r="K1784" s="130" t="n">
        <v>177</v>
      </c>
      <c r="L1784" s="43">
        <f>IF(COUNTIF($F$5:$F$2407,F1784)=1,"OK","Дубликат")</f>
        <v/>
      </c>
    </row>
    <row r="1785" ht="38" customHeight="1">
      <c r="A1785" s="146" t="inlineStr">
        <is>
          <t>BONUS-L1-PLUS7</t>
        </is>
      </c>
      <c r="B1785" s="39" t="inlineStr">
        <is>
          <t>1 уровень</t>
        </is>
      </c>
      <c r="C1785" s="34" t="inlineStr">
        <is>
          <t>Призы не на абонементы</t>
        </is>
      </c>
      <c r="D1785" s="34" t="inlineStr">
        <is>
          <t>+7 дней к сроку действия абонемента</t>
        </is>
      </c>
      <c r="E1785" s="34" t="inlineStr">
        <is>
          <t>При покупке абонемента на 8 или 12 занятий</t>
        </is>
      </c>
      <c r="F1785" s="147" t="inlineStr">
        <is>
          <t>FW-L1-ATKA9-L9X5Z</t>
        </is>
      </c>
      <c r="G1785" s="39" t="inlineStr">
        <is>
          <t>Не использован</t>
        </is>
      </c>
      <c r="H1785" s="148" t="n"/>
      <c r="I1785" s="34" t="str"/>
      <c r="J1785" s="34" t="str"/>
      <c r="K1785" s="130" t="n">
        <v>178</v>
      </c>
      <c r="L1785" s="43">
        <f>IF(COUNTIF($F$5:$F$2407,F1785)=1,"OK","Дубликат")</f>
        <v/>
      </c>
    </row>
    <row r="1786" ht="38" customHeight="1">
      <c r="A1786" s="146" t="inlineStr">
        <is>
          <t>BONUS-L1-PLUS7</t>
        </is>
      </c>
      <c r="B1786" s="39" t="inlineStr">
        <is>
          <t>1 уровень</t>
        </is>
      </c>
      <c r="C1786" s="34" t="inlineStr">
        <is>
          <t>Призы не на абонементы</t>
        </is>
      </c>
      <c r="D1786" s="34" t="inlineStr">
        <is>
          <t>+7 дней к сроку действия абонемента</t>
        </is>
      </c>
      <c r="E1786" s="34" t="inlineStr">
        <is>
          <t>При покупке абонемента на 8 или 12 занятий</t>
        </is>
      </c>
      <c r="F1786" s="147" t="inlineStr">
        <is>
          <t>FW-L1-PFXNH-2EC6S</t>
        </is>
      </c>
      <c r="G1786" s="39" t="inlineStr">
        <is>
          <t>Не использован</t>
        </is>
      </c>
      <c r="H1786" s="148" t="n"/>
      <c r="I1786" s="34" t="str"/>
      <c r="J1786" s="34" t="str"/>
      <c r="K1786" s="130" t="n">
        <v>179</v>
      </c>
      <c r="L1786" s="43">
        <f>IF(COUNTIF($F$5:$F$2407,F1786)=1,"OK","Дубликат")</f>
        <v/>
      </c>
    </row>
    <row r="1787" ht="38" customHeight="1">
      <c r="A1787" s="146" t="inlineStr">
        <is>
          <t>BONUS-L1-PLUS7</t>
        </is>
      </c>
      <c r="B1787" s="39" t="inlineStr">
        <is>
          <t>1 уровень</t>
        </is>
      </c>
      <c r="C1787" s="34" t="inlineStr">
        <is>
          <t>Призы не на абонементы</t>
        </is>
      </c>
      <c r="D1787" s="34" t="inlineStr">
        <is>
          <t>+7 дней к сроку действия абонемента</t>
        </is>
      </c>
      <c r="E1787" s="34" t="inlineStr">
        <is>
          <t>При покупке абонемента на 8 или 12 занятий</t>
        </is>
      </c>
      <c r="F1787" s="147" t="inlineStr">
        <is>
          <t>FW-L1-K9Q4R-NU9WE</t>
        </is>
      </c>
      <c r="G1787" s="39" t="inlineStr">
        <is>
          <t>Не использован</t>
        </is>
      </c>
      <c r="H1787" s="148" t="n"/>
      <c r="I1787" s="34" t="str"/>
      <c r="J1787" s="34" t="str"/>
      <c r="K1787" s="130" t="n">
        <v>180</v>
      </c>
      <c r="L1787" s="43">
        <f>IF(COUNTIF($F$5:$F$2407,F1787)=1,"OK","Дубликат")</f>
        <v/>
      </c>
    </row>
    <row r="1788" ht="38" customHeight="1">
      <c r="A1788" s="146" t="inlineStr">
        <is>
          <t>BONUS-L1-PLUS7</t>
        </is>
      </c>
      <c r="B1788" s="39" t="inlineStr">
        <is>
          <t>1 уровень</t>
        </is>
      </c>
      <c r="C1788" s="34" t="inlineStr">
        <is>
          <t>Призы не на абонементы</t>
        </is>
      </c>
      <c r="D1788" s="34" t="inlineStr">
        <is>
          <t>+7 дней к сроку действия абонемента</t>
        </is>
      </c>
      <c r="E1788" s="34" t="inlineStr">
        <is>
          <t>При покупке абонемента на 8 или 12 занятий</t>
        </is>
      </c>
      <c r="F1788" s="147" t="inlineStr">
        <is>
          <t>FW-L1-U9DYW-YF4VT</t>
        </is>
      </c>
      <c r="G1788" s="39" t="inlineStr">
        <is>
          <t>Не использован</t>
        </is>
      </c>
      <c r="H1788" s="148" t="n"/>
      <c r="I1788" s="34" t="str"/>
      <c r="J1788" s="34" t="str"/>
      <c r="K1788" s="130" t="n">
        <v>181</v>
      </c>
      <c r="L1788" s="43">
        <f>IF(COUNTIF($F$5:$F$2407,F1788)=1,"OK","Дубликат")</f>
        <v/>
      </c>
    </row>
    <row r="1789" ht="38" customHeight="1">
      <c r="A1789" s="146" t="inlineStr">
        <is>
          <t>BONUS-L1-PLUS7</t>
        </is>
      </c>
      <c r="B1789" s="39" t="inlineStr">
        <is>
          <t>1 уровень</t>
        </is>
      </c>
      <c r="C1789" s="34" t="inlineStr">
        <is>
          <t>Призы не на абонементы</t>
        </is>
      </c>
      <c r="D1789" s="34" t="inlineStr">
        <is>
          <t>+7 дней к сроку действия абонемента</t>
        </is>
      </c>
      <c r="E1789" s="34" t="inlineStr">
        <is>
          <t>При покупке абонемента на 8 или 12 занятий</t>
        </is>
      </c>
      <c r="F1789" s="147" t="inlineStr">
        <is>
          <t>FW-L1-AGSH9-GVSZZ</t>
        </is>
      </c>
      <c r="G1789" s="39" t="inlineStr">
        <is>
          <t>Не использован</t>
        </is>
      </c>
      <c r="H1789" s="148" t="n"/>
      <c r="I1789" s="34" t="str"/>
      <c r="J1789" s="34" t="str"/>
      <c r="K1789" s="130" t="n">
        <v>182</v>
      </c>
      <c r="L1789" s="43">
        <f>IF(COUNTIF($F$5:$F$2407,F1789)=1,"OK","Дубликат")</f>
        <v/>
      </c>
    </row>
    <row r="1790" ht="38" customHeight="1">
      <c r="A1790" s="146" t="inlineStr">
        <is>
          <t>BONUS-L1-PLUS7</t>
        </is>
      </c>
      <c r="B1790" s="39" t="inlineStr">
        <is>
          <t>1 уровень</t>
        </is>
      </c>
      <c r="C1790" s="34" t="inlineStr">
        <is>
          <t>Призы не на абонементы</t>
        </is>
      </c>
      <c r="D1790" s="34" t="inlineStr">
        <is>
          <t>+7 дней к сроку действия абонемента</t>
        </is>
      </c>
      <c r="E1790" s="34" t="inlineStr">
        <is>
          <t>При покупке абонемента на 8 или 12 занятий</t>
        </is>
      </c>
      <c r="F1790" s="147" t="inlineStr">
        <is>
          <t>FW-L1-TAYW7-25YLJ</t>
        </is>
      </c>
      <c r="G1790" s="39" t="inlineStr">
        <is>
          <t>Не использован</t>
        </is>
      </c>
      <c r="H1790" s="148" t="n"/>
      <c r="I1790" s="34" t="str"/>
      <c r="J1790" s="34" t="str"/>
      <c r="K1790" s="130" t="n">
        <v>183</v>
      </c>
      <c r="L1790" s="43">
        <f>IF(COUNTIF($F$5:$F$2407,F1790)=1,"OK","Дубликат")</f>
        <v/>
      </c>
    </row>
    <row r="1791" ht="38" customHeight="1">
      <c r="A1791" s="146" t="inlineStr">
        <is>
          <t>BONUS-L1-PLUS7</t>
        </is>
      </c>
      <c r="B1791" s="39" t="inlineStr">
        <is>
          <t>1 уровень</t>
        </is>
      </c>
      <c r="C1791" s="34" t="inlineStr">
        <is>
          <t>Призы не на абонементы</t>
        </is>
      </c>
      <c r="D1791" s="34" t="inlineStr">
        <is>
          <t>+7 дней к сроку действия абонемента</t>
        </is>
      </c>
      <c r="E1791" s="34" t="inlineStr">
        <is>
          <t>При покупке абонемента на 8 или 12 занятий</t>
        </is>
      </c>
      <c r="F1791" s="147" t="inlineStr">
        <is>
          <t>FW-L1-KC4X8-ACSF3</t>
        </is>
      </c>
      <c r="G1791" s="39" t="inlineStr">
        <is>
          <t>Не использован</t>
        </is>
      </c>
      <c r="H1791" s="148" t="n"/>
      <c r="I1791" s="34" t="str"/>
      <c r="J1791" s="34" t="str"/>
      <c r="K1791" s="130" t="n">
        <v>184</v>
      </c>
      <c r="L1791" s="43">
        <f>IF(COUNTIF($F$5:$F$2407,F1791)=1,"OK","Дубликат")</f>
        <v/>
      </c>
    </row>
    <row r="1792" ht="38" customHeight="1">
      <c r="A1792" s="146" t="inlineStr">
        <is>
          <t>BONUS-L1-PLUS7</t>
        </is>
      </c>
      <c r="B1792" s="39" t="inlineStr">
        <is>
          <t>1 уровень</t>
        </is>
      </c>
      <c r="C1792" s="34" t="inlineStr">
        <is>
          <t>Призы не на абонементы</t>
        </is>
      </c>
      <c r="D1792" s="34" t="inlineStr">
        <is>
          <t>+7 дней к сроку действия абонемента</t>
        </is>
      </c>
      <c r="E1792" s="34" t="inlineStr">
        <is>
          <t>При покупке абонемента на 8 или 12 занятий</t>
        </is>
      </c>
      <c r="F1792" s="147" t="inlineStr">
        <is>
          <t>FW-L1-Y6QHL-K7NG7</t>
        </is>
      </c>
      <c r="G1792" s="39" t="inlineStr">
        <is>
          <t>Не использован</t>
        </is>
      </c>
      <c r="H1792" s="148" t="n"/>
      <c r="I1792" s="34" t="str"/>
      <c r="J1792" s="34" t="str"/>
      <c r="K1792" s="130" t="n">
        <v>185</v>
      </c>
      <c r="L1792" s="43">
        <f>IF(COUNTIF($F$5:$F$2407,F1792)=1,"OK","Дубликат")</f>
        <v/>
      </c>
    </row>
    <row r="1793" ht="38" customHeight="1">
      <c r="A1793" s="146" t="inlineStr">
        <is>
          <t>BONUS-L1-PLUS7</t>
        </is>
      </c>
      <c r="B1793" s="39" t="inlineStr">
        <is>
          <t>1 уровень</t>
        </is>
      </c>
      <c r="C1793" s="34" t="inlineStr">
        <is>
          <t>Призы не на абонементы</t>
        </is>
      </c>
      <c r="D1793" s="34" t="inlineStr">
        <is>
          <t>+7 дней к сроку действия абонемента</t>
        </is>
      </c>
      <c r="E1793" s="34" t="inlineStr">
        <is>
          <t>При покупке абонемента на 8 или 12 занятий</t>
        </is>
      </c>
      <c r="F1793" s="147" t="inlineStr">
        <is>
          <t>FW-L1-2H57N-NZEQY</t>
        </is>
      </c>
      <c r="G1793" s="39" t="inlineStr">
        <is>
          <t>Не использован</t>
        </is>
      </c>
      <c r="H1793" s="148" t="n"/>
      <c r="I1793" s="34" t="str"/>
      <c r="J1793" s="34" t="str"/>
      <c r="K1793" s="130" t="n">
        <v>186</v>
      </c>
      <c r="L1793" s="43">
        <f>IF(COUNTIF($F$5:$F$2407,F1793)=1,"OK","Дубликат")</f>
        <v/>
      </c>
    </row>
    <row r="1794" ht="38" customHeight="1">
      <c r="A1794" s="146" t="inlineStr">
        <is>
          <t>BONUS-L1-PLUS7</t>
        </is>
      </c>
      <c r="B1794" s="39" t="inlineStr">
        <is>
          <t>1 уровень</t>
        </is>
      </c>
      <c r="C1794" s="34" t="inlineStr">
        <is>
          <t>Призы не на абонементы</t>
        </is>
      </c>
      <c r="D1794" s="34" t="inlineStr">
        <is>
          <t>+7 дней к сроку действия абонемента</t>
        </is>
      </c>
      <c r="E1794" s="34" t="inlineStr">
        <is>
          <t>При покупке абонемента на 8 или 12 занятий</t>
        </is>
      </c>
      <c r="F1794" s="147" t="inlineStr">
        <is>
          <t>FW-L1-T7C7F-HRCB5</t>
        </is>
      </c>
      <c r="G1794" s="39" t="inlineStr">
        <is>
          <t>Не использован</t>
        </is>
      </c>
      <c r="H1794" s="148" t="n"/>
      <c r="I1794" s="34" t="str"/>
      <c r="J1794" s="34" t="str"/>
      <c r="K1794" s="130" t="n">
        <v>187</v>
      </c>
      <c r="L1794" s="43">
        <f>IF(COUNTIF($F$5:$F$2407,F1794)=1,"OK","Дубликат")</f>
        <v/>
      </c>
    </row>
    <row r="1795" ht="38" customHeight="1">
      <c r="A1795" s="146" t="inlineStr">
        <is>
          <t>BONUS-L1-PLUS7</t>
        </is>
      </c>
      <c r="B1795" s="39" t="inlineStr">
        <is>
          <t>1 уровень</t>
        </is>
      </c>
      <c r="C1795" s="34" t="inlineStr">
        <is>
          <t>Призы не на абонементы</t>
        </is>
      </c>
      <c r="D1795" s="34" t="inlineStr">
        <is>
          <t>+7 дней к сроку действия абонемента</t>
        </is>
      </c>
      <c r="E1795" s="34" t="inlineStr">
        <is>
          <t>При покупке абонемента на 8 или 12 занятий</t>
        </is>
      </c>
      <c r="F1795" s="147" t="inlineStr">
        <is>
          <t>FW-L1-67AFS-JBVCJ</t>
        </is>
      </c>
      <c r="G1795" s="39" t="inlineStr">
        <is>
          <t>Не использован</t>
        </is>
      </c>
      <c r="H1795" s="148" t="n"/>
      <c r="I1795" s="34" t="str"/>
      <c r="J1795" s="34" t="str"/>
      <c r="K1795" s="130" t="n">
        <v>188</v>
      </c>
      <c r="L1795" s="43">
        <f>IF(COUNTIF($F$5:$F$2407,F1795)=1,"OK","Дубликат")</f>
        <v/>
      </c>
    </row>
    <row r="1796" ht="38" customHeight="1">
      <c r="A1796" s="146" t="inlineStr">
        <is>
          <t>BONUS-L1-PLUS7</t>
        </is>
      </c>
      <c r="B1796" s="39" t="inlineStr">
        <is>
          <t>1 уровень</t>
        </is>
      </c>
      <c r="C1796" s="34" t="inlineStr">
        <is>
          <t>Призы не на абонементы</t>
        </is>
      </c>
      <c r="D1796" s="34" t="inlineStr">
        <is>
          <t>+7 дней к сроку действия абонемента</t>
        </is>
      </c>
      <c r="E1796" s="34" t="inlineStr">
        <is>
          <t>При покупке абонемента на 8 или 12 занятий</t>
        </is>
      </c>
      <c r="F1796" s="147" t="inlineStr">
        <is>
          <t>FW-L1-XAUAQ-4HFBP</t>
        </is>
      </c>
      <c r="G1796" s="39" t="inlineStr">
        <is>
          <t>Не использован</t>
        </is>
      </c>
      <c r="H1796" s="148" t="n"/>
      <c r="I1796" s="34" t="str"/>
      <c r="J1796" s="34" t="str"/>
      <c r="K1796" s="130" t="n">
        <v>189</v>
      </c>
      <c r="L1796" s="43">
        <f>IF(COUNTIF($F$5:$F$2407,F1796)=1,"OK","Дубликат")</f>
        <v/>
      </c>
    </row>
    <row r="1797" ht="38" customHeight="1">
      <c r="A1797" s="146" t="inlineStr">
        <is>
          <t>BONUS-L1-PLUS7</t>
        </is>
      </c>
      <c r="B1797" s="39" t="inlineStr">
        <is>
          <t>1 уровень</t>
        </is>
      </c>
      <c r="C1797" s="34" t="inlineStr">
        <is>
          <t>Призы не на абонементы</t>
        </is>
      </c>
      <c r="D1797" s="34" t="inlineStr">
        <is>
          <t>+7 дней к сроку действия абонемента</t>
        </is>
      </c>
      <c r="E1797" s="34" t="inlineStr">
        <is>
          <t>При покупке абонемента на 8 или 12 занятий</t>
        </is>
      </c>
      <c r="F1797" s="147" t="inlineStr">
        <is>
          <t>FW-L1-8S3X4-LAJ2A</t>
        </is>
      </c>
      <c r="G1797" s="39" t="inlineStr">
        <is>
          <t>Не использован</t>
        </is>
      </c>
      <c r="H1797" s="148" t="n"/>
      <c r="I1797" s="34" t="str"/>
      <c r="J1797" s="34" t="str"/>
      <c r="K1797" s="130" t="n">
        <v>190</v>
      </c>
      <c r="L1797" s="43">
        <f>IF(COUNTIF($F$5:$F$2407,F1797)=1,"OK","Дубликат")</f>
        <v/>
      </c>
    </row>
    <row r="1798" ht="38" customHeight="1">
      <c r="A1798" s="146" t="inlineStr">
        <is>
          <t>BONUS-L1-PLUS7</t>
        </is>
      </c>
      <c r="B1798" s="39" t="inlineStr">
        <is>
          <t>1 уровень</t>
        </is>
      </c>
      <c r="C1798" s="34" t="inlineStr">
        <is>
          <t>Призы не на абонементы</t>
        </is>
      </c>
      <c r="D1798" s="34" t="inlineStr">
        <is>
          <t>+7 дней к сроку действия абонемента</t>
        </is>
      </c>
      <c r="E1798" s="34" t="inlineStr">
        <is>
          <t>При покупке абонемента на 8 или 12 занятий</t>
        </is>
      </c>
      <c r="F1798" s="147" t="inlineStr">
        <is>
          <t>FW-L1-MGX4Z-NQB42</t>
        </is>
      </c>
      <c r="G1798" s="39" t="inlineStr">
        <is>
          <t>Не использован</t>
        </is>
      </c>
      <c r="H1798" s="148" t="n"/>
      <c r="I1798" s="34" t="str"/>
      <c r="J1798" s="34" t="str"/>
      <c r="K1798" s="130" t="n">
        <v>191</v>
      </c>
      <c r="L1798" s="43">
        <f>IF(COUNTIF($F$5:$F$2407,F1798)=1,"OK","Дубликат")</f>
        <v/>
      </c>
    </row>
    <row r="1799" ht="38" customHeight="1">
      <c r="A1799" s="146" t="inlineStr">
        <is>
          <t>BONUS-L1-PLUS7</t>
        </is>
      </c>
      <c r="B1799" s="39" t="inlineStr">
        <is>
          <t>1 уровень</t>
        </is>
      </c>
      <c r="C1799" s="34" t="inlineStr">
        <is>
          <t>Призы не на абонементы</t>
        </is>
      </c>
      <c r="D1799" s="34" t="inlineStr">
        <is>
          <t>+7 дней к сроку действия абонемента</t>
        </is>
      </c>
      <c r="E1799" s="34" t="inlineStr">
        <is>
          <t>При покупке абонемента на 8 или 12 занятий</t>
        </is>
      </c>
      <c r="F1799" s="147" t="inlineStr">
        <is>
          <t>FW-L1-7KAHX-JQQBJ</t>
        </is>
      </c>
      <c r="G1799" s="39" t="inlineStr">
        <is>
          <t>Не использован</t>
        </is>
      </c>
      <c r="H1799" s="148" t="n"/>
      <c r="I1799" s="34" t="str"/>
      <c r="J1799" s="34" t="str"/>
      <c r="K1799" s="130" t="n">
        <v>192</v>
      </c>
      <c r="L1799" s="43">
        <f>IF(COUNTIF($F$5:$F$2407,F1799)=1,"OK","Дубликат")</f>
        <v/>
      </c>
    </row>
    <row r="1800" ht="38" customHeight="1">
      <c r="A1800" s="146" t="inlineStr">
        <is>
          <t>BONUS-L1-PLUS7</t>
        </is>
      </c>
      <c r="B1800" s="39" t="inlineStr">
        <is>
          <t>1 уровень</t>
        </is>
      </c>
      <c r="C1800" s="34" t="inlineStr">
        <is>
          <t>Призы не на абонементы</t>
        </is>
      </c>
      <c r="D1800" s="34" t="inlineStr">
        <is>
          <t>+7 дней к сроку действия абонемента</t>
        </is>
      </c>
      <c r="E1800" s="34" t="inlineStr">
        <is>
          <t>При покупке абонемента на 8 или 12 занятий</t>
        </is>
      </c>
      <c r="F1800" s="147" t="inlineStr">
        <is>
          <t>FW-L1-T5DR6-TKGJF</t>
        </is>
      </c>
      <c r="G1800" s="39" t="inlineStr">
        <is>
          <t>Не использован</t>
        </is>
      </c>
      <c r="H1800" s="148" t="n"/>
      <c r="I1800" s="34" t="str"/>
      <c r="J1800" s="34" t="str"/>
      <c r="K1800" s="130" t="n">
        <v>193</v>
      </c>
      <c r="L1800" s="43">
        <f>IF(COUNTIF($F$5:$F$2407,F1800)=1,"OK","Дубликат")</f>
        <v/>
      </c>
    </row>
    <row r="1801" ht="38" customHeight="1">
      <c r="A1801" s="146" t="inlineStr">
        <is>
          <t>BONUS-L1-PLUS7</t>
        </is>
      </c>
      <c r="B1801" s="39" t="inlineStr">
        <is>
          <t>1 уровень</t>
        </is>
      </c>
      <c r="C1801" s="34" t="inlineStr">
        <is>
          <t>Призы не на абонементы</t>
        </is>
      </c>
      <c r="D1801" s="34" t="inlineStr">
        <is>
          <t>+7 дней к сроку действия абонемента</t>
        </is>
      </c>
      <c r="E1801" s="34" t="inlineStr">
        <is>
          <t>При покупке абонемента на 8 или 12 занятий</t>
        </is>
      </c>
      <c r="F1801" s="147" t="inlineStr">
        <is>
          <t>FW-L1-GY9WG-NVLNM</t>
        </is>
      </c>
      <c r="G1801" s="39" t="inlineStr">
        <is>
          <t>Не использован</t>
        </is>
      </c>
      <c r="H1801" s="148" t="n"/>
      <c r="I1801" s="34" t="str"/>
      <c r="J1801" s="34" t="str"/>
      <c r="K1801" s="130" t="n">
        <v>194</v>
      </c>
      <c r="L1801" s="43">
        <f>IF(COUNTIF($F$5:$F$2407,F1801)=1,"OK","Дубликат")</f>
        <v/>
      </c>
    </row>
    <row r="1802" ht="38" customHeight="1">
      <c r="A1802" s="146" t="inlineStr">
        <is>
          <t>BONUS-L1-PLUS7</t>
        </is>
      </c>
      <c r="B1802" s="39" t="inlineStr">
        <is>
          <t>1 уровень</t>
        </is>
      </c>
      <c r="C1802" s="34" t="inlineStr">
        <is>
          <t>Призы не на абонементы</t>
        </is>
      </c>
      <c r="D1802" s="34" t="inlineStr">
        <is>
          <t>+7 дней к сроку действия абонемента</t>
        </is>
      </c>
      <c r="E1802" s="34" t="inlineStr">
        <is>
          <t>При покупке абонемента на 8 или 12 занятий</t>
        </is>
      </c>
      <c r="F1802" s="147" t="inlineStr">
        <is>
          <t>FW-L1-8XXYD-QW4GA</t>
        </is>
      </c>
      <c r="G1802" s="39" t="inlineStr">
        <is>
          <t>Не использован</t>
        </is>
      </c>
      <c r="H1802" s="148" t="n"/>
      <c r="I1802" s="34" t="str"/>
      <c r="J1802" s="34" t="str"/>
      <c r="K1802" s="130" t="n">
        <v>195</v>
      </c>
      <c r="L1802" s="43">
        <f>IF(COUNTIF($F$5:$F$2407,F1802)=1,"OK","Дубликат")</f>
        <v/>
      </c>
    </row>
    <row r="1803" ht="38" customHeight="1">
      <c r="A1803" s="146" t="inlineStr">
        <is>
          <t>BONUS-L1-PLUS7</t>
        </is>
      </c>
      <c r="B1803" s="39" t="inlineStr">
        <is>
          <t>1 уровень</t>
        </is>
      </c>
      <c r="C1803" s="34" t="inlineStr">
        <is>
          <t>Призы не на абонементы</t>
        </is>
      </c>
      <c r="D1803" s="34" t="inlineStr">
        <is>
          <t>+7 дней к сроку действия абонемента</t>
        </is>
      </c>
      <c r="E1803" s="34" t="inlineStr">
        <is>
          <t>При покупке абонемента на 8 или 12 занятий</t>
        </is>
      </c>
      <c r="F1803" s="147" t="inlineStr">
        <is>
          <t>FW-L1-UJ3WR-LXR2Y</t>
        </is>
      </c>
      <c r="G1803" s="39" t="inlineStr">
        <is>
          <t>Не использован</t>
        </is>
      </c>
      <c r="H1803" s="148" t="n"/>
      <c r="I1803" s="34" t="str"/>
      <c r="J1803" s="34" t="str"/>
      <c r="K1803" s="130" t="n">
        <v>196</v>
      </c>
      <c r="L1803" s="43">
        <f>IF(COUNTIF($F$5:$F$2407,F1803)=1,"OK","Дубликат")</f>
        <v/>
      </c>
    </row>
    <row r="1804" ht="38" customHeight="1">
      <c r="A1804" s="146" t="inlineStr">
        <is>
          <t>BONUS-L1-PLUS7</t>
        </is>
      </c>
      <c r="B1804" s="39" t="inlineStr">
        <is>
          <t>1 уровень</t>
        </is>
      </c>
      <c r="C1804" s="34" t="inlineStr">
        <is>
          <t>Призы не на абонементы</t>
        </is>
      </c>
      <c r="D1804" s="34" t="inlineStr">
        <is>
          <t>+7 дней к сроку действия абонемента</t>
        </is>
      </c>
      <c r="E1804" s="34" t="inlineStr">
        <is>
          <t>При покупке абонемента на 8 или 12 занятий</t>
        </is>
      </c>
      <c r="F1804" s="147" t="inlineStr">
        <is>
          <t>FW-L1-9V4A4-5FYZ7</t>
        </is>
      </c>
      <c r="G1804" s="39" t="inlineStr">
        <is>
          <t>Не использован</t>
        </is>
      </c>
      <c r="H1804" s="148" t="n"/>
      <c r="I1804" s="34" t="str"/>
      <c r="J1804" s="34" t="str"/>
      <c r="K1804" s="130" t="n">
        <v>197</v>
      </c>
      <c r="L1804" s="43">
        <f>IF(COUNTIF($F$5:$F$2407,F1804)=1,"OK","Дубликат")</f>
        <v/>
      </c>
    </row>
    <row r="1805" ht="38" customHeight="1">
      <c r="A1805" s="146" t="inlineStr">
        <is>
          <t>BONUS-L1-PLUS7</t>
        </is>
      </c>
      <c r="B1805" s="39" t="inlineStr">
        <is>
          <t>1 уровень</t>
        </is>
      </c>
      <c r="C1805" s="34" t="inlineStr">
        <is>
          <t>Призы не на абонементы</t>
        </is>
      </c>
      <c r="D1805" s="34" t="inlineStr">
        <is>
          <t>+7 дней к сроку действия абонемента</t>
        </is>
      </c>
      <c r="E1805" s="34" t="inlineStr">
        <is>
          <t>При покупке абонемента на 8 или 12 занятий</t>
        </is>
      </c>
      <c r="F1805" s="147" t="inlineStr">
        <is>
          <t>FW-L1-PFU9Y-JYWTM</t>
        </is>
      </c>
      <c r="G1805" s="39" t="inlineStr">
        <is>
          <t>Не использован</t>
        </is>
      </c>
      <c r="H1805" s="148" t="n"/>
      <c r="I1805" s="34" t="str"/>
      <c r="J1805" s="34" t="str"/>
      <c r="K1805" s="130" t="n">
        <v>198</v>
      </c>
      <c r="L1805" s="43">
        <f>IF(COUNTIF($F$5:$F$2407,F1805)=1,"OK","Дубликат")</f>
        <v/>
      </c>
    </row>
    <row r="1806" ht="38" customHeight="1">
      <c r="A1806" s="146" t="inlineStr">
        <is>
          <t>BONUS-L1-PLUS7</t>
        </is>
      </c>
      <c r="B1806" s="39" t="inlineStr">
        <is>
          <t>1 уровень</t>
        </is>
      </c>
      <c r="C1806" s="34" t="inlineStr">
        <is>
          <t>Призы не на абонементы</t>
        </is>
      </c>
      <c r="D1806" s="34" t="inlineStr">
        <is>
          <t>+7 дней к сроку действия абонемента</t>
        </is>
      </c>
      <c r="E1806" s="34" t="inlineStr">
        <is>
          <t>При покупке абонемента на 8 или 12 занятий</t>
        </is>
      </c>
      <c r="F1806" s="147" t="inlineStr">
        <is>
          <t>FW-L1-GZJ8W-W6X6Y</t>
        </is>
      </c>
      <c r="G1806" s="39" t="inlineStr">
        <is>
          <t>Не использован</t>
        </is>
      </c>
      <c r="H1806" s="148" t="n"/>
      <c r="I1806" s="34" t="str"/>
      <c r="J1806" s="34" t="str"/>
      <c r="K1806" s="130" t="n">
        <v>199</v>
      </c>
      <c r="L1806" s="43">
        <f>IF(COUNTIF($F$5:$F$2407,F1806)=1,"OK","Дубликат")</f>
        <v/>
      </c>
    </row>
    <row r="1807" ht="38" customHeight="1">
      <c r="A1807" s="146" t="inlineStr">
        <is>
          <t>BONUS-L1-PLUS7</t>
        </is>
      </c>
      <c r="B1807" s="39" t="inlineStr">
        <is>
          <t>1 уровень</t>
        </is>
      </c>
      <c r="C1807" s="34" t="inlineStr">
        <is>
          <t>Призы не на абонементы</t>
        </is>
      </c>
      <c r="D1807" s="34" t="inlineStr">
        <is>
          <t>+7 дней к сроку действия абонемента</t>
        </is>
      </c>
      <c r="E1807" s="34" t="inlineStr">
        <is>
          <t>При покупке абонемента на 8 или 12 занятий</t>
        </is>
      </c>
      <c r="F1807" s="147" t="inlineStr">
        <is>
          <t>FW-L1-EX4D4-9CQHE</t>
        </is>
      </c>
      <c r="G1807" s="39" t="inlineStr">
        <is>
          <t>Не использован</t>
        </is>
      </c>
      <c r="H1807" s="148" t="n"/>
      <c r="I1807" s="34" t="str"/>
      <c r="J1807" s="34" t="str"/>
      <c r="K1807" s="130" t="n">
        <v>200</v>
      </c>
      <c r="L1807" s="43">
        <f>IF(COUNTIF($F$5:$F$2407,F1807)=1,"OK","Дубликат")</f>
        <v/>
      </c>
    </row>
    <row r="1808" ht="38" customHeight="1">
      <c r="A1808" s="146" t="inlineStr">
        <is>
          <t>BONUS-L1-FREEZE</t>
        </is>
      </c>
      <c r="B1808" s="39" t="inlineStr">
        <is>
          <t>1 уровень</t>
        </is>
      </c>
      <c r="C1808" s="34" t="inlineStr">
        <is>
          <t>Призы не на абонементы</t>
        </is>
      </c>
      <c r="D1808" s="34" t="inlineStr">
        <is>
          <t>Дополнительная заморозка абонемента</t>
        </is>
      </c>
      <c r="E1808" s="34" t="inlineStr">
        <is>
          <t>При покупке абонемента</t>
        </is>
      </c>
      <c r="F1808" s="147" t="inlineStr">
        <is>
          <t>FW-L1-N3Y3F-T4F5Z</t>
        </is>
      </c>
      <c r="G1808" s="39" t="inlineStr">
        <is>
          <t>Не использован</t>
        </is>
      </c>
      <c r="H1808" s="148" t="n"/>
      <c r="I1808" s="34" t="str"/>
      <c r="J1808" s="34" t="str"/>
      <c r="K1808" s="130" t="n">
        <v>1</v>
      </c>
      <c r="L1808" s="43">
        <f>IF(COUNTIF($F$5:$F$2407,F1808)=1,"OK","Дубликат")</f>
        <v/>
      </c>
    </row>
    <row r="1809" ht="38" customHeight="1">
      <c r="A1809" s="146" t="inlineStr">
        <is>
          <t>BONUS-L1-FREEZE</t>
        </is>
      </c>
      <c r="B1809" s="39" t="inlineStr">
        <is>
          <t>1 уровень</t>
        </is>
      </c>
      <c r="C1809" s="34" t="inlineStr">
        <is>
          <t>Призы не на абонементы</t>
        </is>
      </c>
      <c r="D1809" s="34" t="inlineStr">
        <is>
          <t>Дополнительная заморозка абонемента</t>
        </is>
      </c>
      <c r="E1809" s="34" t="inlineStr">
        <is>
          <t>При покупке абонемента</t>
        </is>
      </c>
      <c r="F1809" s="147" t="inlineStr">
        <is>
          <t>FW-L1-KSLX8-TCHKK</t>
        </is>
      </c>
      <c r="G1809" s="39" t="inlineStr">
        <is>
          <t>Не использован</t>
        </is>
      </c>
      <c r="H1809" s="148" t="n"/>
      <c r="I1809" s="34" t="str"/>
      <c r="J1809" s="34" t="str"/>
      <c r="K1809" s="130" t="n">
        <v>2</v>
      </c>
      <c r="L1809" s="43">
        <f>IF(COUNTIF($F$5:$F$2407,F1809)=1,"OK","Дубликат")</f>
        <v/>
      </c>
    </row>
    <row r="1810" ht="38" customHeight="1">
      <c r="A1810" s="146" t="inlineStr">
        <is>
          <t>BONUS-L1-FREEZE</t>
        </is>
      </c>
      <c r="B1810" s="39" t="inlineStr">
        <is>
          <t>1 уровень</t>
        </is>
      </c>
      <c r="C1810" s="34" t="inlineStr">
        <is>
          <t>Призы не на абонементы</t>
        </is>
      </c>
      <c r="D1810" s="34" t="inlineStr">
        <is>
          <t>Дополнительная заморозка абонемента</t>
        </is>
      </c>
      <c r="E1810" s="34" t="inlineStr">
        <is>
          <t>При покупке абонемента</t>
        </is>
      </c>
      <c r="F1810" s="147" t="inlineStr">
        <is>
          <t>FW-L1-RZBLL-CW9QC</t>
        </is>
      </c>
      <c r="G1810" s="39" t="inlineStr">
        <is>
          <t>Не использован</t>
        </is>
      </c>
      <c r="H1810" s="148" t="n"/>
      <c r="I1810" s="34" t="str"/>
      <c r="J1810" s="34" t="str"/>
      <c r="K1810" s="130" t="n">
        <v>3</v>
      </c>
      <c r="L1810" s="43">
        <f>IF(COUNTIF($F$5:$F$2407,F1810)=1,"OK","Дубликат")</f>
        <v/>
      </c>
    </row>
    <row r="1811" ht="38" customHeight="1">
      <c r="A1811" s="146" t="inlineStr">
        <is>
          <t>BONUS-L1-FREEZE</t>
        </is>
      </c>
      <c r="B1811" s="39" t="inlineStr">
        <is>
          <t>1 уровень</t>
        </is>
      </c>
      <c r="C1811" s="34" t="inlineStr">
        <is>
          <t>Призы не на абонементы</t>
        </is>
      </c>
      <c r="D1811" s="34" t="inlineStr">
        <is>
          <t>Дополнительная заморозка абонемента</t>
        </is>
      </c>
      <c r="E1811" s="34" t="inlineStr">
        <is>
          <t>При покупке абонемента</t>
        </is>
      </c>
      <c r="F1811" s="147" t="inlineStr">
        <is>
          <t>FW-L1-59UJ8-PZM83</t>
        </is>
      </c>
      <c r="G1811" s="39" t="inlineStr">
        <is>
          <t>Не использован</t>
        </is>
      </c>
      <c r="H1811" s="148" t="n"/>
      <c r="I1811" s="34" t="str"/>
      <c r="J1811" s="34" t="str"/>
      <c r="K1811" s="130" t="n">
        <v>4</v>
      </c>
      <c r="L1811" s="43">
        <f>IF(COUNTIF($F$5:$F$2407,F1811)=1,"OK","Дубликат")</f>
        <v/>
      </c>
    </row>
    <row r="1812" ht="38" customHeight="1">
      <c r="A1812" s="146" t="inlineStr">
        <is>
          <t>BONUS-L1-FREEZE</t>
        </is>
      </c>
      <c r="B1812" s="39" t="inlineStr">
        <is>
          <t>1 уровень</t>
        </is>
      </c>
      <c r="C1812" s="34" t="inlineStr">
        <is>
          <t>Призы не на абонементы</t>
        </is>
      </c>
      <c r="D1812" s="34" t="inlineStr">
        <is>
          <t>Дополнительная заморозка абонемента</t>
        </is>
      </c>
      <c r="E1812" s="34" t="inlineStr">
        <is>
          <t>При покупке абонемента</t>
        </is>
      </c>
      <c r="F1812" s="147" t="inlineStr">
        <is>
          <t>FW-L1-QCAZQ-MGEA3</t>
        </is>
      </c>
      <c r="G1812" s="39" t="inlineStr">
        <is>
          <t>Не использован</t>
        </is>
      </c>
      <c r="H1812" s="148" t="n"/>
      <c r="I1812" s="34" t="str"/>
      <c r="J1812" s="34" t="str"/>
      <c r="K1812" s="130" t="n">
        <v>5</v>
      </c>
      <c r="L1812" s="43">
        <f>IF(COUNTIF($F$5:$F$2407,F1812)=1,"OK","Дубликат")</f>
        <v/>
      </c>
    </row>
    <row r="1813" ht="38" customHeight="1">
      <c r="A1813" s="146" t="inlineStr">
        <is>
          <t>BONUS-L1-FREEZE</t>
        </is>
      </c>
      <c r="B1813" s="39" t="inlineStr">
        <is>
          <t>1 уровень</t>
        </is>
      </c>
      <c r="C1813" s="34" t="inlineStr">
        <is>
          <t>Призы не на абонементы</t>
        </is>
      </c>
      <c r="D1813" s="34" t="inlineStr">
        <is>
          <t>Дополнительная заморозка абонемента</t>
        </is>
      </c>
      <c r="E1813" s="34" t="inlineStr">
        <is>
          <t>При покупке абонемента</t>
        </is>
      </c>
      <c r="F1813" s="147" t="inlineStr">
        <is>
          <t>FW-L1-DSHXN-XSF39</t>
        </is>
      </c>
      <c r="G1813" s="39" t="inlineStr">
        <is>
          <t>Не использован</t>
        </is>
      </c>
      <c r="H1813" s="148" t="n"/>
      <c r="I1813" s="34" t="str"/>
      <c r="J1813" s="34" t="str"/>
      <c r="K1813" s="130" t="n">
        <v>6</v>
      </c>
      <c r="L1813" s="43">
        <f>IF(COUNTIF($F$5:$F$2407,F1813)=1,"OK","Дубликат")</f>
        <v/>
      </c>
    </row>
    <row r="1814" ht="38" customHeight="1">
      <c r="A1814" s="146" t="inlineStr">
        <is>
          <t>BONUS-L1-FREEZE</t>
        </is>
      </c>
      <c r="B1814" s="39" t="inlineStr">
        <is>
          <t>1 уровень</t>
        </is>
      </c>
      <c r="C1814" s="34" t="inlineStr">
        <is>
          <t>Призы не на абонементы</t>
        </is>
      </c>
      <c r="D1814" s="34" t="inlineStr">
        <is>
          <t>Дополнительная заморозка абонемента</t>
        </is>
      </c>
      <c r="E1814" s="34" t="inlineStr">
        <is>
          <t>При покупке абонемента</t>
        </is>
      </c>
      <c r="F1814" s="147" t="inlineStr">
        <is>
          <t>FW-L1-UVN2A-DZB3F</t>
        </is>
      </c>
      <c r="G1814" s="39" t="inlineStr">
        <is>
          <t>Не использован</t>
        </is>
      </c>
      <c r="H1814" s="148" t="n"/>
      <c r="I1814" s="34" t="str"/>
      <c r="J1814" s="34" t="str"/>
      <c r="K1814" s="130" t="n">
        <v>7</v>
      </c>
      <c r="L1814" s="43">
        <f>IF(COUNTIF($F$5:$F$2407,F1814)=1,"OK","Дубликат")</f>
        <v/>
      </c>
    </row>
    <row r="1815" ht="38" customHeight="1">
      <c r="A1815" s="146" t="inlineStr">
        <is>
          <t>BONUS-L1-FREEZE</t>
        </is>
      </c>
      <c r="B1815" s="39" t="inlineStr">
        <is>
          <t>1 уровень</t>
        </is>
      </c>
      <c r="C1815" s="34" t="inlineStr">
        <is>
          <t>Призы не на абонементы</t>
        </is>
      </c>
      <c r="D1815" s="34" t="inlineStr">
        <is>
          <t>Дополнительная заморозка абонемента</t>
        </is>
      </c>
      <c r="E1815" s="34" t="inlineStr">
        <is>
          <t>При покупке абонемента</t>
        </is>
      </c>
      <c r="F1815" s="147" t="inlineStr">
        <is>
          <t>FW-L1-5M2VP-G7WEJ</t>
        </is>
      </c>
      <c r="G1815" s="39" t="inlineStr">
        <is>
          <t>Не использован</t>
        </is>
      </c>
      <c r="H1815" s="148" t="n"/>
      <c r="I1815" s="34" t="str"/>
      <c r="J1815" s="34" t="str"/>
      <c r="K1815" s="130" t="n">
        <v>8</v>
      </c>
      <c r="L1815" s="43">
        <f>IF(COUNTIF($F$5:$F$2407,F1815)=1,"OK","Дубликат")</f>
        <v/>
      </c>
    </row>
    <row r="1816" ht="38" customHeight="1">
      <c r="A1816" s="146" t="inlineStr">
        <is>
          <t>BONUS-L1-FREEZE</t>
        </is>
      </c>
      <c r="B1816" s="39" t="inlineStr">
        <is>
          <t>1 уровень</t>
        </is>
      </c>
      <c r="C1816" s="34" t="inlineStr">
        <is>
          <t>Призы не на абонементы</t>
        </is>
      </c>
      <c r="D1816" s="34" t="inlineStr">
        <is>
          <t>Дополнительная заморозка абонемента</t>
        </is>
      </c>
      <c r="E1816" s="34" t="inlineStr">
        <is>
          <t>При покупке абонемента</t>
        </is>
      </c>
      <c r="F1816" s="147" t="inlineStr">
        <is>
          <t>FW-L1-WLTN9-NCUXX</t>
        </is>
      </c>
      <c r="G1816" s="39" t="inlineStr">
        <is>
          <t>Не использован</t>
        </is>
      </c>
      <c r="H1816" s="148" t="n"/>
      <c r="I1816" s="34" t="str"/>
      <c r="J1816" s="34" t="str"/>
      <c r="K1816" s="130" t="n">
        <v>9</v>
      </c>
      <c r="L1816" s="43">
        <f>IF(COUNTIF($F$5:$F$2407,F1816)=1,"OK","Дубликат")</f>
        <v/>
      </c>
    </row>
    <row r="1817" ht="38" customHeight="1">
      <c r="A1817" s="146" t="inlineStr">
        <is>
          <t>BONUS-L1-FREEZE</t>
        </is>
      </c>
      <c r="B1817" s="39" t="inlineStr">
        <is>
          <t>1 уровень</t>
        </is>
      </c>
      <c r="C1817" s="34" t="inlineStr">
        <is>
          <t>Призы не на абонементы</t>
        </is>
      </c>
      <c r="D1817" s="34" t="inlineStr">
        <is>
          <t>Дополнительная заморозка абонемента</t>
        </is>
      </c>
      <c r="E1817" s="34" t="inlineStr">
        <is>
          <t>При покупке абонемента</t>
        </is>
      </c>
      <c r="F1817" s="147" t="inlineStr">
        <is>
          <t>FW-L1-PKT9G-XD9MD</t>
        </is>
      </c>
      <c r="G1817" s="39" t="inlineStr">
        <is>
          <t>Не использован</t>
        </is>
      </c>
      <c r="H1817" s="148" t="n"/>
      <c r="I1817" s="34" t="str"/>
      <c r="J1817" s="34" t="str"/>
      <c r="K1817" s="130" t="n">
        <v>10</v>
      </c>
      <c r="L1817" s="43">
        <f>IF(COUNTIF($F$5:$F$2407,F1817)=1,"OK","Дубликат")</f>
        <v/>
      </c>
    </row>
    <row r="1818" ht="38" customHeight="1">
      <c r="A1818" s="146" t="inlineStr">
        <is>
          <t>BONUS-L1-FREEZE</t>
        </is>
      </c>
      <c r="B1818" s="39" t="inlineStr">
        <is>
          <t>1 уровень</t>
        </is>
      </c>
      <c r="C1818" s="34" t="inlineStr">
        <is>
          <t>Призы не на абонементы</t>
        </is>
      </c>
      <c r="D1818" s="34" t="inlineStr">
        <is>
          <t>Дополнительная заморозка абонемента</t>
        </is>
      </c>
      <c r="E1818" s="34" t="inlineStr">
        <is>
          <t>При покупке абонемента</t>
        </is>
      </c>
      <c r="F1818" s="147" t="inlineStr">
        <is>
          <t>FW-L1-UBQML-9RZAS</t>
        </is>
      </c>
      <c r="G1818" s="39" t="inlineStr">
        <is>
          <t>Не использован</t>
        </is>
      </c>
      <c r="H1818" s="148" t="n"/>
      <c r="I1818" s="34" t="str"/>
      <c r="J1818" s="34" t="str"/>
      <c r="K1818" s="130" t="n">
        <v>11</v>
      </c>
      <c r="L1818" s="43">
        <f>IF(COUNTIF($F$5:$F$2407,F1818)=1,"OK","Дубликат")</f>
        <v/>
      </c>
    </row>
    <row r="1819" ht="38" customHeight="1">
      <c r="A1819" s="146" t="inlineStr">
        <is>
          <t>BONUS-L1-FREEZE</t>
        </is>
      </c>
      <c r="B1819" s="39" t="inlineStr">
        <is>
          <t>1 уровень</t>
        </is>
      </c>
      <c r="C1819" s="34" t="inlineStr">
        <is>
          <t>Призы не на абонементы</t>
        </is>
      </c>
      <c r="D1819" s="34" t="inlineStr">
        <is>
          <t>Дополнительная заморозка абонемента</t>
        </is>
      </c>
      <c r="E1819" s="34" t="inlineStr">
        <is>
          <t>При покупке абонемента</t>
        </is>
      </c>
      <c r="F1819" s="147" t="inlineStr">
        <is>
          <t>FW-L1-ZWZX8-QHXVP</t>
        </is>
      </c>
      <c r="G1819" s="39" t="inlineStr">
        <is>
          <t>Не использован</t>
        </is>
      </c>
      <c r="H1819" s="148" t="n"/>
      <c r="I1819" s="34" t="str"/>
      <c r="J1819" s="34" t="str"/>
      <c r="K1819" s="130" t="n">
        <v>12</v>
      </c>
      <c r="L1819" s="43">
        <f>IF(COUNTIF($F$5:$F$2407,F1819)=1,"OK","Дубликат")</f>
        <v/>
      </c>
    </row>
    <row r="1820" ht="38" customHeight="1">
      <c r="A1820" s="146" t="inlineStr">
        <is>
          <t>BONUS-L1-FREEZE</t>
        </is>
      </c>
      <c r="B1820" s="39" t="inlineStr">
        <is>
          <t>1 уровень</t>
        </is>
      </c>
      <c r="C1820" s="34" t="inlineStr">
        <is>
          <t>Призы не на абонементы</t>
        </is>
      </c>
      <c r="D1820" s="34" t="inlineStr">
        <is>
          <t>Дополнительная заморозка абонемента</t>
        </is>
      </c>
      <c r="E1820" s="34" t="inlineStr">
        <is>
          <t>При покупке абонемента</t>
        </is>
      </c>
      <c r="F1820" s="147" t="inlineStr">
        <is>
          <t>FW-L1-8Q7XV-6AMKB</t>
        </is>
      </c>
      <c r="G1820" s="39" t="inlineStr">
        <is>
          <t>Не использован</t>
        </is>
      </c>
      <c r="H1820" s="148" t="n"/>
      <c r="I1820" s="34" t="str"/>
      <c r="J1820" s="34" t="str"/>
      <c r="K1820" s="130" t="n">
        <v>13</v>
      </c>
      <c r="L1820" s="43">
        <f>IF(COUNTIF($F$5:$F$2407,F1820)=1,"OK","Дубликат")</f>
        <v/>
      </c>
    </row>
    <row r="1821" ht="38" customHeight="1">
      <c r="A1821" s="146" t="inlineStr">
        <is>
          <t>BONUS-L1-FREEZE</t>
        </is>
      </c>
      <c r="B1821" s="39" t="inlineStr">
        <is>
          <t>1 уровень</t>
        </is>
      </c>
      <c r="C1821" s="34" t="inlineStr">
        <is>
          <t>Призы не на абонементы</t>
        </is>
      </c>
      <c r="D1821" s="34" t="inlineStr">
        <is>
          <t>Дополнительная заморозка абонемента</t>
        </is>
      </c>
      <c r="E1821" s="34" t="inlineStr">
        <is>
          <t>При покупке абонемента</t>
        </is>
      </c>
      <c r="F1821" s="147" t="inlineStr">
        <is>
          <t>FW-L1-9THJX-LGFVL</t>
        </is>
      </c>
      <c r="G1821" s="39" t="inlineStr">
        <is>
          <t>Не использован</t>
        </is>
      </c>
      <c r="H1821" s="148" t="n"/>
      <c r="I1821" s="34" t="str"/>
      <c r="J1821" s="34" t="str"/>
      <c r="K1821" s="130" t="n">
        <v>14</v>
      </c>
      <c r="L1821" s="43">
        <f>IF(COUNTIF($F$5:$F$2407,F1821)=1,"OK","Дубликат")</f>
        <v/>
      </c>
    </row>
    <row r="1822" ht="38" customHeight="1">
      <c r="A1822" s="146" t="inlineStr">
        <is>
          <t>BONUS-L1-FREEZE</t>
        </is>
      </c>
      <c r="B1822" s="39" t="inlineStr">
        <is>
          <t>1 уровень</t>
        </is>
      </c>
      <c r="C1822" s="34" t="inlineStr">
        <is>
          <t>Призы не на абонементы</t>
        </is>
      </c>
      <c r="D1822" s="34" t="inlineStr">
        <is>
          <t>Дополнительная заморозка абонемента</t>
        </is>
      </c>
      <c r="E1822" s="34" t="inlineStr">
        <is>
          <t>При покупке абонемента</t>
        </is>
      </c>
      <c r="F1822" s="147" t="inlineStr">
        <is>
          <t>FW-L1-FVWPV-WVTRL</t>
        </is>
      </c>
      <c r="G1822" s="39" t="inlineStr">
        <is>
          <t>Не использован</t>
        </is>
      </c>
      <c r="H1822" s="148" t="n"/>
      <c r="I1822" s="34" t="str"/>
      <c r="J1822" s="34" t="str"/>
      <c r="K1822" s="130" t="n">
        <v>15</v>
      </c>
      <c r="L1822" s="43">
        <f>IF(COUNTIF($F$5:$F$2407,F1822)=1,"OK","Дубликат")</f>
        <v/>
      </c>
    </row>
    <row r="1823" ht="38" customHeight="1">
      <c r="A1823" s="146" t="inlineStr">
        <is>
          <t>BONUS-L1-FREEZE</t>
        </is>
      </c>
      <c r="B1823" s="39" t="inlineStr">
        <is>
          <t>1 уровень</t>
        </is>
      </c>
      <c r="C1823" s="34" t="inlineStr">
        <is>
          <t>Призы не на абонементы</t>
        </is>
      </c>
      <c r="D1823" s="34" t="inlineStr">
        <is>
          <t>Дополнительная заморозка абонемента</t>
        </is>
      </c>
      <c r="E1823" s="34" t="inlineStr">
        <is>
          <t>При покупке абонемента</t>
        </is>
      </c>
      <c r="F1823" s="147" t="inlineStr">
        <is>
          <t>FW-L1-68UPZ-SX398</t>
        </is>
      </c>
      <c r="G1823" s="39" t="inlineStr">
        <is>
          <t>Не использован</t>
        </is>
      </c>
      <c r="H1823" s="148" t="n"/>
      <c r="I1823" s="34" t="str"/>
      <c r="J1823" s="34" t="str"/>
      <c r="K1823" s="130" t="n">
        <v>16</v>
      </c>
      <c r="L1823" s="43">
        <f>IF(COUNTIF($F$5:$F$2407,F1823)=1,"OK","Дубликат")</f>
        <v/>
      </c>
    </row>
    <row r="1824" ht="38" customHeight="1">
      <c r="A1824" s="146" t="inlineStr">
        <is>
          <t>BONUS-L1-FREEZE</t>
        </is>
      </c>
      <c r="B1824" s="39" t="inlineStr">
        <is>
          <t>1 уровень</t>
        </is>
      </c>
      <c r="C1824" s="34" t="inlineStr">
        <is>
          <t>Призы не на абонементы</t>
        </is>
      </c>
      <c r="D1824" s="34" t="inlineStr">
        <is>
          <t>Дополнительная заморозка абонемента</t>
        </is>
      </c>
      <c r="E1824" s="34" t="inlineStr">
        <is>
          <t>При покупке абонемента</t>
        </is>
      </c>
      <c r="F1824" s="147" t="inlineStr">
        <is>
          <t>FW-L1-JD3HD-6VMM3</t>
        </is>
      </c>
      <c r="G1824" s="39" t="inlineStr">
        <is>
          <t>Не использован</t>
        </is>
      </c>
      <c r="H1824" s="148" t="n"/>
      <c r="I1824" s="34" t="str"/>
      <c r="J1824" s="34" t="str"/>
      <c r="K1824" s="130" t="n">
        <v>17</v>
      </c>
      <c r="L1824" s="43">
        <f>IF(COUNTIF($F$5:$F$2407,F1824)=1,"OK","Дубликат")</f>
        <v/>
      </c>
    </row>
    <row r="1825" ht="38" customHeight="1">
      <c r="A1825" s="146" t="inlineStr">
        <is>
          <t>BONUS-L1-FREEZE</t>
        </is>
      </c>
      <c r="B1825" s="39" t="inlineStr">
        <is>
          <t>1 уровень</t>
        </is>
      </c>
      <c r="C1825" s="34" t="inlineStr">
        <is>
          <t>Призы не на абонементы</t>
        </is>
      </c>
      <c r="D1825" s="34" t="inlineStr">
        <is>
          <t>Дополнительная заморозка абонемента</t>
        </is>
      </c>
      <c r="E1825" s="34" t="inlineStr">
        <is>
          <t>При покупке абонемента</t>
        </is>
      </c>
      <c r="F1825" s="147" t="inlineStr">
        <is>
          <t>FW-L1-MNHNJ-M5E82</t>
        </is>
      </c>
      <c r="G1825" s="39" t="inlineStr">
        <is>
          <t>Не использован</t>
        </is>
      </c>
      <c r="H1825" s="148" t="n"/>
      <c r="I1825" s="34" t="str"/>
      <c r="J1825" s="34" t="str"/>
      <c r="K1825" s="130" t="n">
        <v>18</v>
      </c>
      <c r="L1825" s="43">
        <f>IF(COUNTIF($F$5:$F$2407,F1825)=1,"OK","Дубликат")</f>
        <v/>
      </c>
    </row>
    <row r="1826" ht="38" customHeight="1">
      <c r="A1826" s="146" t="inlineStr">
        <is>
          <t>BONUS-L1-FREEZE</t>
        </is>
      </c>
      <c r="B1826" s="39" t="inlineStr">
        <is>
          <t>1 уровень</t>
        </is>
      </c>
      <c r="C1826" s="34" t="inlineStr">
        <is>
          <t>Призы не на абонементы</t>
        </is>
      </c>
      <c r="D1826" s="34" t="inlineStr">
        <is>
          <t>Дополнительная заморозка абонемента</t>
        </is>
      </c>
      <c r="E1826" s="34" t="inlineStr">
        <is>
          <t>При покупке абонемента</t>
        </is>
      </c>
      <c r="F1826" s="147" t="inlineStr">
        <is>
          <t>FW-L1-56VGA-R2X2Y</t>
        </is>
      </c>
      <c r="G1826" s="39" t="inlineStr">
        <is>
          <t>Не использован</t>
        </is>
      </c>
      <c r="H1826" s="148" t="n"/>
      <c r="I1826" s="34" t="str"/>
      <c r="J1826" s="34" t="str"/>
      <c r="K1826" s="130" t="n">
        <v>19</v>
      </c>
      <c r="L1826" s="43">
        <f>IF(COUNTIF($F$5:$F$2407,F1826)=1,"OK","Дубликат")</f>
        <v/>
      </c>
    </row>
    <row r="1827" ht="38" customHeight="1">
      <c r="A1827" s="146" t="inlineStr">
        <is>
          <t>BONUS-L1-FREEZE</t>
        </is>
      </c>
      <c r="B1827" s="39" t="inlineStr">
        <is>
          <t>1 уровень</t>
        </is>
      </c>
      <c r="C1827" s="34" t="inlineStr">
        <is>
          <t>Призы не на абонементы</t>
        </is>
      </c>
      <c r="D1827" s="34" t="inlineStr">
        <is>
          <t>Дополнительная заморозка абонемента</t>
        </is>
      </c>
      <c r="E1827" s="34" t="inlineStr">
        <is>
          <t>При покупке абонемента</t>
        </is>
      </c>
      <c r="F1827" s="147" t="inlineStr">
        <is>
          <t>FW-L1-H93YY-7G9FJ</t>
        </is>
      </c>
      <c r="G1827" s="39" t="inlineStr">
        <is>
          <t>Не использован</t>
        </is>
      </c>
      <c r="H1827" s="148" t="n"/>
      <c r="I1827" s="34" t="str"/>
      <c r="J1827" s="34" t="str"/>
      <c r="K1827" s="130" t="n">
        <v>20</v>
      </c>
      <c r="L1827" s="43">
        <f>IF(COUNTIF($F$5:$F$2407,F1827)=1,"OK","Дубликат")</f>
        <v/>
      </c>
    </row>
    <row r="1828" ht="38" customHeight="1">
      <c r="A1828" s="146" t="inlineStr">
        <is>
          <t>BONUS-L1-FREEZE</t>
        </is>
      </c>
      <c r="B1828" s="39" t="inlineStr">
        <is>
          <t>1 уровень</t>
        </is>
      </c>
      <c r="C1828" s="34" t="inlineStr">
        <is>
          <t>Призы не на абонементы</t>
        </is>
      </c>
      <c r="D1828" s="34" t="inlineStr">
        <is>
          <t>Дополнительная заморозка абонемента</t>
        </is>
      </c>
      <c r="E1828" s="34" t="inlineStr">
        <is>
          <t>При покупке абонемента</t>
        </is>
      </c>
      <c r="F1828" s="147" t="inlineStr">
        <is>
          <t>FW-L1-JX4Y6-62DCM</t>
        </is>
      </c>
      <c r="G1828" s="39" t="inlineStr">
        <is>
          <t>Не использован</t>
        </is>
      </c>
      <c r="H1828" s="148" t="n"/>
      <c r="I1828" s="34" t="str"/>
      <c r="J1828" s="34" t="str"/>
      <c r="K1828" s="130" t="n">
        <v>21</v>
      </c>
      <c r="L1828" s="43">
        <f>IF(COUNTIF($F$5:$F$2407,F1828)=1,"OK","Дубликат")</f>
        <v/>
      </c>
    </row>
    <row r="1829" ht="38" customHeight="1">
      <c r="A1829" s="146" t="inlineStr">
        <is>
          <t>BONUS-L1-FREEZE</t>
        </is>
      </c>
      <c r="B1829" s="39" t="inlineStr">
        <is>
          <t>1 уровень</t>
        </is>
      </c>
      <c r="C1829" s="34" t="inlineStr">
        <is>
          <t>Призы не на абонементы</t>
        </is>
      </c>
      <c r="D1829" s="34" t="inlineStr">
        <is>
          <t>Дополнительная заморозка абонемента</t>
        </is>
      </c>
      <c r="E1829" s="34" t="inlineStr">
        <is>
          <t>При покупке абонемента</t>
        </is>
      </c>
      <c r="F1829" s="147" t="inlineStr">
        <is>
          <t>FW-L1-LVXX9-NNL38</t>
        </is>
      </c>
      <c r="G1829" s="39" t="inlineStr">
        <is>
          <t>Не использован</t>
        </is>
      </c>
      <c r="H1829" s="148" t="n"/>
      <c r="I1829" s="34" t="str"/>
      <c r="J1829" s="34" t="str"/>
      <c r="K1829" s="130" t="n">
        <v>22</v>
      </c>
      <c r="L1829" s="43">
        <f>IF(COUNTIF($F$5:$F$2407,F1829)=1,"OK","Дубликат")</f>
        <v/>
      </c>
    </row>
    <row r="1830" ht="38" customHeight="1">
      <c r="A1830" s="146" t="inlineStr">
        <is>
          <t>BONUS-L1-FREEZE</t>
        </is>
      </c>
      <c r="B1830" s="39" t="inlineStr">
        <is>
          <t>1 уровень</t>
        </is>
      </c>
      <c r="C1830" s="34" t="inlineStr">
        <is>
          <t>Призы не на абонементы</t>
        </is>
      </c>
      <c r="D1830" s="34" t="inlineStr">
        <is>
          <t>Дополнительная заморозка абонемента</t>
        </is>
      </c>
      <c r="E1830" s="34" t="inlineStr">
        <is>
          <t>При покупке абонемента</t>
        </is>
      </c>
      <c r="F1830" s="147" t="inlineStr">
        <is>
          <t>FW-L1-6LM5L-HAGGR</t>
        </is>
      </c>
      <c r="G1830" s="39" t="inlineStr">
        <is>
          <t>Не использован</t>
        </is>
      </c>
      <c r="H1830" s="148" t="n"/>
      <c r="I1830" s="34" t="str"/>
      <c r="J1830" s="34" t="str"/>
      <c r="K1830" s="130" t="n">
        <v>23</v>
      </c>
      <c r="L1830" s="43">
        <f>IF(COUNTIF($F$5:$F$2407,F1830)=1,"OK","Дубликат")</f>
        <v/>
      </c>
    </row>
    <row r="1831" ht="38" customHeight="1">
      <c r="A1831" s="146" t="inlineStr">
        <is>
          <t>BONUS-L1-FREEZE</t>
        </is>
      </c>
      <c r="B1831" s="39" t="inlineStr">
        <is>
          <t>1 уровень</t>
        </is>
      </c>
      <c r="C1831" s="34" t="inlineStr">
        <is>
          <t>Призы не на абонементы</t>
        </is>
      </c>
      <c r="D1831" s="34" t="inlineStr">
        <is>
          <t>Дополнительная заморозка абонемента</t>
        </is>
      </c>
      <c r="E1831" s="34" t="inlineStr">
        <is>
          <t>При покупке абонемента</t>
        </is>
      </c>
      <c r="F1831" s="147" t="inlineStr">
        <is>
          <t>FW-L1-6JFX6-9GYMV</t>
        </is>
      </c>
      <c r="G1831" s="39" t="inlineStr">
        <is>
          <t>Не использован</t>
        </is>
      </c>
      <c r="H1831" s="148" t="n"/>
      <c r="I1831" s="34" t="str"/>
      <c r="J1831" s="34" t="str"/>
      <c r="K1831" s="130" t="n">
        <v>24</v>
      </c>
      <c r="L1831" s="43">
        <f>IF(COUNTIF($F$5:$F$2407,F1831)=1,"OK","Дубликат")</f>
        <v/>
      </c>
    </row>
    <row r="1832" ht="38" customHeight="1">
      <c r="A1832" s="146" t="inlineStr">
        <is>
          <t>BONUS-L1-FREEZE</t>
        </is>
      </c>
      <c r="B1832" s="39" t="inlineStr">
        <is>
          <t>1 уровень</t>
        </is>
      </c>
      <c r="C1832" s="34" t="inlineStr">
        <is>
          <t>Призы не на абонементы</t>
        </is>
      </c>
      <c r="D1832" s="34" t="inlineStr">
        <is>
          <t>Дополнительная заморозка абонемента</t>
        </is>
      </c>
      <c r="E1832" s="34" t="inlineStr">
        <is>
          <t>При покупке абонемента</t>
        </is>
      </c>
      <c r="F1832" s="147" t="inlineStr">
        <is>
          <t>FW-L1-SS296-D2JX3</t>
        </is>
      </c>
      <c r="G1832" s="39" t="inlineStr">
        <is>
          <t>Не использован</t>
        </is>
      </c>
      <c r="H1832" s="148" t="n"/>
      <c r="I1832" s="34" t="str"/>
      <c r="J1832" s="34" t="str"/>
      <c r="K1832" s="130" t="n">
        <v>25</v>
      </c>
      <c r="L1832" s="43">
        <f>IF(COUNTIF($F$5:$F$2407,F1832)=1,"OK","Дубликат")</f>
        <v/>
      </c>
    </row>
    <row r="1833" ht="38" customHeight="1">
      <c r="A1833" s="146" t="inlineStr">
        <is>
          <t>BONUS-L1-FREEZE</t>
        </is>
      </c>
      <c r="B1833" s="39" t="inlineStr">
        <is>
          <t>1 уровень</t>
        </is>
      </c>
      <c r="C1833" s="34" t="inlineStr">
        <is>
          <t>Призы не на абонементы</t>
        </is>
      </c>
      <c r="D1833" s="34" t="inlineStr">
        <is>
          <t>Дополнительная заморозка абонемента</t>
        </is>
      </c>
      <c r="E1833" s="34" t="inlineStr">
        <is>
          <t>При покупке абонемента</t>
        </is>
      </c>
      <c r="F1833" s="147" t="inlineStr">
        <is>
          <t>FW-L1-JNAPM-GW9HA</t>
        </is>
      </c>
      <c r="G1833" s="39" t="inlineStr">
        <is>
          <t>Не использован</t>
        </is>
      </c>
      <c r="H1833" s="148" t="n"/>
      <c r="I1833" s="34" t="str"/>
      <c r="J1833" s="34" t="str"/>
      <c r="K1833" s="130" t="n">
        <v>26</v>
      </c>
      <c r="L1833" s="43">
        <f>IF(COUNTIF($F$5:$F$2407,F1833)=1,"OK","Дубликат")</f>
        <v/>
      </c>
    </row>
    <row r="1834" ht="38" customHeight="1">
      <c r="A1834" s="146" t="inlineStr">
        <is>
          <t>BONUS-L1-FREEZE</t>
        </is>
      </c>
      <c r="B1834" s="39" t="inlineStr">
        <is>
          <t>1 уровень</t>
        </is>
      </c>
      <c r="C1834" s="34" t="inlineStr">
        <is>
          <t>Призы не на абонементы</t>
        </is>
      </c>
      <c r="D1834" s="34" t="inlineStr">
        <is>
          <t>Дополнительная заморозка абонемента</t>
        </is>
      </c>
      <c r="E1834" s="34" t="inlineStr">
        <is>
          <t>При покупке абонемента</t>
        </is>
      </c>
      <c r="F1834" s="147" t="inlineStr">
        <is>
          <t>FW-L1-6YHSG-CQW6S</t>
        </is>
      </c>
      <c r="G1834" s="39" t="inlineStr">
        <is>
          <t>Не использован</t>
        </is>
      </c>
      <c r="H1834" s="148" t="n"/>
      <c r="I1834" s="34" t="str"/>
      <c r="J1834" s="34" t="str"/>
      <c r="K1834" s="130" t="n">
        <v>27</v>
      </c>
      <c r="L1834" s="43">
        <f>IF(COUNTIF($F$5:$F$2407,F1834)=1,"OK","Дубликат")</f>
        <v/>
      </c>
    </row>
    <row r="1835" ht="38" customHeight="1">
      <c r="A1835" s="146" t="inlineStr">
        <is>
          <t>BONUS-L1-FREEZE</t>
        </is>
      </c>
      <c r="B1835" s="39" t="inlineStr">
        <is>
          <t>1 уровень</t>
        </is>
      </c>
      <c r="C1835" s="34" t="inlineStr">
        <is>
          <t>Призы не на абонементы</t>
        </is>
      </c>
      <c r="D1835" s="34" t="inlineStr">
        <is>
          <t>Дополнительная заморозка абонемента</t>
        </is>
      </c>
      <c r="E1835" s="34" t="inlineStr">
        <is>
          <t>При покупке абонемента</t>
        </is>
      </c>
      <c r="F1835" s="147" t="inlineStr">
        <is>
          <t>FW-L1-9VQGR-3CQY5</t>
        </is>
      </c>
      <c r="G1835" s="39" t="inlineStr">
        <is>
          <t>Не использован</t>
        </is>
      </c>
      <c r="H1835" s="148" t="n"/>
      <c r="I1835" s="34" t="str"/>
      <c r="J1835" s="34" t="str"/>
      <c r="K1835" s="130" t="n">
        <v>28</v>
      </c>
      <c r="L1835" s="43">
        <f>IF(COUNTIF($F$5:$F$2407,F1835)=1,"OK","Дубликат")</f>
        <v/>
      </c>
    </row>
    <row r="1836" ht="38" customHeight="1">
      <c r="A1836" s="146" t="inlineStr">
        <is>
          <t>BONUS-L1-FREEZE</t>
        </is>
      </c>
      <c r="B1836" s="39" t="inlineStr">
        <is>
          <t>1 уровень</t>
        </is>
      </c>
      <c r="C1836" s="34" t="inlineStr">
        <is>
          <t>Призы не на абонементы</t>
        </is>
      </c>
      <c r="D1836" s="34" t="inlineStr">
        <is>
          <t>Дополнительная заморозка абонемента</t>
        </is>
      </c>
      <c r="E1836" s="34" t="inlineStr">
        <is>
          <t>При покупке абонемента</t>
        </is>
      </c>
      <c r="F1836" s="147" t="inlineStr">
        <is>
          <t>FW-L1-Z8GUJ-JZ2GC</t>
        </is>
      </c>
      <c r="G1836" s="39" t="inlineStr">
        <is>
          <t>Не использован</t>
        </is>
      </c>
      <c r="H1836" s="148" t="n"/>
      <c r="I1836" s="34" t="str"/>
      <c r="J1836" s="34" t="str"/>
      <c r="K1836" s="130" t="n">
        <v>29</v>
      </c>
      <c r="L1836" s="43">
        <f>IF(COUNTIF($F$5:$F$2407,F1836)=1,"OK","Дубликат")</f>
        <v/>
      </c>
    </row>
    <row r="1837" ht="38" customHeight="1">
      <c r="A1837" s="146" t="inlineStr">
        <is>
          <t>BONUS-L1-FREEZE</t>
        </is>
      </c>
      <c r="B1837" s="39" t="inlineStr">
        <is>
          <t>1 уровень</t>
        </is>
      </c>
      <c r="C1837" s="34" t="inlineStr">
        <is>
          <t>Призы не на абонементы</t>
        </is>
      </c>
      <c r="D1837" s="34" t="inlineStr">
        <is>
          <t>Дополнительная заморозка абонемента</t>
        </is>
      </c>
      <c r="E1837" s="34" t="inlineStr">
        <is>
          <t>При покупке абонемента</t>
        </is>
      </c>
      <c r="F1837" s="147" t="inlineStr">
        <is>
          <t>FW-L1-3NK2N-S3HGG</t>
        </is>
      </c>
      <c r="G1837" s="39" t="inlineStr">
        <is>
          <t>Не использован</t>
        </is>
      </c>
      <c r="H1837" s="148" t="n"/>
      <c r="I1837" s="34" t="str"/>
      <c r="J1837" s="34" t="str"/>
      <c r="K1837" s="130" t="n">
        <v>30</v>
      </c>
      <c r="L1837" s="43">
        <f>IF(COUNTIF($F$5:$F$2407,F1837)=1,"OK","Дубликат")</f>
        <v/>
      </c>
    </row>
    <row r="1838" ht="38" customHeight="1">
      <c r="A1838" s="146" t="inlineStr">
        <is>
          <t>BONUS-L1-FREEZE</t>
        </is>
      </c>
      <c r="B1838" s="39" t="inlineStr">
        <is>
          <t>1 уровень</t>
        </is>
      </c>
      <c r="C1838" s="34" t="inlineStr">
        <is>
          <t>Призы не на абонементы</t>
        </is>
      </c>
      <c r="D1838" s="34" t="inlineStr">
        <is>
          <t>Дополнительная заморозка абонемента</t>
        </is>
      </c>
      <c r="E1838" s="34" t="inlineStr">
        <is>
          <t>При покупке абонемента</t>
        </is>
      </c>
      <c r="F1838" s="147" t="inlineStr">
        <is>
          <t>FW-L1-5JJXP-8RLP7</t>
        </is>
      </c>
      <c r="G1838" s="39" t="inlineStr">
        <is>
          <t>Не использован</t>
        </is>
      </c>
      <c r="H1838" s="148" t="n"/>
      <c r="I1838" s="34" t="str"/>
      <c r="J1838" s="34" t="str"/>
      <c r="K1838" s="130" t="n">
        <v>31</v>
      </c>
      <c r="L1838" s="43">
        <f>IF(COUNTIF($F$5:$F$2407,F1838)=1,"OK","Дубликат")</f>
        <v/>
      </c>
    </row>
    <row r="1839" ht="38" customHeight="1">
      <c r="A1839" s="146" t="inlineStr">
        <is>
          <t>BONUS-L1-FREEZE</t>
        </is>
      </c>
      <c r="B1839" s="39" t="inlineStr">
        <is>
          <t>1 уровень</t>
        </is>
      </c>
      <c r="C1839" s="34" t="inlineStr">
        <is>
          <t>Призы не на абонементы</t>
        </is>
      </c>
      <c r="D1839" s="34" t="inlineStr">
        <is>
          <t>Дополнительная заморозка абонемента</t>
        </is>
      </c>
      <c r="E1839" s="34" t="inlineStr">
        <is>
          <t>При покупке абонемента</t>
        </is>
      </c>
      <c r="F1839" s="147" t="inlineStr">
        <is>
          <t>FW-L1-HBRK9-L3LZA</t>
        </is>
      </c>
      <c r="G1839" s="39" t="inlineStr">
        <is>
          <t>Не использован</t>
        </is>
      </c>
      <c r="H1839" s="148" t="n"/>
      <c r="I1839" s="34" t="str"/>
      <c r="J1839" s="34" t="str"/>
      <c r="K1839" s="130" t="n">
        <v>32</v>
      </c>
      <c r="L1839" s="43">
        <f>IF(COUNTIF($F$5:$F$2407,F1839)=1,"OK","Дубликат")</f>
        <v/>
      </c>
    </row>
    <row r="1840" ht="38" customHeight="1">
      <c r="A1840" s="146" t="inlineStr">
        <is>
          <t>BONUS-L1-FREEZE</t>
        </is>
      </c>
      <c r="B1840" s="39" t="inlineStr">
        <is>
          <t>1 уровень</t>
        </is>
      </c>
      <c r="C1840" s="34" t="inlineStr">
        <is>
          <t>Призы не на абонементы</t>
        </is>
      </c>
      <c r="D1840" s="34" t="inlineStr">
        <is>
          <t>Дополнительная заморозка абонемента</t>
        </is>
      </c>
      <c r="E1840" s="34" t="inlineStr">
        <is>
          <t>При покупке абонемента</t>
        </is>
      </c>
      <c r="F1840" s="147" t="inlineStr">
        <is>
          <t>FW-L1-QNYQX-PE6MW</t>
        </is>
      </c>
      <c r="G1840" s="39" t="inlineStr">
        <is>
          <t>Не использован</t>
        </is>
      </c>
      <c r="H1840" s="148" t="n"/>
      <c r="I1840" s="34" t="str"/>
      <c r="J1840" s="34" t="str"/>
      <c r="K1840" s="130" t="n">
        <v>33</v>
      </c>
      <c r="L1840" s="43">
        <f>IF(COUNTIF($F$5:$F$2407,F1840)=1,"OK","Дубликат")</f>
        <v/>
      </c>
    </row>
    <row r="1841" ht="38" customHeight="1">
      <c r="A1841" s="146" t="inlineStr">
        <is>
          <t>BONUS-L1-FREEZE</t>
        </is>
      </c>
      <c r="B1841" s="39" t="inlineStr">
        <is>
          <t>1 уровень</t>
        </is>
      </c>
      <c r="C1841" s="34" t="inlineStr">
        <is>
          <t>Призы не на абонементы</t>
        </is>
      </c>
      <c r="D1841" s="34" t="inlineStr">
        <is>
          <t>Дополнительная заморозка абонемента</t>
        </is>
      </c>
      <c r="E1841" s="34" t="inlineStr">
        <is>
          <t>При покупке абонемента</t>
        </is>
      </c>
      <c r="F1841" s="147" t="inlineStr">
        <is>
          <t>FW-L1-X4H8J-4VFR2</t>
        </is>
      </c>
      <c r="G1841" s="39" t="inlineStr">
        <is>
          <t>Не использован</t>
        </is>
      </c>
      <c r="H1841" s="148" t="n"/>
      <c r="I1841" s="34" t="str"/>
      <c r="J1841" s="34" t="str"/>
      <c r="K1841" s="130" t="n">
        <v>34</v>
      </c>
      <c r="L1841" s="43">
        <f>IF(COUNTIF($F$5:$F$2407,F1841)=1,"OK","Дубликат")</f>
        <v/>
      </c>
    </row>
    <row r="1842" ht="38" customHeight="1">
      <c r="A1842" s="146" t="inlineStr">
        <is>
          <t>BONUS-L1-FREEZE</t>
        </is>
      </c>
      <c r="B1842" s="39" t="inlineStr">
        <is>
          <t>1 уровень</t>
        </is>
      </c>
      <c r="C1842" s="34" t="inlineStr">
        <is>
          <t>Призы не на абонементы</t>
        </is>
      </c>
      <c r="D1842" s="34" t="inlineStr">
        <is>
          <t>Дополнительная заморозка абонемента</t>
        </is>
      </c>
      <c r="E1842" s="34" t="inlineStr">
        <is>
          <t>При покупке абонемента</t>
        </is>
      </c>
      <c r="F1842" s="147" t="inlineStr">
        <is>
          <t>FW-L1-HCUV4-LUQN5</t>
        </is>
      </c>
      <c r="G1842" s="39" t="inlineStr">
        <is>
          <t>Не использован</t>
        </is>
      </c>
      <c r="H1842" s="148" t="n"/>
      <c r="I1842" s="34" t="str"/>
      <c r="J1842" s="34" t="str"/>
      <c r="K1842" s="130" t="n">
        <v>35</v>
      </c>
      <c r="L1842" s="43">
        <f>IF(COUNTIF($F$5:$F$2407,F1842)=1,"OK","Дубликат")</f>
        <v/>
      </c>
    </row>
    <row r="1843" ht="38" customHeight="1">
      <c r="A1843" s="146" t="inlineStr">
        <is>
          <t>BONUS-L1-FREEZE</t>
        </is>
      </c>
      <c r="B1843" s="39" t="inlineStr">
        <is>
          <t>1 уровень</t>
        </is>
      </c>
      <c r="C1843" s="34" t="inlineStr">
        <is>
          <t>Призы не на абонементы</t>
        </is>
      </c>
      <c r="D1843" s="34" t="inlineStr">
        <is>
          <t>Дополнительная заморозка абонемента</t>
        </is>
      </c>
      <c r="E1843" s="34" t="inlineStr">
        <is>
          <t>При покупке абонемента</t>
        </is>
      </c>
      <c r="F1843" s="147" t="inlineStr">
        <is>
          <t>FW-L1-QAC88-6KNV3</t>
        </is>
      </c>
      <c r="G1843" s="39" t="inlineStr">
        <is>
          <t>Не использован</t>
        </is>
      </c>
      <c r="H1843" s="148" t="n"/>
      <c r="I1843" s="34" t="str"/>
      <c r="J1843" s="34" t="str"/>
      <c r="K1843" s="130" t="n">
        <v>36</v>
      </c>
      <c r="L1843" s="43">
        <f>IF(COUNTIF($F$5:$F$2407,F1843)=1,"OK","Дубликат")</f>
        <v/>
      </c>
    </row>
    <row r="1844" ht="38" customHeight="1">
      <c r="A1844" s="146" t="inlineStr">
        <is>
          <t>BONUS-L1-FREEZE</t>
        </is>
      </c>
      <c r="B1844" s="39" t="inlineStr">
        <is>
          <t>1 уровень</t>
        </is>
      </c>
      <c r="C1844" s="34" t="inlineStr">
        <is>
          <t>Призы не на абонементы</t>
        </is>
      </c>
      <c r="D1844" s="34" t="inlineStr">
        <is>
          <t>Дополнительная заморозка абонемента</t>
        </is>
      </c>
      <c r="E1844" s="34" t="inlineStr">
        <is>
          <t>При покупке абонемента</t>
        </is>
      </c>
      <c r="F1844" s="147" t="inlineStr">
        <is>
          <t>FW-L1-4GXH9-3R39K</t>
        </is>
      </c>
      <c r="G1844" s="39" t="inlineStr">
        <is>
          <t>Не использован</t>
        </is>
      </c>
      <c r="H1844" s="148" t="n"/>
      <c r="I1844" s="34" t="str"/>
      <c r="J1844" s="34" t="str"/>
      <c r="K1844" s="130" t="n">
        <v>37</v>
      </c>
      <c r="L1844" s="43">
        <f>IF(COUNTIF($F$5:$F$2407,F1844)=1,"OK","Дубликат")</f>
        <v/>
      </c>
    </row>
    <row r="1845" ht="38" customHeight="1">
      <c r="A1845" s="146" t="inlineStr">
        <is>
          <t>BONUS-L1-FREEZE</t>
        </is>
      </c>
      <c r="B1845" s="39" t="inlineStr">
        <is>
          <t>1 уровень</t>
        </is>
      </c>
      <c r="C1845" s="34" t="inlineStr">
        <is>
          <t>Призы не на абонементы</t>
        </is>
      </c>
      <c r="D1845" s="34" t="inlineStr">
        <is>
          <t>Дополнительная заморозка абонемента</t>
        </is>
      </c>
      <c r="E1845" s="34" t="inlineStr">
        <is>
          <t>При покупке абонемента</t>
        </is>
      </c>
      <c r="F1845" s="147" t="inlineStr">
        <is>
          <t>FW-L1-9DRV5-WCYDE</t>
        </is>
      </c>
      <c r="G1845" s="39" t="inlineStr">
        <is>
          <t>Не использован</t>
        </is>
      </c>
      <c r="H1845" s="148" t="n"/>
      <c r="I1845" s="34" t="str"/>
      <c r="J1845" s="34" t="str"/>
      <c r="K1845" s="130" t="n">
        <v>38</v>
      </c>
      <c r="L1845" s="43">
        <f>IF(COUNTIF($F$5:$F$2407,F1845)=1,"OK","Дубликат")</f>
        <v/>
      </c>
    </row>
    <row r="1846" ht="38" customHeight="1">
      <c r="A1846" s="146" t="inlineStr">
        <is>
          <t>BONUS-L1-FREEZE</t>
        </is>
      </c>
      <c r="B1846" s="39" t="inlineStr">
        <is>
          <t>1 уровень</t>
        </is>
      </c>
      <c r="C1846" s="34" t="inlineStr">
        <is>
          <t>Призы не на абонементы</t>
        </is>
      </c>
      <c r="D1846" s="34" t="inlineStr">
        <is>
          <t>Дополнительная заморозка абонемента</t>
        </is>
      </c>
      <c r="E1846" s="34" t="inlineStr">
        <is>
          <t>При покупке абонемента</t>
        </is>
      </c>
      <c r="F1846" s="147" t="inlineStr">
        <is>
          <t>FW-L1-J5YJW-5LR6X</t>
        </is>
      </c>
      <c r="G1846" s="39" t="inlineStr">
        <is>
          <t>Не использован</t>
        </is>
      </c>
      <c r="H1846" s="148" t="n"/>
      <c r="I1846" s="34" t="str"/>
      <c r="J1846" s="34" t="str"/>
      <c r="K1846" s="130" t="n">
        <v>39</v>
      </c>
      <c r="L1846" s="43">
        <f>IF(COUNTIF($F$5:$F$2407,F1846)=1,"OK","Дубликат")</f>
        <v/>
      </c>
    </row>
    <row r="1847" ht="38" customHeight="1">
      <c r="A1847" s="146" t="inlineStr">
        <is>
          <t>BONUS-L1-FREEZE</t>
        </is>
      </c>
      <c r="B1847" s="39" t="inlineStr">
        <is>
          <t>1 уровень</t>
        </is>
      </c>
      <c r="C1847" s="34" t="inlineStr">
        <is>
          <t>Призы не на абонементы</t>
        </is>
      </c>
      <c r="D1847" s="34" t="inlineStr">
        <is>
          <t>Дополнительная заморозка абонемента</t>
        </is>
      </c>
      <c r="E1847" s="34" t="inlineStr">
        <is>
          <t>При покупке абонемента</t>
        </is>
      </c>
      <c r="F1847" s="147" t="inlineStr">
        <is>
          <t>FW-L1-2SEHU-5KCKL</t>
        </is>
      </c>
      <c r="G1847" s="39" t="inlineStr">
        <is>
          <t>Не использован</t>
        </is>
      </c>
      <c r="H1847" s="148" t="n"/>
      <c r="I1847" s="34" t="str"/>
      <c r="J1847" s="34" t="str"/>
      <c r="K1847" s="130" t="n">
        <v>40</v>
      </c>
      <c r="L1847" s="43">
        <f>IF(COUNTIF($F$5:$F$2407,F1847)=1,"OK","Дубликат")</f>
        <v/>
      </c>
    </row>
    <row r="1848" ht="38" customHeight="1">
      <c r="A1848" s="146" t="inlineStr">
        <is>
          <t>BONUS-L1-FREEZE</t>
        </is>
      </c>
      <c r="B1848" s="39" t="inlineStr">
        <is>
          <t>1 уровень</t>
        </is>
      </c>
      <c r="C1848" s="34" t="inlineStr">
        <is>
          <t>Призы не на абонементы</t>
        </is>
      </c>
      <c r="D1848" s="34" t="inlineStr">
        <is>
          <t>Дополнительная заморозка абонемента</t>
        </is>
      </c>
      <c r="E1848" s="34" t="inlineStr">
        <is>
          <t>При покупке абонемента</t>
        </is>
      </c>
      <c r="F1848" s="147" t="inlineStr">
        <is>
          <t>FW-L1-EYCRL-RY79X</t>
        </is>
      </c>
      <c r="G1848" s="39" t="inlineStr">
        <is>
          <t>Не использован</t>
        </is>
      </c>
      <c r="H1848" s="148" t="n"/>
      <c r="I1848" s="34" t="str"/>
      <c r="J1848" s="34" t="str"/>
      <c r="K1848" s="130" t="n">
        <v>41</v>
      </c>
      <c r="L1848" s="43">
        <f>IF(COUNTIF($F$5:$F$2407,F1848)=1,"OK","Дубликат")</f>
        <v/>
      </c>
    </row>
    <row r="1849" ht="38" customHeight="1">
      <c r="A1849" s="146" t="inlineStr">
        <is>
          <t>BONUS-L1-FREEZE</t>
        </is>
      </c>
      <c r="B1849" s="39" t="inlineStr">
        <is>
          <t>1 уровень</t>
        </is>
      </c>
      <c r="C1849" s="34" t="inlineStr">
        <is>
          <t>Призы не на абонементы</t>
        </is>
      </c>
      <c r="D1849" s="34" t="inlineStr">
        <is>
          <t>Дополнительная заморозка абонемента</t>
        </is>
      </c>
      <c r="E1849" s="34" t="inlineStr">
        <is>
          <t>При покупке абонемента</t>
        </is>
      </c>
      <c r="F1849" s="147" t="inlineStr">
        <is>
          <t>FW-L1-KWDB7-N6KCL</t>
        </is>
      </c>
      <c r="G1849" s="39" t="inlineStr">
        <is>
          <t>Не использован</t>
        </is>
      </c>
      <c r="H1849" s="148" t="n"/>
      <c r="I1849" s="34" t="str"/>
      <c r="J1849" s="34" t="str"/>
      <c r="K1849" s="130" t="n">
        <v>42</v>
      </c>
      <c r="L1849" s="43">
        <f>IF(COUNTIF($F$5:$F$2407,F1849)=1,"OK","Дубликат")</f>
        <v/>
      </c>
    </row>
    <row r="1850" ht="38" customHeight="1">
      <c r="A1850" s="146" t="inlineStr">
        <is>
          <t>BONUS-L1-FREEZE</t>
        </is>
      </c>
      <c r="B1850" s="39" t="inlineStr">
        <is>
          <t>1 уровень</t>
        </is>
      </c>
      <c r="C1850" s="34" t="inlineStr">
        <is>
          <t>Призы не на абонементы</t>
        </is>
      </c>
      <c r="D1850" s="34" t="inlineStr">
        <is>
          <t>Дополнительная заморозка абонемента</t>
        </is>
      </c>
      <c r="E1850" s="34" t="inlineStr">
        <is>
          <t>При покупке абонемента</t>
        </is>
      </c>
      <c r="F1850" s="147" t="inlineStr">
        <is>
          <t>FW-L1-PW7JE-8VETP</t>
        </is>
      </c>
      <c r="G1850" s="39" t="inlineStr">
        <is>
          <t>Не использован</t>
        </is>
      </c>
      <c r="H1850" s="148" t="n"/>
      <c r="I1850" s="34" t="str"/>
      <c r="J1850" s="34" t="str"/>
      <c r="K1850" s="130" t="n">
        <v>43</v>
      </c>
      <c r="L1850" s="43">
        <f>IF(COUNTIF($F$5:$F$2407,F1850)=1,"OK","Дубликат")</f>
        <v/>
      </c>
    </row>
    <row r="1851" ht="38" customHeight="1">
      <c r="A1851" s="146" t="inlineStr">
        <is>
          <t>BONUS-L1-FREEZE</t>
        </is>
      </c>
      <c r="B1851" s="39" t="inlineStr">
        <is>
          <t>1 уровень</t>
        </is>
      </c>
      <c r="C1851" s="34" t="inlineStr">
        <is>
          <t>Призы не на абонементы</t>
        </is>
      </c>
      <c r="D1851" s="34" t="inlineStr">
        <is>
          <t>Дополнительная заморозка абонемента</t>
        </is>
      </c>
      <c r="E1851" s="34" t="inlineStr">
        <is>
          <t>При покупке абонемента</t>
        </is>
      </c>
      <c r="F1851" s="147" t="inlineStr">
        <is>
          <t>FW-L1-9G5M5-9QCKN</t>
        </is>
      </c>
      <c r="G1851" s="39" t="inlineStr">
        <is>
          <t>Не использован</t>
        </is>
      </c>
      <c r="H1851" s="148" t="n"/>
      <c r="I1851" s="34" t="str"/>
      <c r="J1851" s="34" t="str"/>
      <c r="K1851" s="130" t="n">
        <v>44</v>
      </c>
      <c r="L1851" s="43">
        <f>IF(COUNTIF($F$5:$F$2407,F1851)=1,"OK","Дубликат")</f>
        <v/>
      </c>
    </row>
    <row r="1852" ht="38" customHeight="1">
      <c r="A1852" s="146" t="inlineStr">
        <is>
          <t>BONUS-L1-FREEZE</t>
        </is>
      </c>
      <c r="B1852" s="39" t="inlineStr">
        <is>
          <t>1 уровень</t>
        </is>
      </c>
      <c r="C1852" s="34" t="inlineStr">
        <is>
          <t>Призы не на абонементы</t>
        </is>
      </c>
      <c r="D1852" s="34" t="inlineStr">
        <is>
          <t>Дополнительная заморозка абонемента</t>
        </is>
      </c>
      <c r="E1852" s="34" t="inlineStr">
        <is>
          <t>При покупке абонемента</t>
        </is>
      </c>
      <c r="F1852" s="147" t="inlineStr">
        <is>
          <t>FW-L1-HH68Q-YWBJX</t>
        </is>
      </c>
      <c r="G1852" s="39" t="inlineStr">
        <is>
          <t>Не использован</t>
        </is>
      </c>
      <c r="H1852" s="148" t="n"/>
      <c r="I1852" s="34" t="str"/>
      <c r="J1852" s="34" t="str"/>
      <c r="K1852" s="130" t="n">
        <v>45</v>
      </c>
      <c r="L1852" s="43">
        <f>IF(COUNTIF($F$5:$F$2407,F1852)=1,"OK","Дубликат")</f>
        <v/>
      </c>
    </row>
    <row r="1853" ht="38" customHeight="1">
      <c r="A1853" s="146" t="inlineStr">
        <is>
          <t>BONUS-L1-FREEZE</t>
        </is>
      </c>
      <c r="B1853" s="39" t="inlineStr">
        <is>
          <t>1 уровень</t>
        </is>
      </c>
      <c r="C1853" s="34" t="inlineStr">
        <is>
          <t>Призы не на абонементы</t>
        </is>
      </c>
      <c r="D1853" s="34" t="inlineStr">
        <is>
          <t>Дополнительная заморозка абонемента</t>
        </is>
      </c>
      <c r="E1853" s="34" t="inlineStr">
        <is>
          <t>При покупке абонемента</t>
        </is>
      </c>
      <c r="F1853" s="147" t="inlineStr">
        <is>
          <t>FW-L1-KSZFB-555TC</t>
        </is>
      </c>
      <c r="G1853" s="39" t="inlineStr">
        <is>
          <t>Не использован</t>
        </is>
      </c>
      <c r="H1853" s="148" t="n"/>
      <c r="I1853" s="34" t="str"/>
      <c r="J1853" s="34" t="str"/>
      <c r="K1853" s="130" t="n">
        <v>46</v>
      </c>
      <c r="L1853" s="43">
        <f>IF(COUNTIF($F$5:$F$2407,F1853)=1,"OK","Дубликат")</f>
        <v/>
      </c>
    </row>
    <row r="1854" ht="38" customHeight="1">
      <c r="A1854" s="146" t="inlineStr">
        <is>
          <t>BONUS-L1-FREEZE</t>
        </is>
      </c>
      <c r="B1854" s="39" t="inlineStr">
        <is>
          <t>1 уровень</t>
        </is>
      </c>
      <c r="C1854" s="34" t="inlineStr">
        <is>
          <t>Призы не на абонементы</t>
        </is>
      </c>
      <c r="D1854" s="34" t="inlineStr">
        <is>
          <t>Дополнительная заморозка абонемента</t>
        </is>
      </c>
      <c r="E1854" s="34" t="inlineStr">
        <is>
          <t>При покупке абонемента</t>
        </is>
      </c>
      <c r="F1854" s="147" t="inlineStr">
        <is>
          <t>FW-L1-ZRU8L-CRXB4</t>
        </is>
      </c>
      <c r="G1854" s="39" t="inlineStr">
        <is>
          <t>Не использован</t>
        </is>
      </c>
      <c r="H1854" s="148" t="n"/>
      <c r="I1854" s="34" t="str"/>
      <c r="J1854" s="34" t="str"/>
      <c r="K1854" s="130" t="n">
        <v>47</v>
      </c>
      <c r="L1854" s="43">
        <f>IF(COUNTIF($F$5:$F$2407,F1854)=1,"OK","Дубликат")</f>
        <v/>
      </c>
    </row>
    <row r="1855" ht="38" customHeight="1">
      <c r="A1855" s="146" t="inlineStr">
        <is>
          <t>BONUS-L1-FREEZE</t>
        </is>
      </c>
      <c r="B1855" s="39" t="inlineStr">
        <is>
          <t>1 уровень</t>
        </is>
      </c>
      <c r="C1855" s="34" t="inlineStr">
        <is>
          <t>Призы не на абонементы</t>
        </is>
      </c>
      <c r="D1855" s="34" t="inlineStr">
        <is>
          <t>Дополнительная заморозка абонемента</t>
        </is>
      </c>
      <c r="E1855" s="34" t="inlineStr">
        <is>
          <t>При покупке абонемента</t>
        </is>
      </c>
      <c r="F1855" s="147" t="inlineStr">
        <is>
          <t>FW-L1-6AQWM-KUQU3</t>
        </is>
      </c>
      <c r="G1855" s="39" t="inlineStr">
        <is>
          <t>Не использован</t>
        </is>
      </c>
      <c r="H1855" s="148" t="n"/>
      <c r="I1855" s="34" t="str"/>
      <c r="J1855" s="34" t="str"/>
      <c r="K1855" s="130" t="n">
        <v>48</v>
      </c>
      <c r="L1855" s="43">
        <f>IF(COUNTIF($F$5:$F$2407,F1855)=1,"OK","Дубликат")</f>
        <v/>
      </c>
    </row>
    <row r="1856" ht="38" customHeight="1">
      <c r="A1856" s="146" t="inlineStr">
        <is>
          <t>BONUS-L1-FREEZE</t>
        </is>
      </c>
      <c r="B1856" s="39" t="inlineStr">
        <is>
          <t>1 уровень</t>
        </is>
      </c>
      <c r="C1856" s="34" t="inlineStr">
        <is>
          <t>Призы не на абонементы</t>
        </is>
      </c>
      <c r="D1856" s="34" t="inlineStr">
        <is>
          <t>Дополнительная заморозка абонемента</t>
        </is>
      </c>
      <c r="E1856" s="34" t="inlineStr">
        <is>
          <t>При покупке абонемента</t>
        </is>
      </c>
      <c r="F1856" s="147" t="inlineStr">
        <is>
          <t>FW-L1-B7F77-NM7H3</t>
        </is>
      </c>
      <c r="G1856" s="39" t="inlineStr">
        <is>
          <t>Не использован</t>
        </is>
      </c>
      <c r="H1856" s="148" t="n"/>
      <c r="I1856" s="34" t="str"/>
      <c r="J1856" s="34" t="str"/>
      <c r="K1856" s="130" t="n">
        <v>49</v>
      </c>
      <c r="L1856" s="43">
        <f>IF(COUNTIF($F$5:$F$2407,F1856)=1,"OK","Дубликат")</f>
        <v/>
      </c>
    </row>
    <row r="1857" ht="38" customHeight="1">
      <c r="A1857" s="146" t="inlineStr">
        <is>
          <t>BONUS-L1-FREEZE</t>
        </is>
      </c>
      <c r="B1857" s="39" t="inlineStr">
        <is>
          <t>1 уровень</t>
        </is>
      </c>
      <c r="C1857" s="34" t="inlineStr">
        <is>
          <t>Призы не на абонементы</t>
        </is>
      </c>
      <c r="D1857" s="34" t="inlineStr">
        <is>
          <t>Дополнительная заморозка абонемента</t>
        </is>
      </c>
      <c r="E1857" s="34" t="inlineStr">
        <is>
          <t>При покупке абонемента</t>
        </is>
      </c>
      <c r="F1857" s="147" t="inlineStr">
        <is>
          <t>FW-L1-DRBV4-BS5BH</t>
        </is>
      </c>
      <c r="G1857" s="39" t="inlineStr">
        <is>
          <t>Не использован</t>
        </is>
      </c>
      <c r="H1857" s="148" t="n"/>
      <c r="I1857" s="34" t="str"/>
      <c r="J1857" s="34" t="str"/>
      <c r="K1857" s="130" t="n">
        <v>50</v>
      </c>
      <c r="L1857" s="43">
        <f>IF(COUNTIF($F$5:$F$2407,F1857)=1,"OK","Дубликат")</f>
        <v/>
      </c>
    </row>
    <row r="1858" ht="38" customHeight="1">
      <c r="A1858" s="146" t="inlineStr">
        <is>
          <t>BONUS-L1-FREEZE</t>
        </is>
      </c>
      <c r="B1858" s="39" t="inlineStr">
        <is>
          <t>1 уровень</t>
        </is>
      </c>
      <c r="C1858" s="34" t="inlineStr">
        <is>
          <t>Призы не на абонементы</t>
        </is>
      </c>
      <c r="D1858" s="34" t="inlineStr">
        <is>
          <t>Дополнительная заморозка абонемента</t>
        </is>
      </c>
      <c r="E1858" s="34" t="inlineStr">
        <is>
          <t>При покупке абонемента</t>
        </is>
      </c>
      <c r="F1858" s="147" t="inlineStr">
        <is>
          <t>FW-L1-FURUQ-ESCZ6</t>
        </is>
      </c>
      <c r="G1858" s="39" t="inlineStr">
        <is>
          <t>Не использован</t>
        </is>
      </c>
      <c r="H1858" s="148" t="n"/>
      <c r="I1858" s="34" t="str"/>
      <c r="J1858" s="34" t="str"/>
      <c r="K1858" s="130" t="n">
        <v>51</v>
      </c>
      <c r="L1858" s="43">
        <f>IF(COUNTIF($F$5:$F$2407,F1858)=1,"OK","Дубликат")</f>
        <v/>
      </c>
    </row>
    <row r="1859" ht="38" customHeight="1">
      <c r="A1859" s="146" t="inlineStr">
        <is>
          <t>BONUS-L1-FREEZE</t>
        </is>
      </c>
      <c r="B1859" s="39" t="inlineStr">
        <is>
          <t>1 уровень</t>
        </is>
      </c>
      <c r="C1859" s="34" t="inlineStr">
        <is>
          <t>Призы не на абонементы</t>
        </is>
      </c>
      <c r="D1859" s="34" t="inlineStr">
        <is>
          <t>Дополнительная заморозка абонемента</t>
        </is>
      </c>
      <c r="E1859" s="34" t="inlineStr">
        <is>
          <t>При покупке абонемента</t>
        </is>
      </c>
      <c r="F1859" s="147" t="inlineStr">
        <is>
          <t>FW-L1-T7GM3-Y3BRS</t>
        </is>
      </c>
      <c r="G1859" s="39" t="inlineStr">
        <is>
          <t>Не использован</t>
        </is>
      </c>
      <c r="H1859" s="148" t="n"/>
      <c r="I1859" s="34" t="str"/>
      <c r="J1859" s="34" t="str"/>
      <c r="K1859" s="130" t="n">
        <v>52</v>
      </c>
      <c r="L1859" s="43">
        <f>IF(COUNTIF($F$5:$F$2407,F1859)=1,"OK","Дубликат")</f>
        <v/>
      </c>
    </row>
    <row r="1860" ht="38" customHeight="1">
      <c r="A1860" s="146" t="inlineStr">
        <is>
          <t>BONUS-L1-FREEZE</t>
        </is>
      </c>
      <c r="B1860" s="39" t="inlineStr">
        <is>
          <t>1 уровень</t>
        </is>
      </c>
      <c r="C1860" s="34" t="inlineStr">
        <is>
          <t>Призы не на абонементы</t>
        </is>
      </c>
      <c r="D1860" s="34" t="inlineStr">
        <is>
          <t>Дополнительная заморозка абонемента</t>
        </is>
      </c>
      <c r="E1860" s="34" t="inlineStr">
        <is>
          <t>При покупке абонемента</t>
        </is>
      </c>
      <c r="F1860" s="147" t="inlineStr">
        <is>
          <t>FW-L1-QMZK8-EBXBJ</t>
        </is>
      </c>
      <c r="G1860" s="39" t="inlineStr">
        <is>
          <t>Не использован</t>
        </is>
      </c>
      <c r="H1860" s="148" t="n"/>
      <c r="I1860" s="34" t="str"/>
      <c r="J1860" s="34" t="str"/>
      <c r="K1860" s="130" t="n">
        <v>53</v>
      </c>
      <c r="L1860" s="43">
        <f>IF(COUNTIF($F$5:$F$2407,F1860)=1,"OK","Дубликат")</f>
        <v/>
      </c>
    </row>
    <row r="1861" ht="38" customHeight="1">
      <c r="A1861" s="146" t="inlineStr">
        <is>
          <t>BONUS-L1-FREEZE</t>
        </is>
      </c>
      <c r="B1861" s="39" t="inlineStr">
        <is>
          <t>1 уровень</t>
        </is>
      </c>
      <c r="C1861" s="34" t="inlineStr">
        <is>
          <t>Призы не на абонементы</t>
        </is>
      </c>
      <c r="D1861" s="34" t="inlineStr">
        <is>
          <t>Дополнительная заморозка абонемента</t>
        </is>
      </c>
      <c r="E1861" s="34" t="inlineStr">
        <is>
          <t>При покупке абонемента</t>
        </is>
      </c>
      <c r="F1861" s="147" t="inlineStr">
        <is>
          <t>FW-L1-ZP6EX-EPLRA</t>
        </is>
      </c>
      <c r="G1861" s="39" t="inlineStr">
        <is>
          <t>Не использован</t>
        </is>
      </c>
      <c r="H1861" s="148" t="n"/>
      <c r="I1861" s="34" t="str"/>
      <c r="J1861" s="34" t="str"/>
      <c r="K1861" s="130" t="n">
        <v>54</v>
      </c>
      <c r="L1861" s="43">
        <f>IF(COUNTIF($F$5:$F$2407,F1861)=1,"OK","Дубликат")</f>
        <v/>
      </c>
    </row>
    <row r="1862" ht="38" customHeight="1">
      <c r="A1862" s="146" t="inlineStr">
        <is>
          <t>BONUS-L1-FREEZE</t>
        </is>
      </c>
      <c r="B1862" s="39" t="inlineStr">
        <is>
          <t>1 уровень</t>
        </is>
      </c>
      <c r="C1862" s="34" t="inlineStr">
        <is>
          <t>Призы не на абонементы</t>
        </is>
      </c>
      <c r="D1862" s="34" t="inlineStr">
        <is>
          <t>Дополнительная заморозка абонемента</t>
        </is>
      </c>
      <c r="E1862" s="34" t="inlineStr">
        <is>
          <t>При покупке абонемента</t>
        </is>
      </c>
      <c r="F1862" s="147" t="inlineStr">
        <is>
          <t>FW-L1-5RAFG-UXB4L</t>
        </is>
      </c>
      <c r="G1862" s="39" t="inlineStr">
        <is>
          <t>Не использован</t>
        </is>
      </c>
      <c r="H1862" s="148" t="n"/>
      <c r="I1862" s="34" t="str"/>
      <c r="J1862" s="34" t="str"/>
      <c r="K1862" s="130" t="n">
        <v>55</v>
      </c>
      <c r="L1862" s="43">
        <f>IF(COUNTIF($F$5:$F$2407,F1862)=1,"OK","Дубликат")</f>
        <v/>
      </c>
    </row>
    <row r="1863" ht="38" customHeight="1">
      <c r="A1863" s="146" t="inlineStr">
        <is>
          <t>BONUS-L1-FREEZE</t>
        </is>
      </c>
      <c r="B1863" s="39" t="inlineStr">
        <is>
          <t>1 уровень</t>
        </is>
      </c>
      <c r="C1863" s="34" t="inlineStr">
        <is>
          <t>Призы не на абонементы</t>
        </is>
      </c>
      <c r="D1863" s="34" t="inlineStr">
        <is>
          <t>Дополнительная заморозка абонемента</t>
        </is>
      </c>
      <c r="E1863" s="34" t="inlineStr">
        <is>
          <t>При покупке абонемента</t>
        </is>
      </c>
      <c r="F1863" s="147" t="inlineStr">
        <is>
          <t>FW-L1-YT5F3-44ZLH</t>
        </is>
      </c>
      <c r="G1863" s="39" t="inlineStr">
        <is>
          <t>Не использован</t>
        </is>
      </c>
      <c r="H1863" s="148" t="n"/>
      <c r="I1863" s="34" t="str"/>
      <c r="J1863" s="34" t="str"/>
      <c r="K1863" s="130" t="n">
        <v>56</v>
      </c>
      <c r="L1863" s="43">
        <f>IF(COUNTIF($F$5:$F$2407,F1863)=1,"OK","Дубликат")</f>
        <v/>
      </c>
    </row>
    <row r="1864" ht="38" customHeight="1">
      <c r="A1864" s="146" t="inlineStr">
        <is>
          <t>BONUS-L1-FREEZE</t>
        </is>
      </c>
      <c r="B1864" s="39" t="inlineStr">
        <is>
          <t>1 уровень</t>
        </is>
      </c>
      <c r="C1864" s="34" t="inlineStr">
        <is>
          <t>Призы не на абонементы</t>
        </is>
      </c>
      <c r="D1864" s="34" t="inlineStr">
        <is>
          <t>Дополнительная заморозка абонемента</t>
        </is>
      </c>
      <c r="E1864" s="34" t="inlineStr">
        <is>
          <t>При покупке абонемента</t>
        </is>
      </c>
      <c r="F1864" s="147" t="inlineStr">
        <is>
          <t>FW-L1-VN6L4-ZQZ37</t>
        </is>
      </c>
      <c r="G1864" s="39" t="inlineStr">
        <is>
          <t>Не использован</t>
        </is>
      </c>
      <c r="H1864" s="148" t="n"/>
      <c r="I1864" s="34" t="str"/>
      <c r="J1864" s="34" t="str"/>
      <c r="K1864" s="130" t="n">
        <v>57</v>
      </c>
      <c r="L1864" s="43">
        <f>IF(COUNTIF($F$5:$F$2407,F1864)=1,"OK","Дубликат")</f>
        <v/>
      </c>
    </row>
    <row r="1865" ht="38" customHeight="1">
      <c r="A1865" s="146" t="inlineStr">
        <is>
          <t>BONUS-L1-FREEZE</t>
        </is>
      </c>
      <c r="B1865" s="39" t="inlineStr">
        <is>
          <t>1 уровень</t>
        </is>
      </c>
      <c r="C1865" s="34" t="inlineStr">
        <is>
          <t>Призы не на абонементы</t>
        </is>
      </c>
      <c r="D1865" s="34" t="inlineStr">
        <is>
          <t>Дополнительная заморозка абонемента</t>
        </is>
      </c>
      <c r="E1865" s="34" t="inlineStr">
        <is>
          <t>При покупке абонемента</t>
        </is>
      </c>
      <c r="F1865" s="147" t="inlineStr">
        <is>
          <t>FW-L1-KKVXC-RXDJJ</t>
        </is>
      </c>
      <c r="G1865" s="39" t="inlineStr">
        <is>
          <t>Не использован</t>
        </is>
      </c>
      <c r="H1865" s="148" t="n"/>
      <c r="I1865" s="34" t="str"/>
      <c r="J1865" s="34" t="str"/>
      <c r="K1865" s="130" t="n">
        <v>58</v>
      </c>
      <c r="L1865" s="43">
        <f>IF(COUNTIF($F$5:$F$2407,F1865)=1,"OK","Дубликат")</f>
        <v/>
      </c>
    </row>
    <row r="1866" ht="38" customHeight="1">
      <c r="A1866" s="146" t="inlineStr">
        <is>
          <t>BONUS-L1-FREEZE</t>
        </is>
      </c>
      <c r="B1866" s="39" t="inlineStr">
        <is>
          <t>1 уровень</t>
        </is>
      </c>
      <c r="C1866" s="34" t="inlineStr">
        <is>
          <t>Призы не на абонементы</t>
        </is>
      </c>
      <c r="D1866" s="34" t="inlineStr">
        <is>
          <t>Дополнительная заморозка абонемента</t>
        </is>
      </c>
      <c r="E1866" s="34" t="inlineStr">
        <is>
          <t>При покупке абонемента</t>
        </is>
      </c>
      <c r="F1866" s="147" t="inlineStr">
        <is>
          <t>FW-L1-A8PFF-D3ZVA</t>
        </is>
      </c>
      <c r="G1866" s="39" t="inlineStr">
        <is>
          <t>Не использован</t>
        </is>
      </c>
      <c r="H1866" s="148" t="n"/>
      <c r="I1866" s="34" t="str"/>
      <c r="J1866" s="34" t="str"/>
      <c r="K1866" s="130" t="n">
        <v>59</v>
      </c>
      <c r="L1866" s="43">
        <f>IF(COUNTIF($F$5:$F$2407,F1866)=1,"OK","Дубликат")</f>
        <v/>
      </c>
    </row>
    <row r="1867" ht="38" customHeight="1">
      <c r="A1867" s="146" t="inlineStr">
        <is>
          <t>BONUS-L1-FREEZE</t>
        </is>
      </c>
      <c r="B1867" s="39" t="inlineStr">
        <is>
          <t>1 уровень</t>
        </is>
      </c>
      <c r="C1867" s="34" t="inlineStr">
        <is>
          <t>Призы не на абонементы</t>
        </is>
      </c>
      <c r="D1867" s="34" t="inlineStr">
        <is>
          <t>Дополнительная заморозка абонемента</t>
        </is>
      </c>
      <c r="E1867" s="34" t="inlineStr">
        <is>
          <t>При покупке абонемента</t>
        </is>
      </c>
      <c r="F1867" s="147" t="inlineStr">
        <is>
          <t>FW-L1-WTKZJ-RRQCM</t>
        </is>
      </c>
      <c r="G1867" s="39" t="inlineStr">
        <is>
          <t>Не использован</t>
        </is>
      </c>
      <c r="H1867" s="148" t="n"/>
      <c r="I1867" s="34" t="str"/>
      <c r="J1867" s="34" t="str"/>
      <c r="K1867" s="130" t="n">
        <v>60</v>
      </c>
      <c r="L1867" s="43">
        <f>IF(COUNTIF($F$5:$F$2407,F1867)=1,"OK","Дубликат")</f>
        <v/>
      </c>
    </row>
    <row r="1868" ht="38" customHeight="1">
      <c r="A1868" s="146" t="inlineStr">
        <is>
          <t>BONUS-L1-FREEZE</t>
        </is>
      </c>
      <c r="B1868" s="39" t="inlineStr">
        <is>
          <t>1 уровень</t>
        </is>
      </c>
      <c r="C1868" s="34" t="inlineStr">
        <is>
          <t>Призы не на абонементы</t>
        </is>
      </c>
      <c r="D1868" s="34" t="inlineStr">
        <is>
          <t>Дополнительная заморозка абонемента</t>
        </is>
      </c>
      <c r="E1868" s="34" t="inlineStr">
        <is>
          <t>При покупке абонемента</t>
        </is>
      </c>
      <c r="F1868" s="147" t="inlineStr">
        <is>
          <t>FW-L1-7YVY9-LRQ7E</t>
        </is>
      </c>
      <c r="G1868" s="39" t="inlineStr">
        <is>
          <t>Не использован</t>
        </is>
      </c>
      <c r="H1868" s="148" t="n"/>
      <c r="I1868" s="34" t="str"/>
      <c r="J1868" s="34" t="str"/>
      <c r="K1868" s="130" t="n">
        <v>61</v>
      </c>
      <c r="L1868" s="43">
        <f>IF(COUNTIF($F$5:$F$2407,F1868)=1,"OK","Дубликат")</f>
        <v/>
      </c>
    </row>
    <row r="1869" ht="38" customHeight="1">
      <c r="A1869" s="146" t="inlineStr">
        <is>
          <t>BONUS-L1-FREEZE</t>
        </is>
      </c>
      <c r="B1869" s="39" t="inlineStr">
        <is>
          <t>1 уровень</t>
        </is>
      </c>
      <c r="C1869" s="34" t="inlineStr">
        <is>
          <t>Призы не на абонементы</t>
        </is>
      </c>
      <c r="D1869" s="34" t="inlineStr">
        <is>
          <t>Дополнительная заморозка абонемента</t>
        </is>
      </c>
      <c r="E1869" s="34" t="inlineStr">
        <is>
          <t>При покупке абонемента</t>
        </is>
      </c>
      <c r="F1869" s="147" t="inlineStr">
        <is>
          <t>FW-L1-GY3YP-8RJBD</t>
        </is>
      </c>
      <c r="G1869" s="39" t="inlineStr">
        <is>
          <t>Не использован</t>
        </is>
      </c>
      <c r="H1869" s="148" t="n"/>
      <c r="I1869" s="34" t="str"/>
      <c r="J1869" s="34" t="str"/>
      <c r="K1869" s="130" t="n">
        <v>62</v>
      </c>
      <c r="L1869" s="43">
        <f>IF(COUNTIF($F$5:$F$2407,F1869)=1,"OK","Дубликат")</f>
        <v/>
      </c>
    </row>
    <row r="1870" ht="38" customHeight="1">
      <c r="A1870" s="146" t="inlineStr">
        <is>
          <t>BONUS-L1-FREEZE</t>
        </is>
      </c>
      <c r="B1870" s="39" t="inlineStr">
        <is>
          <t>1 уровень</t>
        </is>
      </c>
      <c r="C1870" s="34" t="inlineStr">
        <is>
          <t>Призы не на абонементы</t>
        </is>
      </c>
      <c r="D1870" s="34" t="inlineStr">
        <is>
          <t>Дополнительная заморозка абонемента</t>
        </is>
      </c>
      <c r="E1870" s="34" t="inlineStr">
        <is>
          <t>При покупке абонемента</t>
        </is>
      </c>
      <c r="F1870" s="147" t="inlineStr">
        <is>
          <t>FW-L1-7JCCP-QEGQE</t>
        </is>
      </c>
      <c r="G1870" s="39" t="inlineStr">
        <is>
          <t>Не использован</t>
        </is>
      </c>
      <c r="H1870" s="148" t="n"/>
      <c r="I1870" s="34" t="str"/>
      <c r="J1870" s="34" t="str"/>
      <c r="K1870" s="130" t="n">
        <v>63</v>
      </c>
      <c r="L1870" s="43">
        <f>IF(COUNTIF($F$5:$F$2407,F1870)=1,"OK","Дубликат")</f>
        <v/>
      </c>
    </row>
    <row r="1871" ht="38" customHeight="1">
      <c r="A1871" s="146" t="inlineStr">
        <is>
          <t>BONUS-L1-FREEZE</t>
        </is>
      </c>
      <c r="B1871" s="39" t="inlineStr">
        <is>
          <t>1 уровень</t>
        </is>
      </c>
      <c r="C1871" s="34" t="inlineStr">
        <is>
          <t>Призы не на абонементы</t>
        </is>
      </c>
      <c r="D1871" s="34" t="inlineStr">
        <is>
          <t>Дополнительная заморозка абонемента</t>
        </is>
      </c>
      <c r="E1871" s="34" t="inlineStr">
        <is>
          <t>При покупке абонемента</t>
        </is>
      </c>
      <c r="F1871" s="147" t="inlineStr">
        <is>
          <t>FW-L1-ERP3B-NBVCL</t>
        </is>
      </c>
      <c r="G1871" s="39" t="inlineStr">
        <is>
          <t>Не использован</t>
        </is>
      </c>
      <c r="H1871" s="148" t="n"/>
      <c r="I1871" s="34" t="str"/>
      <c r="J1871" s="34" t="str"/>
      <c r="K1871" s="130" t="n">
        <v>64</v>
      </c>
      <c r="L1871" s="43">
        <f>IF(COUNTIF($F$5:$F$2407,F1871)=1,"OK","Дубликат")</f>
        <v/>
      </c>
    </row>
    <row r="1872" ht="38" customHeight="1">
      <c r="A1872" s="146" t="inlineStr">
        <is>
          <t>BONUS-L1-FREEZE</t>
        </is>
      </c>
      <c r="B1872" s="39" t="inlineStr">
        <is>
          <t>1 уровень</t>
        </is>
      </c>
      <c r="C1872" s="34" t="inlineStr">
        <is>
          <t>Призы не на абонементы</t>
        </is>
      </c>
      <c r="D1872" s="34" t="inlineStr">
        <is>
          <t>Дополнительная заморозка абонемента</t>
        </is>
      </c>
      <c r="E1872" s="34" t="inlineStr">
        <is>
          <t>При покупке абонемента</t>
        </is>
      </c>
      <c r="F1872" s="147" t="inlineStr">
        <is>
          <t>FW-L1-6W5P6-M4ZYF</t>
        </is>
      </c>
      <c r="G1872" s="39" t="inlineStr">
        <is>
          <t>Не использован</t>
        </is>
      </c>
      <c r="H1872" s="148" t="n"/>
      <c r="I1872" s="34" t="str"/>
      <c r="J1872" s="34" t="str"/>
      <c r="K1872" s="130" t="n">
        <v>65</v>
      </c>
      <c r="L1872" s="43">
        <f>IF(COUNTIF($F$5:$F$2407,F1872)=1,"OK","Дубликат")</f>
        <v/>
      </c>
    </row>
    <row r="1873" ht="38" customHeight="1">
      <c r="A1873" s="146" t="inlineStr">
        <is>
          <t>BONUS-L1-FREEZE</t>
        </is>
      </c>
      <c r="B1873" s="39" t="inlineStr">
        <is>
          <t>1 уровень</t>
        </is>
      </c>
      <c r="C1873" s="34" t="inlineStr">
        <is>
          <t>Призы не на абонементы</t>
        </is>
      </c>
      <c r="D1873" s="34" t="inlineStr">
        <is>
          <t>Дополнительная заморозка абонемента</t>
        </is>
      </c>
      <c r="E1873" s="34" t="inlineStr">
        <is>
          <t>При покупке абонемента</t>
        </is>
      </c>
      <c r="F1873" s="147" t="inlineStr">
        <is>
          <t>FW-L1-HZBRC-2P34Z</t>
        </is>
      </c>
      <c r="G1873" s="39" t="inlineStr">
        <is>
          <t>Не использован</t>
        </is>
      </c>
      <c r="H1873" s="148" t="n"/>
      <c r="I1873" s="34" t="str"/>
      <c r="J1873" s="34" t="str"/>
      <c r="K1873" s="130" t="n">
        <v>66</v>
      </c>
      <c r="L1873" s="43">
        <f>IF(COUNTIF($F$5:$F$2407,F1873)=1,"OK","Дубликат")</f>
        <v/>
      </c>
    </row>
    <row r="1874" ht="38" customHeight="1">
      <c r="A1874" s="146" t="inlineStr">
        <is>
          <t>BONUS-L1-FREEZE</t>
        </is>
      </c>
      <c r="B1874" s="39" t="inlineStr">
        <is>
          <t>1 уровень</t>
        </is>
      </c>
      <c r="C1874" s="34" t="inlineStr">
        <is>
          <t>Призы не на абонементы</t>
        </is>
      </c>
      <c r="D1874" s="34" t="inlineStr">
        <is>
          <t>Дополнительная заморозка абонемента</t>
        </is>
      </c>
      <c r="E1874" s="34" t="inlineStr">
        <is>
          <t>При покупке абонемента</t>
        </is>
      </c>
      <c r="F1874" s="147" t="inlineStr">
        <is>
          <t>FW-L1-7HPRJ-Y9JHY</t>
        </is>
      </c>
      <c r="G1874" s="39" t="inlineStr">
        <is>
          <t>Не использован</t>
        </is>
      </c>
      <c r="H1874" s="148" t="n"/>
      <c r="I1874" s="34" t="str"/>
      <c r="J1874" s="34" t="str"/>
      <c r="K1874" s="130" t="n">
        <v>67</v>
      </c>
      <c r="L1874" s="43">
        <f>IF(COUNTIF($F$5:$F$2407,F1874)=1,"OK","Дубликат")</f>
        <v/>
      </c>
    </row>
    <row r="1875" ht="38" customHeight="1">
      <c r="A1875" s="146" t="inlineStr">
        <is>
          <t>BONUS-L1-FREEZE</t>
        </is>
      </c>
      <c r="B1875" s="39" t="inlineStr">
        <is>
          <t>1 уровень</t>
        </is>
      </c>
      <c r="C1875" s="34" t="inlineStr">
        <is>
          <t>Призы не на абонементы</t>
        </is>
      </c>
      <c r="D1875" s="34" t="inlineStr">
        <is>
          <t>Дополнительная заморозка абонемента</t>
        </is>
      </c>
      <c r="E1875" s="34" t="inlineStr">
        <is>
          <t>При покупке абонемента</t>
        </is>
      </c>
      <c r="F1875" s="147" t="inlineStr">
        <is>
          <t>FW-L1-94S5M-LSJVZ</t>
        </is>
      </c>
      <c r="G1875" s="39" t="inlineStr">
        <is>
          <t>Не использован</t>
        </is>
      </c>
      <c r="H1875" s="148" t="n"/>
      <c r="I1875" s="34" t="str"/>
      <c r="J1875" s="34" t="str"/>
      <c r="K1875" s="130" t="n">
        <v>68</v>
      </c>
      <c r="L1875" s="43">
        <f>IF(COUNTIF($F$5:$F$2407,F1875)=1,"OK","Дубликат")</f>
        <v/>
      </c>
    </row>
    <row r="1876" ht="38" customHeight="1">
      <c r="A1876" s="146" t="inlineStr">
        <is>
          <t>BONUS-L1-FREEZE</t>
        </is>
      </c>
      <c r="B1876" s="39" t="inlineStr">
        <is>
          <t>1 уровень</t>
        </is>
      </c>
      <c r="C1876" s="34" t="inlineStr">
        <is>
          <t>Призы не на абонементы</t>
        </is>
      </c>
      <c r="D1876" s="34" t="inlineStr">
        <is>
          <t>Дополнительная заморозка абонемента</t>
        </is>
      </c>
      <c r="E1876" s="34" t="inlineStr">
        <is>
          <t>При покупке абонемента</t>
        </is>
      </c>
      <c r="F1876" s="147" t="inlineStr">
        <is>
          <t>FW-L1-X9CF8-LY586</t>
        </is>
      </c>
      <c r="G1876" s="39" t="inlineStr">
        <is>
          <t>Не использован</t>
        </is>
      </c>
      <c r="H1876" s="148" t="n"/>
      <c r="I1876" s="34" t="str"/>
      <c r="J1876" s="34" t="str"/>
      <c r="K1876" s="130" t="n">
        <v>69</v>
      </c>
      <c r="L1876" s="43">
        <f>IF(COUNTIF($F$5:$F$2407,F1876)=1,"OK","Дубликат")</f>
        <v/>
      </c>
    </row>
    <row r="1877" ht="38" customHeight="1">
      <c r="A1877" s="146" t="inlineStr">
        <is>
          <t>BONUS-L1-FREEZE</t>
        </is>
      </c>
      <c r="B1877" s="39" t="inlineStr">
        <is>
          <t>1 уровень</t>
        </is>
      </c>
      <c r="C1877" s="34" t="inlineStr">
        <is>
          <t>Призы не на абонементы</t>
        </is>
      </c>
      <c r="D1877" s="34" t="inlineStr">
        <is>
          <t>Дополнительная заморозка абонемента</t>
        </is>
      </c>
      <c r="E1877" s="34" t="inlineStr">
        <is>
          <t>При покупке абонемента</t>
        </is>
      </c>
      <c r="F1877" s="147" t="inlineStr">
        <is>
          <t>FW-L1-4Q63H-54WLZ</t>
        </is>
      </c>
      <c r="G1877" s="39" t="inlineStr">
        <is>
          <t>Не использован</t>
        </is>
      </c>
      <c r="H1877" s="148" t="n"/>
      <c r="I1877" s="34" t="str"/>
      <c r="J1877" s="34" t="str"/>
      <c r="K1877" s="130" t="n">
        <v>70</v>
      </c>
      <c r="L1877" s="43">
        <f>IF(COUNTIF($F$5:$F$2407,F1877)=1,"OK","Дубликат")</f>
        <v/>
      </c>
    </row>
    <row r="1878" ht="38" customHeight="1">
      <c r="A1878" s="146" t="inlineStr">
        <is>
          <t>BONUS-L1-FREEZE</t>
        </is>
      </c>
      <c r="B1878" s="39" t="inlineStr">
        <is>
          <t>1 уровень</t>
        </is>
      </c>
      <c r="C1878" s="34" t="inlineStr">
        <is>
          <t>Призы не на абонементы</t>
        </is>
      </c>
      <c r="D1878" s="34" t="inlineStr">
        <is>
          <t>Дополнительная заморозка абонемента</t>
        </is>
      </c>
      <c r="E1878" s="34" t="inlineStr">
        <is>
          <t>При покупке абонемента</t>
        </is>
      </c>
      <c r="F1878" s="147" t="inlineStr">
        <is>
          <t>FW-L1-QEU96-Z5DKC</t>
        </is>
      </c>
      <c r="G1878" s="39" t="inlineStr">
        <is>
          <t>Не использован</t>
        </is>
      </c>
      <c r="H1878" s="148" t="n"/>
      <c r="I1878" s="34" t="str"/>
      <c r="J1878" s="34" t="str"/>
      <c r="K1878" s="130" t="n">
        <v>71</v>
      </c>
      <c r="L1878" s="43">
        <f>IF(COUNTIF($F$5:$F$2407,F1878)=1,"OK","Дубликат")</f>
        <v/>
      </c>
    </row>
    <row r="1879" ht="38" customHeight="1">
      <c r="A1879" s="146" t="inlineStr">
        <is>
          <t>BONUS-L1-FREEZE</t>
        </is>
      </c>
      <c r="B1879" s="39" t="inlineStr">
        <is>
          <t>1 уровень</t>
        </is>
      </c>
      <c r="C1879" s="34" t="inlineStr">
        <is>
          <t>Призы не на абонементы</t>
        </is>
      </c>
      <c r="D1879" s="34" t="inlineStr">
        <is>
          <t>Дополнительная заморозка абонемента</t>
        </is>
      </c>
      <c r="E1879" s="34" t="inlineStr">
        <is>
          <t>При покупке абонемента</t>
        </is>
      </c>
      <c r="F1879" s="147" t="inlineStr">
        <is>
          <t>FW-L1-X2GUV-ECY9G</t>
        </is>
      </c>
      <c r="G1879" s="39" t="inlineStr">
        <is>
          <t>Не использован</t>
        </is>
      </c>
      <c r="H1879" s="148" t="n"/>
      <c r="I1879" s="34" t="str"/>
      <c r="J1879" s="34" t="str"/>
      <c r="K1879" s="130" t="n">
        <v>72</v>
      </c>
      <c r="L1879" s="43">
        <f>IF(COUNTIF($F$5:$F$2407,F1879)=1,"OK","Дубликат")</f>
        <v/>
      </c>
    </row>
    <row r="1880" ht="38" customHeight="1">
      <c r="A1880" s="146" t="inlineStr">
        <is>
          <t>BONUS-L1-FREEZE</t>
        </is>
      </c>
      <c r="B1880" s="39" t="inlineStr">
        <is>
          <t>1 уровень</t>
        </is>
      </c>
      <c r="C1880" s="34" t="inlineStr">
        <is>
          <t>Призы не на абонементы</t>
        </is>
      </c>
      <c r="D1880" s="34" t="inlineStr">
        <is>
          <t>Дополнительная заморозка абонемента</t>
        </is>
      </c>
      <c r="E1880" s="34" t="inlineStr">
        <is>
          <t>При покупке абонемента</t>
        </is>
      </c>
      <c r="F1880" s="147" t="inlineStr">
        <is>
          <t>FW-L1-P6RXQ-RFPXJ</t>
        </is>
      </c>
      <c r="G1880" s="39" t="inlineStr">
        <is>
          <t>Не использован</t>
        </is>
      </c>
      <c r="H1880" s="148" t="n"/>
      <c r="I1880" s="34" t="str"/>
      <c r="J1880" s="34" t="str"/>
      <c r="K1880" s="130" t="n">
        <v>73</v>
      </c>
      <c r="L1880" s="43">
        <f>IF(COUNTIF($F$5:$F$2407,F1880)=1,"OK","Дубликат")</f>
        <v/>
      </c>
    </row>
    <row r="1881" ht="38" customHeight="1">
      <c r="A1881" s="146" t="inlineStr">
        <is>
          <t>BONUS-L1-FREEZE</t>
        </is>
      </c>
      <c r="B1881" s="39" t="inlineStr">
        <is>
          <t>1 уровень</t>
        </is>
      </c>
      <c r="C1881" s="34" t="inlineStr">
        <is>
          <t>Призы не на абонементы</t>
        </is>
      </c>
      <c r="D1881" s="34" t="inlineStr">
        <is>
          <t>Дополнительная заморозка абонемента</t>
        </is>
      </c>
      <c r="E1881" s="34" t="inlineStr">
        <is>
          <t>При покупке абонемента</t>
        </is>
      </c>
      <c r="F1881" s="147" t="inlineStr">
        <is>
          <t>FW-L1-KMLJP-CY8DT</t>
        </is>
      </c>
      <c r="G1881" s="39" t="inlineStr">
        <is>
          <t>Не использован</t>
        </is>
      </c>
      <c r="H1881" s="148" t="n"/>
      <c r="I1881" s="34" t="str"/>
      <c r="J1881" s="34" t="str"/>
      <c r="K1881" s="130" t="n">
        <v>74</v>
      </c>
      <c r="L1881" s="43">
        <f>IF(COUNTIF($F$5:$F$2407,F1881)=1,"OK","Дубликат")</f>
        <v/>
      </c>
    </row>
    <row r="1882" ht="38" customHeight="1">
      <c r="A1882" s="146" t="inlineStr">
        <is>
          <t>BONUS-L1-FREEZE</t>
        </is>
      </c>
      <c r="B1882" s="39" t="inlineStr">
        <is>
          <t>1 уровень</t>
        </is>
      </c>
      <c r="C1882" s="34" t="inlineStr">
        <is>
          <t>Призы не на абонементы</t>
        </is>
      </c>
      <c r="D1882" s="34" t="inlineStr">
        <is>
          <t>Дополнительная заморозка абонемента</t>
        </is>
      </c>
      <c r="E1882" s="34" t="inlineStr">
        <is>
          <t>При покупке абонемента</t>
        </is>
      </c>
      <c r="F1882" s="147" t="inlineStr">
        <is>
          <t>FW-L1-WR4QQ-6XM8D</t>
        </is>
      </c>
      <c r="G1882" s="39" t="inlineStr">
        <is>
          <t>Не использован</t>
        </is>
      </c>
      <c r="H1882" s="148" t="n"/>
      <c r="I1882" s="34" t="str"/>
      <c r="J1882" s="34" t="str"/>
      <c r="K1882" s="130" t="n">
        <v>75</v>
      </c>
      <c r="L1882" s="43">
        <f>IF(COUNTIF($F$5:$F$2407,F1882)=1,"OK","Дубликат")</f>
        <v/>
      </c>
    </row>
    <row r="1883" ht="38" customHeight="1">
      <c r="A1883" s="146" t="inlineStr">
        <is>
          <t>BONUS-L1-FREEZE</t>
        </is>
      </c>
      <c r="B1883" s="39" t="inlineStr">
        <is>
          <t>1 уровень</t>
        </is>
      </c>
      <c r="C1883" s="34" t="inlineStr">
        <is>
          <t>Призы не на абонементы</t>
        </is>
      </c>
      <c r="D1883" s="34" t="inlineStr">
        <is>
          <t>Дополнительная заморозка абонемента</t>
        </is>
      </c>
      <c r="E1883" s="34" t="inlineStr">
        <is>
          <t>При покупке абонемента</t>
        </is>
      </c>
      <c r="F1883" s="147" t="inlineStr">
        <is>
          <t>FW-L1-P83FM-VEXGF</t>
        </is>
      </c>
      <c r="G1883" s="39" t="inlineStr">
        <is>
          <t>Не использован</t>
        </is>
      </c>
      <c r="H1883" s="148" t="n"/>
      <c r="I1883" s="34" t="str"/>
      <c r="J1883" s="34" t="str"/>
      <c r="K1883" s="130" t="n">
        <v>76</v>
      </c>
      <c r="L1883" s="43">
        <f>IF(COUNTIF($F$5:$F$2407,F1883)=1,"OK","Дубликат")</f>
        <v/>
      </c>
    </row>
    <row r="1884" ht="38" customHeight="1">
      <c r="A1884" s="146" t="inlineStr">
        <is>
          <t>BONUS-L1-FREEZE</t>
        </is>
      </c>
      <c r="B1884" s="39" t="inlineStr">
        <is>
          <t>1 уровень</t>
        </is>
      </c>
      <c r="C1884" s="34" t="inlineStr">
        <is>
          <t>Призы не на абонементы</t>
        </is>
      </c>
      <c r="D1884" s="34" t="inlineStr">
        <is>
          <t>Дополнительная заморозка абонемента</t>
        </is>
      </c>
      <c r="E1884" s="34" t="inlineStr">
        <is>
          <t>При покупке абонемента</t>
        </is>
      </c>
      <c r="F1884" s="147" t="inlineStr">
        <is>
          <t>FW-L1-4TN4U-5YRFH</t>
        </is>
      </c>
      <c r="G1884" s="39" t="inlineStr">
        <is>
          <t>Не использован</t>
        </is>
      </c>
      <c r="H1884" s="148" t="n"/>
      <c r="I1884" s="34" t="str"/>
      <c r="J1884" s="34" t="str"/>
      <c r="K1884" s="130" t="n">
        <v>77</v>
      </c>
      <c r="L1884" s="43">
        <f>IF(COUNTIF($F$5:$F$2407,F1884)=1,"OK","Дубликат")</f>
        <v/>
      </c>
    </row>
    <row r="1885" ht="38" customHeight="1">
      <c r="A1885" s="146" t="inlineStr">
        <is>
          <t>BONUS-L1-FREEZE</t>
        </is>
      </c>
      <c r="B1885" s="39" t="inlineStr">
        <is>
          <t>1 уровень</t>
        </is>
      </c>
      <c r="C1885" s="34" t="inlineStr">
        <is>
          <t>Призы не на абонементы</t>
        </is>
      </c>
      <c r="D1885" s="34" t="inlineStr">
        <is>
          <t>Дополнительная заморозка абонемента</t>
        </is>
      </c>
      <c r="E1885" s="34" t="inlineStr">
        <is>
          <t>При покупке абонемента</t>
        </is>
      </c>
      <c r="F1885" s="147" t="inlineStr">
        <is>
          <t>FW-L1-4L3XR-P4WN6</t>
        </is>
      </c>
      <c r="G1885" s="39" t="inlineStr">
        <is>
          <t>Не использован</t>
        </is>
      </c>
      <c r="H1885" s="148" t="n"/>
      <c r="I1885" s="34" t="str"/>
      <c r="J1885" s="34" t="str"/>
      <c r="K1885" s="130" t="n">
        <v>78</v>
      </c>
      <c r="L1885" s="43">
        <f>IF(COUNTIF($F$5:$F$2407,F1885)=1,"OK","Дубликат")</f>
        <v/>
      </c>
    </row>
    <row r="1886" ht="38" customHeight="1">
      <c r="A1886" s="146" t="inlineStr">
        <is>
          <t>BONUS-L1-FREEZE</t>
        </is>
      </c>
      <c r="B1886" s="39" t="inlineStr">
        <is>
          <t>1 уровень</t>
        </is>
      </c>
      <c r="C1886" s="34" t="inlineStr">
        <is>
          <t>Призы не на абонементы</t>
        </is>
      </c>
      <c r="D1886" s="34" t="inlineStr">
        <is>
          <t>Дополнительная заморозка абонемента</t>
        </is>
      </c>
      <c r="E1886" s="34" t="inlineStr">
        <is>
          <t>При покупке абонемента</t>
        </is>
      </c>
      <c r="F1886" s="147" t="inlineStr">
        <is>
          <t>FW-L1-NJ2XR-NVJSM</t>
        </is>
      </c>
      <c r="G1886" s="39" t="inlineStr">
        <is>
          <t>Не использован</t>
        </is>
      </c>
      <c r="H1886" s="148" t="n"/>
      <c r="I1886" s="34" t="str"/>
      <c r="J1886" s="34" t="str"/>
      <c r="K1886" s="130" t="n">
        <v>79</v>
      </c>
      <c r="L1886" s="43">
        <f>IF(COUNTIF($F$5:$F$2407,F1886)=1,"OK","Дубликат")</f>
        <v/>
      </c>
    </row>
    <row r="1887" ht="38" customHeight="1">
      <c r="A1887" s="146" t="inlineStr">
        <is>
          <t>BONUS-L1-FREEZE</t>
        </is>
      </c>
      <c r="B1887" s="39" t="inlineStr">
        <is>
          <t>1 уровень</t>
        </is>
      </c>
      <c r="C1887" s="34" t="inlineStr">
        <is>
          <t>Призы не на абонементы</t>
        </is>
      </c>
      <c r="D1887" s="34" t="inlineStr">
        <is>
          <t>Дополнительная заморозка абонемента</t>
        </is>
      </c>
      <c r="E1887" s="34" t="inlineStr">
        <is>
          <t>При покупке абонемента</t>
        </is>
      </c>
      <c r="F1887" s="147" t="inlineStr">
        <is>
          <t>FW-L1-SYSR8-PWL4T</t>
        </is>
      </c>
      <c r="G1887" s="39" t="inlineStr">
        <is>
          <t>Не использован</t>
        </is>
      </c>
      <c r="H1887" s="148" t="n"/>
      <c r="I1887" s="34" t="str"/>
      <c r="J1887" s="34" t="str"/>
      <c r="K1887" s="130" t="n">
        <v>80</v>
      </c>
      <c r="L1887" s="43">
        <f>IF(COUNTIF($F$5:$F$2407,F1887)=1,"OK","Дубликат")</f>
        <v/>
      </c>
    </row>
    <row r="1888" ht="38" customHeight="1">
      <c r="A1888" s="146" t="inlineStr">
        <is>
          <t>BONUS-L1-FREEZE</t>
        </is>
      </c>
      <c r="B1888" s="39" t="inlineStr">
        <is>
          <t>1 уровень</t>
        </is>
      </c>
      <c r="C1888" s="34" t="inlineStr">
        <is>
          <t>Призы не на абонементы</t>
        </is>
      </c>
      <c r="D1888" s="34" t="inlineStr">
        <is>
          <t>Дополнительная заморозка абонемента</t>
        </is>
      </c>
      <c r="E1888" s="34" t="inlineStr">
        <is>
          <t>При покупке абонемента</t>
        </is>
      </c>
      <c r="F1888" s="147" t="inlineStr">
        <is>
          <t>FW-L1-9JH2D-NVGHR</t>
        </is>
      </c>
      <c r="G1888" s="39" t="inlineStr">
        <is>
          <t>Не использован</t>
        </is>
      </c>
      <c r="H1888" s="148" t="n"/>
      <c r="I1888" s="34" t="str"/>
      <c r="J1888" s="34" t="str"/>
      <c r="K1888" s="130" t="n">
        <v>81</v>
      </c>
      <c r="L1888" s="43">
        <f>IF(COUNTIF($F$5:$F$2407,F1888)=1,"OK","Дубликат")</f>
        <v/>
      </c>
    </row>
    <row r="1889" ht="38" customHeight="1">
      <c r="A1889" s="146" t="inlineStr">
        <is>
          <t>BONUS-L1-FREEZE</t>
        </is>
      </c>
      <c r="B1889" s="39" t="inlineStr">
        <is>
          <t>1 уровень</t>
        </is>
      </c>
      <c r="C1889" s="34" t="inlineStr">
        <is>
          <t>Призы не на абонементы</t>
        </is>
      </c>
      <c r="D1889" s="34" t="inlineStr">
        <is>
          <t>Дополнительная заморозка абонемента</t>
        </is>
      </c>
      <c r="E1889" s="34" t="inlineStr">
        <is>
          <t>При покупке абонемента</t>
        </is>
      </c>
      <c r="F1889" s="147" t="inlineStr">
        <is>
          <t>FW-L1-3HWG5-WHUV6</t>
        </is>
      </c>
      <c r="G1889" s="39" t="inlineStr">
        <is>
          <t>Не использован</t>
        </is>
      </c>
      <c r="H1889" s="148" t="n"/>
      <c r="I1889" s="34" t="str"/>
      <c r="J1889" s="34" t="str"/>
      <c r="K1889" s="130" t="n">
        <v>82</v>
      </c>
      <c r="L1889" s="43">
        <f>IF(COUNTIF($F$5:$F$2407,F1889)=1,"OK","Дубликат")</f>
        <v/>
      </c>
    </row>
    <row r="1890" ht="38" customHeight="1">
      <c r="A1890" s="146" t="inlineStr">
        <is>
          <t>BONUS-L1-FREEZE</t>
        </is>
      </c>
      <c r="B1890" s="39" t="inlineStr">
        <is>
          <t>1 уровень</t>
        </is>
      </c>
      <c r="C1890" s="34" t="inlineStr">
        <is>
          <t>Призы не на абонементы</t>
        </is>
      </c>
      <c r="D1890" s="34" t="inlineStr">
        <is>
          <t>Дополнительная заморозка абонемента</t>
        </is>
      </c>
      <c r="E1890" s="34" t="inlineStr">
        <is>
          <t>При покупке абонемента</t>
        </is>
      </c>
      <c r="F1890" s="147" t="inlineStr">
        <is>
          <t>FW-L1-9SSC2-YLRPF</t>
        </is>
      </c>
      <c r="G1890" s="39" t="inlineStr">
        <is>
          <t>Не использован</t>
        </is>
      </c>
      <c r="H1890" s="148" t="n"/>
      <c r="I1890" s="34" t="str"/>
      <c r="J1890" s="34" t="str"/>
      <c r="K1890" s="130" t="n">
        <v>83</v>
      </c>
      <c r="L1890" s="43">
        <f>IF(COUNTIF($F$5:$F$2407,F1890)=1,"OK","Дубликат")</f>
        <v/>
      </c>
    </row>
    <row r="1891" ht="38" customHeight="1">
      <c r="A1891" s="146" t="inlineStr">
        <is>
          <t>BONUS-L1-FREEZE</t>
        </is>
      </c>
      <c r="B1891" s="39" t="inlineStr">
        <is>
          <t>1 уровень</t>
        </is>
      </c>
      <c r="C1891" s="34" t="inlineStr">
        <is>
          <t>Призы не на абонементы</t>
        </is>
      </c>
      <c r="D1891" s="34" t="inlineStr">
        <is>
          <t>Дополнительная заморозка абонемента</t>
        </is>
      </c>
      <c r="E1891" s="34" t="inlineStr">
        <is>
          <t>При покупке абонемента</t>
        </is>
      </c>
      <c r="F1891" s="147" t="inlineStr">
        <is>
          <t>FW-L1-4Q2NB-X4DYA</t>
        </is>
      </c>
      <c r="G1891" s="39" t="inlineStr">
        <is>
          <t>Не использован</t>
        </is>
      </c>
      <c r="H1891" s="148" t="n"/>
      <c r="I1891" s="34" t="str"/>
      <c r="J1891" s="34" t="str"/>
      <c r="K1891" s="130" t="n">
        <v>84</v>
      </c>
      <c r="L1891" s="43">
        <f>IF(COUNTIF($F$5:$F$2407,F1891)=1,"OK","Дубликат")</f>
        <v/>
      </c>
    </row>
    <row r="1892" ht="38" customHeight="1">
      <c r="A1892" s="146" t="inlineStr">
        <is>
          <t>BONUS-L1-FREEZE</t>
        </is>
      </c>
      <c r="B1892" s="39" t="inlineStr">
        <is>
          <t>1 уровень</t>
        </is>
      </c>
      <c r="C1892" s="34" t="inlineStr">
        <is>
          <t>Призы не на абонементы</t>
        </is>
      </c>
      <c r="D1892" s="34" t="inlineStr">
        <is>
          <t>Дополнительная заморозка абонемента</t>
        </is>
      </c>
      <c r="E1892" s="34" t="inlineStr">
        <is>
          <t>При покупке абонемента</t>
        </is>
      </c>
      <c r="F1892" s="147" t="inlineStr">
        <is>
          <t>FW-L1-72YR2-AVDLA</t>
        </is>
      </c>
      <c r="G1892" s="39" t="inlineStr">
        <is>
          <t>Не использован</t>
        </is>
      </c>
      <c r="H1892" s="148" t="n"/>
      <c r="I1892" s="34" t="str"/>
      <c r="J1892" s="34" t="str"/>
      <c r="K1892" s="130" t="n">
        <v>85</v>
      </c>
      <c r="L1892" s="43">
        <f>IF(COUNTIF($F$5:$F$2407,F1892)=1,"OK","Дубликат")</f>
        <v/>
      </c>
    </row>
    <row r="1893" ht="38" customHeight="1">
      <c r="A1893" s="146" t="inlineStr">
        <is>
          <t>BONUS-L1-FREEZE</t>
        </is>
      </c>
      <c r="B1893" s="39" t="inlineStr">
        <is>
          <t>1 уровень</t>
        </is>
      </c>
      <c r="C1893" s="34" t="inlineStr">
        <is>
          <t>Призы не на абонементы</t>
        </is>
      </c>
      <c r="D1893" s="34" t="inlineStr">
        <is>
          <t>Дополнительная заморозка абонемента</t>
        </is>
      </c>
      <c r="E1893" s="34" t="inlineStr">
        <is>
          <t>При покупке абонемента</t>
        </is>
      </c>
      <c r="F1893" s="147" t="inlineStr">
        <is>
          <t>FW-L1-P4LXZ-ELZFY</t>
        </is>
      </c>
      <c r="G1893" s="39" t="inlineStr">
        <is>
          <t>Не использован</t>
        </is>
      </c>
      <c r="H1893" s="148" t="n"/>
      <c r="I1893" s="34" t="str"/>
      <c r="J1893" s="34" t="str"/>
      <c r="K1893" s="130" t="n">
        <v>86</v>
      </c>
      <c r="L1893" s="43">
        <f>IF(COUNTIF($F$5:$F$2407,F1893)=1,"OK","Дубликат")</f>
        <v/>
      </c>
    </row>
    <row r="1894" ht="38" customHeight="1">
      <c r="A1894" s="146" t="inlineStr">
        <is>
          <t>BONUS-L1-FREEZE</t>
        </is>
      </c>
      <c r="B1894" s="39" t="inlineStr">
        <is>
          <t>1 уровень</t>
        </is>
      </c>
      <c r="C1894" s="34" t="inlineStr">
        <is>
          <t>Призы не на абонементы</t>
        </is>
      </c>
      <c r="D1894" s="34" t="inlineStr">
        <is>
          <t>Дополнительная заморозка абонемента</t>
        </is>
      </c>
      <c r="E1894" s="34" t="inlineStr">
        <is>
          <t>При покупке абонемента</t>
        </is>
      </c>
      <c r="F1894" s="147" t="inlineStr">
        <is>
          <t>FW-L1-4TG3Z-L3D8Q</t>
        </is>
      </c>
      <c r="G1894" s="39" t="inlineStr">
        <is>
          <t>Не использован</t>
        </is>
      </c>
      <c r="H1894" s="148" t="n"/>
      <c r="I1894" s="34" t="str"/>
      <c r="J1894" s="34" t="str"/>
      <c r="K1894" s="130" t="n">
        <v>87</v>
      </c>
      <c r="L1894" s="43">
        <f>IF(COUNTIF($F$5:$F$2407,F1894)=1,"OK","Дубликат")</f>
        <v/>
      </c>
    </row>
    <row r="1895" ht="38" customHeight="1">
      <c r="A1895" s="146" t="inlineStr">
        <is>
          <t>BONUS-L1-FREEZE</t>
        </is>
      </c>
      <c r="B1895" s="39" t="inlineStr">
        <is>
          <t>1 уровень</t>
        </is>
      </c>
      <c r="C1895" s="34" t="inlineStr">
        <is>
          <t>Призы не на абонементы</t>
        </is>
      </c>
      <c r="D1895" s="34" t="inlineStr">
        <is>
          <t>Дополнительная заморозка абонемента</t>
        </is>
      </c>
      <c r="E1895" s="34" t="inlineStr">
        <is>
          <t>При покупке абонемента</t>
        </is>
      </c>
      <c r="F1895" s="147" t="inlineStr">
        <is>
          <t>FW-L1-AL6UM-ZYJ64</t>
        </is>
      </c>
      <c r="G1895" s="39" t="inlineStr">
        <is>
          <t>Не использован</t>
        </is>
      </c>
      <c r="H1895" s="148" t="n"/>
      <c r="I1895" s="34" t="str"/>
      <c r="J1895" s="34" t="str"/>
      <c r="K1895" s="130" t="n">
        <v>88</v>
      </c>
      <c r="L1895" s="43">
        <f>IF(COUNTIF($F$5:$F$2407,F1895)=1,"OK","Дубликат")</f>
        <v/>
      </c>
    </row>
    <row r="1896" ht="38" customHeight="1">
      <c r="A1896" s="146" t="inlineStr">
        <is>
          <t>BONUS-L1-FREEZE</t>
        </is>
      </c>
      <c r="B1896" s="39" t="inlineStr">
        <is>
          <t>1 уровень</t>
        </is>
      </c>
      <c r="C1896" s="34" t="inlineStr">
        <is>
          <t>Призы не на абонементы</t>
        </is>
      </c>
      <c r="D1896" s="34" t="inlineStr">
        <is>
          <t>Дополнительная заморозка абонемента</t>
        </is>
      </c>
      <c r="E1896" s="34" t="inlineStr">
        <is>
          <t>При покупке абонемента</t>
        </is>
      </c>
      <c r="F1896" s="147" t="inlineStr">
        <is>
          <t>FW-L1-UB7RJ-W6226</t>
        </is>
      </c>
      <c r="G1896" s="39" t="inlineStr">
        <is>
          <t>Не использован</t>
        </is>
      </c>
      <c r="H1896" s="148" t="n"/>
      <c r="I1896" s="34" t="str"/>
      <c r="J1896" s="34" t="str"/>
      <c r="K1896" s="130" t="n">
        <v>89</v>
      </c>
      <c r="L1896" s="43">
        <f>IF(COUNTIF($F$5:$F$2407,F1896)=1,"OK","Дубликат")</f>
        <v/>
      </c>
    </row>
    <row r="1897" ht="38" customHeight="1">
      <c r="A1897" s="146" t="inlineStr">
        <is>
          <t>BONUS-L1-FREEZE</t>
        </is>
      </c>
      <c r="B1897" s="39" t="inlineStr">
        <is>
          <t>1 уровень</t>
        </is>
      </c>
      <c r="C1897" s="34" t="inlineStr">
        <is>
          <t>Призы не на абонементы</t>
        </is>
      </c>
      <c r="D1897" s="34" t="inlineStr">
        <is>
          <t>Дополнительная заморозка абонемента</t>
        </is>
      </c>
      <c r="E1897" s="34" t="inlineStr">
        <is>
          <t>При покупке абонемента</t>
        </is>
      </c>
      <c r="F1897" s="147" t="inlineStr">
        <is>
          <t>FW-L1-YE5ZS-BRRNZ</t>
        </is>
      </c>
      <c r="G1897" s="39" t="inlineStr">
        <is>
          <t>Не использован</t>
        </is>
      </c>
      <c r="H1897" s="148" t="n"/>
      <c r="I1897" s="34" t="str"/>
      <c r="J1897" s="34" t="str"/>
      <c r="K1897" s="130" t="n">
        <v>90</v>
      </c>
      <c r="L1897" s="43">
        <f>IF(COUNTIF($F$5:$F$2407,F1897)=1,"OK","Дубликат")</f>
        <v/>
      </c>
    </row>
    <row r="1898" ht="38" customHeight="1">
      <c r="A1898" s="146" t="inlineStr">
        <is>
          <t>BONUS-L1-FREEZE</t>
        </is>
      </c>
      <c r="B1898" s="39" t="inlineStr">
        <is>
          <t>1 уровень</t>
        </is>
      </c>
      <c r="C1898" s="34" t="inlineStr">
        <is>
          <t>Призы не на абонементы</t>
        </is>
      </c>
      <c r="D1898" s="34" t="inlineStr">
        <is>
          <t>Дополнительная заморозка абонемента</t>
        </is>
      </c>
      <c r="E1898" s="34" t="inlineStr">
        <is>
          <t>При покупке абонемента</t>
        </is>
      </c>
      <c r="F1898" s="147" t="inlineStr">
        <is>
          <t>FW-L1-Z8EZT-2P7N7</t>
        </is>
      </c>
      <c r="G1898" s="39" t="inlineStr">
        <is>
          <t>Не использован</t>
        </is>
      </c>
      <c r="H1898" s="148" t="n"/>
      <c r="I1898" s="34" t="str"/>
      <c r="J1898" s="34" t="str"/>
      <c r="K1898" s="130" t="n">
        <v>91</v>
      </c>
      <c r="L1898" s="43">
        <f>IF(COUNTIF($F$5:$F$2407,F1898)=1,"OK","Дубликат")</f>
        <v/>
      </c>
    </row>
    <row r="1899" ht="38" customHeight="1">
      <c r="A1899" s="146" t="inlineStr">
        <is>
          <t>BONUS-L1-FREEZE</t>
        </is>
      </c>
      <c r="B1899" s="39" t="inlineStr">
        <is>
          <t>1 уровень</t>
        </is>
      </c>
      <c r="C1899" s="34" t="inlineStr">
        <is>
          <t>Призы не на абонементы</t>
        </is>
      </c>
      <c r="D1899" s="34" t="inlineStr">
        <is>
          <t>Дополнительная заморозка абонемента</t>
        </is>
      </c>
      <c r="E1899" s="34" t="inlineStr">
        <is>
          <t>При покупке абонемента</t>
        </is>
      </c>
      <c r="F1899" s="147" t="inlineStr">
        <is>
          <t>FW-L1-DNLJY-ZW63S</t>
        </is>
      </c>
      <c r="G1899" s="39" t="inlineStr">
        <is>
          <t>Не использован</t>
        </is>
      </c>
      <c r="H1899" s="148" t="n"/>
      <c r="I1899" s="34" t="str"/>
      <c r="J1899" s="34" t="str"/>
      <c r="K1899" s="130" t="n">
        <v>92</v>
      </c>
      <c r="L1899" s="43">
        <f>IF(COUNTIF($F$5:$F$2407,F1899)=1,"OK","Дубликат")</f>
        <v/>
      </c>
    </row>
    <row r="1900" ht="38" customHeight="1">
      <c r="A1900" s="146" t="inlineStr">
        <is>
          <t>BONUS-L1-FREEZE</t>
        </is>
      </c>
      <c r="B1900" s="39" t="inlineStr">
        <is>
          <t>1 уровень</t>
        </is>
      </c>
      <c r="C1900" s="34" t="inlineStr">
        <is>
          <t>Призы не на абонементы</t>
        </is>
      </c>
      <c r="D1900" s="34" t="inlineStr">
        <is>
          <t>Дополнительная заморозка абонемента</t>
        </is>
      </c>
      <c r="E1900" s="34" t="inlineStr">
        <is>
          <t>При покупке абонемента</t>
        </is>
      </c>
      <c r="F1900" s="147" t="inlineStr">
        <is>
          <t>FW-L1-JCH8N-63KWP</t>
        </is>
      </c>
      <c r="G1900" s="39" t="inlineStr">
        <is>
          <t>Не использован</t>
        </is>
      </c>
      <c r="H1900" s="148" t="n"/>
      <c r="I1900" s="34" t="str"/>
      <c r="J1900" s="34" t="str"/>
      <c r="K1900" s="130" t="n">
        <v>93</v>
      </c>
      <c r="L1900" s="43">
        <f>IF(COUNTIF($F$5:$F$2407,F1900)=1,"OK","Дубликат")</f>
        <v/>
      </c>
    </row>
    <row r="1901" ht="38" customHeight="1">
      <c r="A1901" s="146" t="inlineStr">
        <is>
          <t>BONUS-L1-FREEZE</t>
        </is>
      </c>
      <c r="B1901" s="39" t="inlineStr">
        <is>
          <t>1 уровень</t>
        </is>
      </c>
      <c r="C1901" s="34" t="inlineStr">
        <is>
          <t>Призы не на абонементы</t>
        </is>
      </c>
      <c r="D1901" s="34" t="inlineStr">
        <is>
          <t>Дополнительная заморозка абонемента</t>
        </is>
      </c>
      <c r="E1901" s="34" t="inlineStr">
        <is>
          <t>При покупке абонемента</t>
        </is>
      </c>
      <c r="F1901" s="147" t="inlineStr">
        <is>
          <t>FW-L1-X5D5L-ZY5MV</t>
        </is>
      </c>
      <c r="G1901" s="39" t="inlineStr">
        <is>
          <t>Не использован</t>
        </is>
      </c>
      <c r="H1901" s="148" t="n"/>
      <c r="I1901" s="34" t="str"/>
      <c r="J1901" s="34" t="str"/>
      <c r="K1901" s="130" t="n">
        <v>94</v>
      </c>
      <c r="L1901" s="43">
        <f>IF(COUNTIF($F$5:$F$2407,F1901)=1,"OK","Дубликат")</f>
        <v/>
      </c>
    </row>
    <row r="1902" ht="38" customHeight="1">
      <c r="A1902" s="146" t="inlineStr">
        <is>
          <t>BONUS-L1-FREEZE</t>
        </is>
      </c>
      <c r="B1902" s="39" t="inlineStr">
        <is>
          <t>1 уровень</t>
        </is>
      </c>
      <c r="C1902" s="34" t="inlineStr">
        <is>
          <t>Призы не на абонементы</t>
        </is>
      </c>
      <c r="D1902" s="34" t="inlineStr">
        <is>
          <t>Дополнительная заморозка абонемента</t>
        </is>
      </c>
      <c r="E1902" s="34" t="inlineStr">
        <is>
          <t>При покупке абонемента</t>
        </is>
      </c>
      <c r="F1902" s="147" t="inlineStr">
        <is>
          <t>FW-L1-85SGF-NKK52</t>
        </is>
      </c>
      <c r="G1902" s="39" t="inlineStr">
        <is>
          <t>Не использован</t>
        </is>
      </c>
      <c r="H1902" s="148" t="n"/>
      <c r="I1902" s="34" t="str"/>
      <c r="J1902" s="34" t="str"/>
      <c r="K1902" s="130" t="n">
        <v>95</v>
      </c>
      <c r="L1902" s="43">
        <f>IF(COUNTIF($F$5:$F$2407,F1902)=1,"OK","Дубликат")</f>
        <v/>
      </c>
    </row>
    <row r="1903" ht="38" customHeight="1">
      <c r="A1903" s="146" t="inlineStr">
        <is>
          <t>BONUS-L1-FREEZE</t>
        </is>
      </c>
      <c r="B1903" s="39" t="inlineStr">
        <is>
          <t>1 уровень</t>
        </is>
      </c>
      <c r="C1903" s="34" t="inlineStr">
        <is>
          <t>Призы не на абонементы</t>
        </is>
      </c>
      <c r="D1903" s="34" t="inlineStr">
        <is>
          <t>Дополнительная заморозка абонемента</t>
        </is>
      </c>
      <c r="E1903" s="34" t="inlineStr">
        <is>
          <t>При покупке абонемента</t>
        </is>
      </c>
      <c r="F1903" s="147" t="inlineStr">
        <is>
          <t>FW-L1-UBQWJ-LQYPJ</t>
        </is>
      </c>
      <c r="G1903" s="39" t="inlineStr">
        <is>
          <t>Не использован</t>
        </is>
      </c>
      <c r="H1903" s="148" t="n"/>
      <c r="I1903" s="34" t="str"/>
      <c r="J1903" s="34" t="str"/>
      <c r="K1903" s="130" t="n">
        <v>96</v>
      </c>
      <c r="L1903" s="43">
        <f>IF(COUNTIF($F$5:$F$2407,F1903)=1,"OK","Дубликат")</f>
        <v/>
      </c>
    </row>
    <row r="1904" ht="38" customHeight="1">
      <c r="A1904" s="146" t="inlineStr">
        <is>
          <t>BONUS-L1-FREEZE</t>
        </is>
      </c>
      <c r="B1904" s="39" t="inlineStr">
        <is>
          <t>1 уровень</t>
        </is>
      </c>
      <c r="C1904" s="34" t="inlineStr">
        <is>
          <t>Призы не на абонементы</t>
        </is>
      </c>
      <c r="D1904" s="34" t="inlineStr">
        <is>
          <t>Дополнительная заморозка абонемента</t>
        </is>
      </c>
      <c r="E1904" s="34" t="inlineStr">
        <is>
          <t>При покупке абонемента</t>
        </is>
      </c>
      <c r="F1904" s="147" t="inlineStr">
        <is>
          <t>FW-L1-ZKU5P-GFC25</t>
        </is>
      </c>
      <c r="G1904" s="39" t="inlineStr">
        <is>
          <t>Не использован</t>
        </is>
      </c>
      <c r="H1904" s="148" t="n"/>
      <c r="I1904" s="34" t="str"/>
      <c r="J1904" s="34" t="str"/>
      <c r="K1904" s="130" t="n">
        <v>97</v>
      </c>
      <c r="L1904" s="43">
        <f>IF(COUNTIF($F$5:$F$2407,F1904)=1,"OK","Дубликат")</f>
        <v/>
      </c>
    </row>
    <row r="1905" ht="38" customHeight="1">
      <c r="A1905" s="146" t="inlineStr">
        <is>
          <t>BONUS-L1-FREEZE</t>
        </is>
      </c>
      <c r="B1905" s="39" t="inlineStr">
        <is>
          <t>1 уровень</t>
        </is>
      </c>
      <c r="C1905" s="34" t="inlineStr">
        <is>
          <t>Призы не на абонементы</t>
        </is>
      </c>
      <c r="D1905" s="34" t="inlineStr">
        <is>
          <t>Дополнительная заморозка абонемента</t>
        </is>
      </c>
      <c r="E1905" s="34" t="inlineStr">
        <is>
          <t>При покупке абонемента</t>
        </is>
      </c>
      <c r="F1905" s="147" t="inlineStr">
        <is>
          <t>FW-L1-8934A-F59E4</t>
        </is>
      </c>
      <c r="G1905" s="39" t="inlineStr">
        <is>
          <t>Не использован</t>
        </is>
      </c>
      <c r="H1905" s="148" t="n"/>
      <c r="I1905" s="34" t="str"/>
      <c r="J1905" s="34" t="str"/>
      <c r="K1905" s="130" t="n">
        <v>98</v>
      </c>
      <c r="L1905" s="43">
        <f>IF(COUNTIF($F$5:$F$2407,F1905)=1,"OK","Дубликат")</f>
        <v/>
      </c>
    </row>
    <row r="1906" ht="38" customHeight="1">
      <c r="A1906" s="146" t="inlineStr">
        <is>
          <t>BONUS-L1-FREEZE</t>
        </is>
      </c>
      <c r="B1906" s="39" t="inlineStr">
        <is>
          <t>1 уровень</t>
        </is>
      </c>
      <c r="C1906" s="34" t="inlineStr">
        <is>
          <t>Призы не на абонементы</t>
        </is>
      </c>
      <c r="D1906" s="34" t="inlineStr">
        <is>
          <t>Дополнительная заморозка абонемента</t>
        </is>
      </c>
      <c r="E1906" s="34" t="inlineStr">
        <is>
          <t>При покупке абонемента</t>
        </is>
      </c>
      <c r="F1906" s="147" t="inlineStr">
        <is>
          <t>FW-L1-A3VU5-D4EX4</t>
        </is>
      </c>
      <c r="G1906" s="39" t="inlineStr">
        <is>
          <t>Не использован</t>
        </is>
      </c>
      <c r="H1906" s="148" t="n"/>
      <c r="I1906" s="34" t="str"/>
      <c r="J1906" s="34" t="str"/>
      <c r="K1906" s="130" t="n">
        <v>99</v>
      </c>
      <c r="L1906" s="43">
        <f>IF(COUNTIF($F$5:$F$2407,F1906)=1,"OK","Дубликат")</f>
        <v/>
      </c>
    </row>
    <row r="1907" ht="38" customHeight="1">
      <c r="A1907" s="146" t="inlineStr">
        <is>
          <t>BONUS-L1-FREEZE</t>
        </is>
      </c>
      <c r="B1907" s="39" t="inlineStr">
        <is>
          <t>1 уровень</t>
        </is>
      </c>
      <c r="C1907" s="34" t="inlineStr">
        <is>
          <t>Призы не на абонементы</t>
        </is>
      </c>
      <c r="D1907" s="34" t="inlineStr">
        <is>
          <t>Дополнительная заморозка абонемента</t>
        </is>
      </c>
      <c r="E1907" s="34" t="inlineStr">
        <is>
          <t>При покупке абонемента</t>
        </is>
      </c>
      <c r="F1907" s="147" t="inlineStr">
        <is>
          <t>FW-L1-DQJN7-JZPR8</t>
        </is>
      </c>
      <c r="G1907" s="39" t="inlineStr">
        <is>
          <t>Не использован</t>
        </is>
      </c>
      <c r="H1907" s="148" t="n"/>
      <c r="I1907" s="34" t="str"/>
      <c r="J1907" s="34" t="str"/>
      <c r="K1907" s="130" t="n">
        <v>100</v>
      </c>
      <c r="L1907" s="43">
        <f>IF(COUNTIF($F$5:$F$2407,F1907)=1,"OK","Дубликат")</f>
        <v/>
      </c>
    </row>
    <row r="1908" ht="38" customHeight="1">
      <c r="A1908" s="146" t="inlineStr">
        <is>
          <t>BONUS-L1-FREEZE</t>
        </is>
      </c>
      <c r="B1908" s="39" t="inlineStr">
        <is>
          <t>1 уровень</t>
        </is>
      </c>
      <c r="C1908" s="34" t="inlineStr">
        <is>
          <t>Призы не на абонементы</t>
        </is>
      </c>
      <c r="D1908" s="34" t="inlineStr">
        <is>
          <t>Дополнительная заморозка абонемента</t>
        </is>
      </c>
      <c r="E1908" s="34" t="inlineStr">
        <is>
          <t>При покупке абонемента</t>
        </is>
      </c>
      <c r="F1908" s="147" t="inlineStr">
        <is>
          <t>FW-L1-ULB2C-JFXB2</t>
        </is>
      </c>
      <c r="G1908" s="39" t="inlineStr">
        <is>
          <t>Не использован</t>
        </is>
      </c>
      <c r="H1908" s="148" t="n"/>
      <c r="I1908" s="34" t="str"/>
      <c r="J1908" s="34" t="str"/>
      <c r="K1908" s="130" t="n">
        <v>101</v>
      </c>
      <c r="L1908" s="43">
        <f>IF(COUNTIF($F$5:$F$2407,F1908)=1,"OK","Дубликат")</f>
        <v/>
      </c>
    </row>
    <row r="1909" ht="38" customHeight="1">
      <c r="A1909" s="146" t="inlineStr">
        <is>
          <t>BONUS-L1-FREEZE</t>
        </is>
      </c>
      <c r="B1909" s="39" t="inlineStr">
        <is>
          <t>1 уровень</t>
        </is>
      </c>
      <c r="C1909" s="34" t="inlineStr">
        <is>
          <t>Призы не на абонементы</t>
        </is>
      </c>
      <c r="D1909" s="34" t="inlineStr">
        <is>
          <t>Дополнительная заморозка абонемента</t>
        </is>
      </c>
      <c r="E1909" s="34" t="inlineStr">
        <is>
          <t>При покупке абонемента</t>
        </is>
      </c>
      <c r="F1909" s="147" t="inlineStr">
        <is>
          <t>FW-L1-MPZJE-QJKLN</t>
        </is>
      </c>
      <c r="G1909" s="39" t="inlineStr">
        <is>
          <t>Не использован</t>
        </is>
      </c>
      <c r="H1909" s="148" t="n"/>
      <c r="I1909" s="34" t="str"/>
      <c r="J1909" s="34" t="str"/>
      <c r="K1909" s="130" t="n">
        <v>102</v>
      </c>
      <c r="L1909" s="43">
        <f>IF(COUNTIF($F$5:$F$2407,F1909)=1,"OK","Дубликат")</f>
        <v/>
      </c>
    </row>
    <row r="1910" ht="38" customHeight="1">
      <c r="A1910" s="146" t="inlineStr">
        <is>
          <t>BONUS-L1-FREEZE</t>
        </is>
      </c>
      <c r="B1910" s="39" t="inlineStr">
        <is>
          <t>1 уровень</t>
        </is>
      </c>
      <c r="C1910" s="34" t="inlineStr">
        <is>
          <t>Призы не на абонементы</t>
        </is>
      </c>
      <c r="D1910" s="34" t="inlineStr">
        <is>
          <t>Дополнительная заморозка абонемента</t>
        </is>
      </c>
      <c r="E1910" s="34" t="inlineStr">
        <is>
          <t>При покупке абонемента</t>
        </is>
      </c>
      <c r="F1910" s="147" t="inlineStr">
        <is>
          <t>FW-L1-QAUPE-GY983</t>
        </is>
      </c>
      <c r="G1910" s="39" t="inlineStr">
        <is>
          <t>Не использован</t>
        </is>
      </c>
      <c r="H1910" s="148" t="n"/>
      <c r="I1910" s="34" t="str"/>
      <c r="J1910" s="34" t="str"/>
      <c r="K1910" s="130" t="n">
        <v>103</v>
      </c>
      <c r="L1910" s="43">
        <f>IF(COUNTIF($F$5:$F$2407,F1910)=1,"OK","Дубликат")</f>
        <v/>
      </c>
    </row>
    <row r="1911" ht="38" customHeight="1">
      <c r="A1911" s="146" t="inlineStr">
        <is>
          <t>BONUS-L1-FREEZE</t>
        </is>
      </c>
      <c r="B1911" s="39" t="inlineStr">
        <is>
          <t>1 уровень</t>
        </is>
      </c>
      <c r="C1911" s="34" t="inlineStr">
        <is>
          <t>Призы не на абонементы</t>
        </is>
      </c>
      <c r="D1911" s="34" t="inlineStr">
        <is>
          <t>Дополнительная заморозка абонемента</t>
        </is>
      </c>
      <c r="E1911" s="34" t="inlineStr">
        <is>
          <t>При покупке абонемента</t>
        </is>
      </c>
      <c r="F1911" s="147" t="inlineStr">
        <is>
          <t>FW-L1-2S27D-8URUL</t>
        </is>
      </c>
      <c r="G1911" s="39" t="inlineStr">
        <is>
          <t>Не использован</t>
        </is>
      </c>
      <c r="H1911" s="148" t="n"/>
      <c r="I1911" s="34" t="str"/>
      <c r="J1911" s="34" t="str"/>
      <c r="K1911" s="130" t="n">
        <v>104</v>
      </c>
      <c r="L1911" s="43">
        <f>IF(COUNTIF($F$5:$F$2407,F1911)=1,"OK","Дубликат")</f>
        <v/>
      </c>
    </row>
    <row r="1912" ht="38" customHeight="1">
      <c r="A1912" s="146" t="inlineStr">
        <is>
          <t>BONUS-L1-FREEZE</t>
        </is>
      </c>
      <c r="B1912" s="39" t="inlineStr">
        <is>
          <t>1 уровень</t>
        </is>
      </c>
      <c r="C1912" s="34" t="inlineStr">
        <is>
          <t>Призы не на абонементы</t>
        </is>
      </c>
      <c r="D1912" s="34" t="inlineStr">
        <is>
          <t>Дополнительная заморозка абонемента</t>
        </is>
      </c>
      <c r="E1912" s="34" t="inlineStr">
        <is>
          <t>При покупке абонемента</t>
        </is>
      </c>
      <c r="F1912" s="147" t="inlineStr">
        <is>
          <t>FW-L1-MDEQ7-QMPNT</t>
        </is>
      </c>
      <c r="G1912" s="39" t="inlineStr">
        <is>
          <t>Не использован</t>
        </is>
      </c>
      <c r="H1912" s="148" t="n"/>
      <c r="I1912" s="34" t="str"/>
      <c r="J1912" s="34" t="str"/>
      <c r="K1912" s="130" t="n">
        <v>105</v>
      </c>
      <c r="L1912" s="43">
        <f>IF(COUNTIF($F$5:$F$2407,F1912)=1,"OK","Дубликат")</f>
        <v/>
      </c>
    </row>
    <row r="1913" ht="38" customHeight="1">
      <c r="A1913" s="146" t="inlineStr">
        <is>
          <t>BONUS-L1-FREEZE</t>
        </is>
      </c>
      <c r="B1913" s="39" t="inlineStr">
        <is>
          <t>1 уровень</t>
        </is>
      </c>
      <c r="C1913" s="34" t="inlineStr">
        <is>
          <t>Призы не на абонементы</t>
        </is>
      </c>
      <c r="D1913" s="34" t="inlineStr">
        <is>
          <t>Дополнительная заморозка абонемента</t>
        </is>
      </c>
      <c r="E1913" s="34" t="inlineStr">
        <is>
          <t>При покупке абонемента</t>
        </is>
      </c>
      <c r="F1913" s="147" t="inlineStr">
        <is>
          <t>FW-L1-GSG79-4N9UM</t>
        </is>
      </c>
      <c r="G1913" s="39" t="inlineStr">
        <is>
          <t>Не использован</t>
        </is>
      </c>
      <c r="H1913" s="148" t="n"/>
      <c r="I1913" s="34" t="str"/>
      <c r="J1913" s="34" t="str"/>
      <c r="K1913" s="130" t="n">
        <v>106</v>
      </c>
      <c r="L1913" s="43">
        <f>IF(COUNTIF($F$5:$F$2407,F1913)=1,"OK","Дубликат")</f>
        <v/>
      </c>
    </row>
    <row r="1914" ht="38" customHeight="1">
      <c r="A1914" s="146" t="inlineStr">
        <is>
          <t>BONUS-L1-FREEZE</t>
        </is>
      </c>
      <c r="B1914" s="39" t="inlineStr">
        <is>
          <t>1 уровень</t>
        </is>
      </c>
      <c r="C1914" s="34" t="inlineStr">
        <is>
          <t>Призы не на абонементы</t>
        </is>
      </c>
      <c r="D1914" s="34" t="inlineStr">
        <is>
          <t>Дополнительная заморозка абонемента</t>
        </is>
      </c>
      <c r="E1914" s="34" t="inlineStr">
        <is>
          <t>При покупке абонемента</t>
        </is>
      </c>
      <c r="F1914" s="147" t="inlineStr">
        <is>
          <t>FW-L1-CSXTP-ZDY4J</t>
        </is>
      </c>
      <c r="G1914" s="39" t="inlineStr">
        <is>
          <t>Не использован</t>
        </is>
      </c>
      <c r="H1914" s="148" t="n"/>
      <c r="I1914" s="34" t="str"/>
      <c r="J1914" s="34" t="str"/>
      <c r="K1914" s="130" t="n">
        <v>107</v>
      </c>
      <c r="L1914" s="43">
        <f>IF(COUNTIF($F$5:$F$2407,F1914)=1,"OK","Дубликат")</f>
        <v/>
      </c>
    </row>
    <row r="1915" ht="38" customHeight="1">
      <c r="A1915" s="146" t="inlineStr">
        <is>
          <t>BONUS-L1-FREEZE</t>
        </is>
      </c>
      <c r="B1915" s="39" t="inlineStr">
        <is>
          <t>1 уровень</t>
        </is>
      </c>
      <c r="C1915" s="34" t="inlineStr">
        <is>
          <t>Призы не на абонементы</t>
        </is>
      </c>
      <c r="D1915" s="34" t="inlineStr">
        <is>
          <t>Дополнительная заморозка абонемента</t>
        </is>
      </c>
      <c r="E1915" s="34" t="inlineStr">
        <is>
          <t>При покупке абонемента</t>
        </is>
      </c>
      <c r="F1915" s="147" t="inlineStr">
        <is>
          <t>FW-L1-TKK3A-CJBFL</t>
        </is>
      </c>
      <c r="G1915" s="39" t="inlineStr">
        <is>
          <t>Не использован</t>
        </is>
      </c>
      <c r="H1915" s="148" t="n"/>
      <c r="I1915" s="34" t="str"/>
      <c r="J1915" s="34" t="str"/>
      <c r="K1915" s="130" t="n">
        <v>108</v>
      </c>
      <c r="L1915" s="43">
        <f>IF(COUNTIF($F$5:$F$2407,F1915)=1,"OK","Дубликат")</f>
        <v/>
      </c>
    </row>
    <row r="1916" ht="38" customHeight="1">
      <c r="A1916" s="146" t="inlineStr">
        <is>
          <t>BONUS-L1-FREEZE</t>
        </is>
      </c>
      <c r="B1916" s="39" t="inlineStr">
        <is>
          <t>1 уровень</t>
        </is>
      </c>
      <c r="C1916" s="34" t="inlineStr">
        <is>
          <t>Призы не на абонементы</t>
        </is>
      </c>
      <c r="D1916" s="34" t="inlineStr">
        <is>
          <t>Дополнительная заморозка абонемента</t>
        </is>
      </c>
      <c r="E1916" s="34" t="inlineStr">
        <is>
          <t>При покупке абонемента</t>
        </is>
      </c>
      <c r="F1916" s="147" t="inlineStr">
        <is>
          <t>FW-L1-N5HC3-NDFLS</t>
        </is>
      </c>
      <c r="G1916" s="39" t="inlineStr">
        <is>
          <t>Не использован</t>
        </is>
      </c>
      <c r="H1916" s="148" t="n"/>
      <c r="I1916" s="34" t="str"/>
      <c r="J1916" s="34" t="str"/>
      <c r="K1916" s="130" t="n">
        <v>109</v>
      </c>
      <c r="L1916" s="43">
        <f>IF(COUNTIF($F$5:$F$2407,F1916)=1,"OK","Дубликат")</f>
        <v/>
      </c>
    </row>
    <row r="1917" ht="38" customHeight="1">
      <c r="A1917" s="146" t="inlineStr">
        <is>
          <t>BONUS-L1-FREEZE</t>
        </is>
      </c>
      <c r="B1917" s="39" t="inlineStr">
        <is>
          <t>1 уровень</t>
        </is>
      </c>
      <c r="C1917" s="34" t="inlineStr">
        <is>
          <t>Призы не на абонементы</t>
        </is>
      </c>
      <c r="D1917" s="34" t="inlineStr">
        <is>
          <t>Дополнительная заморозка абонемента</t>
        </is>
      </c>
      <c r="E1917" s="34" t="inlineStr">
        <is>
          <t>При покупке абонемента</t>
        </is>
      </c>
      <c r="F1917" s="147" t="inlineStr">
        <is>
          <t>FW-L1-M5SS2-HXYNW</t>
        </is>
      </c>
      <c r="G1917" s="39" t="inlineStr">
        <is>
          <t>Не использован</t>
        </is>
      </c>
      <c r="H1917" s="148" t="n"/>
      <c r="I1917" s="34" t="str"/>
      <c r="J1917" s="34" t="str"/>
      <c r="K1917" s="130" t="n">
        <v>110</v>
      </c>
      <c r="L1917" s="43">
        <f>IF(COUNTIF($F$5:$F$2407,F1917)=1,"OK","Дубликат")</f>
        <v/>
      </c>
    </row>
    <row r="1918" ht="38" customHeight="1">
      <c r="A1918" s="146" t="inlineStr">
        <is>
          <t>BONUS-L1-FREEZE</t>
        </is>
      </c>
      <c r="B1918" s="39" t="inlineStr">
        <is>
          <t>1 уровень</t>
        </is>
      </c>
      <c r="C1918" s="34" t="inlineStr">
        <is>
          <t>Призы не на абонементы</t>
        </is>
      </c>
      <c r="D1918" s="34" t="inlineStr">
        <is>
          <t>Дополнительная заморозка абонемента</t>
        </is>
      </c>
      <c r="E1918" s="34" t="inlineStr">
        <is>
          <t>При покупке абонемента</t>
        </is>
      </c>
      <c r="F1918" s="147" t="inlineStr">
        <is>
          <t>FW-L1-RPTYA-X4X7K</t>
        </is>
      </c>
      <c r="G1918" s="39" t="inlineStr">
        <is>
          <t>Не использован</t>
        </is>
      </c>
      <c r="H1918" s="148" t="n"/>
      <c r="I1918" s="34" t="str"/>
      <c r="J1918" s="34" t="str"/>
      <c r="K1918" s="130" t="n">
        <v>111</v>
      </c>
      <c r="L1918" s="43">
        <f>IF(COUNTIF($F$5:$F$2407,F1918)=1,"OK","Дубликат")</f>
        <v/>
      </c>
    </row>
    <row r="1919" ht="38" customHeight="1">
      <c r="A1919" s="146" t="inlineStr">
        <is>
          <t>BONUS-L1-FREEZE</t>
        </is>
      </c>
      <c r="B1919" s="39" t="inlineStr">
        <is>
          <t>1 уровень</t>
        </is>
      </c>
      <c r="C1919" s="34" t="inlineStr">
        <is>
          <t>Призы не на абонементы</t>
        </is>
      </c>
      <c r="D1919" s="34" t="inlineStr">
        <is>
          <t>Дополнительная заморозка абонемента</t>
        </is>
      </c>
      <c r="E1919" s="34" t="inlineStr">
        <is>
          <t>При покупке абонемента</t>
        </is>
      </c>
      <c r="F1919" s="147" t="inlineStr">
        <is>
          <t>FW-L1-8K6WD-JL8GV</t>
        </is>
      </c>
      <c r="G1919" s="39" t="inlineStr">
        <is>
          <t>Не использован</t>
        </is>
      </c>
      <c r="H1919" s="148" t="n"/>
      <c r="I1919" s="34" t="str"/>
      <c r="J1919" s="34" t="str"/>
      <c r="K1919" s="130" t="n">
        <v>112</v>
      </c>
      <c r="L1919" s="43">
        <f>IF(COUNTIF($F$5:$F$2407,F1919)=1,"OK","Дубликат")</f>
        <v/>
      </c>
    </row>
    <row r="1920" ht="38" customHeight="1">
      <c r="A1920" s="146" t="inlineStr">
        <is>
          <t>BONUS-L1-FREEZE</t>
        </is>
      </c>
      <c r="B1920" s="39" t="inlineStr">
        <is>
          <t>1 уровень</t>
        </is>
      </c>
      <c r="C1920" s="34" t="inlineStr">
        <is>
          <t>Призы не на абонементы</t>
        </is>
      </c>
      <c r="D1920" s="34" t="inlineStr">
        <is>
          <t>Дополнительная заморозка абонемента</t>
        </is>
      </c>
      <c r="E1920" s="34" t="inlineStr">
        <is>
          <t>При покупке абонемента</t>
        </is>
      </c>
      <c r="F1920" s="147" t="inlineStr">
        <is>
          <t>FW-L1-27ETZ-XVL6M</t>
        </is>
      </c>
      <c r="G1920" s="39" t="inlineStr">
        <is>
          <t>Не использован</t>
        </is>
      </c>
      <c r="H1920" s="148" t="n"/>
      <c r="I1920" s="34" t="str"/>
      <c r="J1920" s="34" t="str"/>
      <c r="K1920" s="130" t="n">
        <v>113</v>
      </c>
      <c r="L1920" s="43">
        <f>IF(COUNTIF($F$5:$F$2407,F1920)=1,"OK","Дубликат")</f>
        <v/>
      </c>
    </row>
    <row r="1921" ht="38" customHeight="1">
      <c r="A1921" s="146" t="inlineStr">
        <is>
          <t>BONUS-L1-FREEZE</t>
        </is>
      </c>
      <c r="B1921" s="39" t="inlineStr">
        <is>
          <t>1 уровень</t>
        </is>
      </c>
      <c r="C1921" s="34" t="inlineStr">
        <is>
          <t>Призы не на абонементы</t>
        </is>
      </c>
      <c r="D1921" s="34" t="inlineStr">
        <is>
          <t>Дополнительная заморозка абонемента</t>
        </is>
      </c>
      <c r="E1921" s="34" t="inlineStr">
        <is>
          <t>При покупке абонемента</t>
        </is>
      </c>
      <c r="F1921" s="147" t="inlineStr">
        <is>
          <t>FW-L1-CGQ9A-7DYC4</t>
        </is>
      </c>
      <c r="G1921" s="39" t="inlineStr">
        <is>
          <t>Не использован</t>
        </is>
      </c>
      <c r="H1921" s="148" t="n"/>
      <c r="I1921" s="34" t="str"/>
      <c r="J1921" s="34" t="str"/>
      <c r="K1921" s="130" t="n">
        <v>114</v>
      </c>
      <c r="L1921" s="43">
        <f>IF(COUNTIF($F$5:$F$2407,F1921)=1,"OK","Дубликат")</f>
        <v/>
      </c>
    </row>
    <row r="1922" ht="38" customHeight="1">
      <c r="A1922" s="146" t="inlineStr">
        <is>
          <t>BONUS-L1-FREEZE</t>
        </is>
      </c>
      <c r="B1922" s="39" t="inlineStr">
        <is>
          <t>1 уровень</t>
        </is>
      </c>
      <c r="C1922" s="34" t="inlineStr">
        <is>
          <t>Призы не на абонементы</t>
        </is>
      </c>
      <c r="D1922" s="34" t="inlineStr">
        <is>
          <t>Дополнительная заморозка абонемента</t>
        </is>
      </c>
      <c r="E1922" s="34" t="inlineStr">
        <is>
          <t>При покупке абонемента</t>
        </is>
      </c>
      <c r="F1922" s="147" t="inlineStr">
        <is>
          <t>FW-L1-PT3PZ-MWMCE</t>
        </is>
      </c>
      <c r="G1922" s="39" t="inlineStr">
        <is>
          <t>Не использован</t>
        </is>
      </c>
      <c r="H1922" s="148" t="n"/>
      <c r="I1922" s="34" t="str"/>
      <c r="J1922" s="34" t="str"/>
      <c r="K1922" s="130" t="n">
        <v>115</v>
      </c>
      <c r="L1922" s="43">
        <f>IF(COUNTIF($F$5:$F$2407,F1922)=1,"OK","Дубликат")</f>
        <v/>
      </c>
    </row>
    <row r="1923" ht="38" customHeight="1">
      <c r="A1923" s="146" t="inlineStr">
        <is>
          <t>BONUS-L1-FREEZE</t>
        </is>
      </c>
      <c r="B1923" s="39" t="inlineStr">
        <is>
          <t>1 уровень</t>
        </is>
      </c>
      <c r="C1923" s="34" t="inlineStr">
        <is>
          <t>Призы не на абонементы</t>
        </is>
      </c>
      <c r="D1923" s="34" t="inlineStr">
        <is>
          <t>Дополнительная заморозка абонемента</t>
        </is>
      </c>
      <c r="E1923" s="34" t="inlineStr">
        <is>
          <t>При покупке абонемента</t>
        </is>
      </c>
      <c r="F1923" s="147" t="inlineStr">
        <is>
          <t>FW-L1-QNADT-AH4JM</t>
        </is>
      </c>
      <c r="G1923" s="39" t="inlineStr">
        <is>
          <t>Не использован</t>
        </is>
      </c>
      <c r="H1923" s="148" t="n"/>
      <c r="I1923" s="34" t="str"/>
      <c r="J1923" s="34" t="str"/>
      <c r="K1923" s="130" t="n">
        <v>116</v>
      </c>
      <c r="L1923" s="43">
        <f>IF(COUNTIF($F$5:$F$2407,F1923)=1,"OK","Дубликат")</f>
        <v/>
      </c>
    </row>
    <row r="1924" ht="38" customHeight="1">
      <c r="A1924" s="146" t="inlineStr">
        <is>
          <t>BONUS-L1-FREEZE</t>
        </is>
      </c>
      <c r="B1924" s="39" t="inlineStr">
        <is>
          <t>1 уровень</t>
        </is>
      </c>
      <c r="C1924" s="34" t="inlineStr">
        <is>
          <t>Призы не на абонементы</t>
        </is>
      </c>
      <c r="D1924" s="34" t="inlineStr">
        <is>
          <t>Дополнительная заморозка абонемента</t>
        </is>
      </c>
      <c r="E1924" s="34" t="inlineStr">
        <is>
          <t>При покупке абонемента</t>
        </is>
      </c>
      <c r="F1924" s="147" t="inlineStr">
        <is>
          <t>FW-L1-Z5DB9-6MXCW</t>
        </is>
      </c>
      <c r="G1924" s="39" t="inlineStr">
        <is>
          <t>Не использован</t>
        </is>
      </c>
      <c r="H1924" s="148" t="n"/>
      <c r="I1924" s="34" t="str"/>
      <c r="J1924" s="34" t="str"/>
      <c r="K1924" s="130" t="n">
        <v>117</v>
      </c>
      <c r="L1924" s="43">
        <f>IF(COUNTIF($F$5:$F$2407,F1924)=1,"OK","Дубликат")</f>
        <v/>
      </c>
    </row>
    <row r="1925" ht="38" customHeight="1">
      <c r="A1925" s="146" t="inlineStr">
        <is>
          <t>BONUS-L1-FREEZE</t>
        </is>
      </c>
      <c r="B1925" s="39" t="inlineStr">
        <is>
          <t>1 уровень</t>
        </is>
      </c>
      <c r="C1925" s="34" t="inlineStr">
        <is>
          <t>Призы не на абонементы</t>
        </is>
      </c>
      <c r="D1925" s="34" t="inlineStr">
        <is>
          <t>Дополнительная заморозка абонемента</t>
        </is>
      </c>
      <c r="E1925" s="34" t="inlineStr">
        <is>
          <t>При покупке абонемента</t>
        </is>
      </c>
      <c r="F1925" s="147" t="inlineStr">
        <is>
          <t>FW-L1-VWXNR-2JFR8</t>
        </is>
      </c>
      <c r="G1925" s="39" t="inlineStr">
        <is>
          <t>Не использован</t>
        </is>
      </c>
      <c r="H1925" s="148" t="n"/>
      <c r="I1925" s="34" t="str"/>
      <c r="J1925" s="34" t="str"/>
      <c r="K1925" s="130" t="n">
        <v>118</v>
      </c>
      <c r="L1925" s="43">
        <f>IF(COUNTIF($F$5:$F$2407,F1925)=1,"OK","Дубликат")</f>
        <v/>
      </c>
    </row>
    <row r="1926" ht="38" customHeight="1">
      <c r="A1926" s="146" t="inlineStr">
        <is>
          <t>BONUS-L1-FREEZE</t>
        </is>
      </c>
      <c r="B1926" s="39" t="inlineStr">
        <is>
          <t>1 уровень</t>
        </is>
      </c>
      <c r="C1926" s="34" t="inlineStr">
        <is>
          <t>Призы не на абонементы</t>
        </is>
      </c>
      <c r="D1926" s="34" t="inlineStr">
        <is>
          <t>Дополнительная заморозка абонемента</t>
        </is>
      </c>
      <c r="E1926" s="34" t="inlineStr">
        <is>
          <t>При покупке абонемента</t>
        </is>
      </c>
      <c r="F1926" s="147" t="inlineStr">
        <is>
          <t>FW-L1-ZYWPN-32TZA</t>
        </is>
      </c>
      <c r="G1926" s="39" t="inlineStr">
        <is>
          <t>Не использован</t>
        </is>
      </c>
      <c r="H1926" s="148" t="n"/>
      <c r="I1926" s="34" t="str"/>
      <c r="J1926" s="34" t="str"/>
      <c r="K1926" s="130" t="n">
        <v>119</v>
      </c>
      <c r="L1926" s="43">
        <f>IF(COUNTIF($F$5:$F$2407,F1926)=1,"OK","Дубликат")</f>
        <v/>
      </c>
    </row>
    <row r="1927" ht="38" customHeight="1">
      <c r="A1927" s="146" t="inlineStr">
        <is>
          <t>BONUS-L1-FREEZE</t>
        </is>
      </c>
      <c r="B1927" s="39" t="inlineStr">
        <is>
          <t>1 уровень</t>
        </is>
      </c>
      <c r="C1927" s="34" t="inlineStr">
        <is>
          <t>Призы не на абонементы</t>
        </is>
      </c>
      <c r="D1927" s="34" t="inlineStr">
        <is>
          <t>Дополнительная заморозка абонемента</t>
        </is>
      </c>
      <c r="E1927" s="34" t="inlineStr">
        <is>
          <t>При покупке абонемента</t>
        </is>
      </c>
      <c r="F1927" s="147" t="inlineStr">
        <is>
          <t>FW-L1-CVY2N-THV69</t>
        </is>
      </c>
      <c r="G1927" s="39" t="inlineStr">
        <is>
          <t>Не использован</t>
        </is>
      </c>
      <c r="H1927" s="148" t="n"/>
      <c r="I1927" s="34" t="str"/>
      <c r="J1927" s="34" t="str"/>
      <c r="K1927" s="130" t="n">
        <v>120</v>
      </c>
      <c r="L1927" s="43">
        <f>IF(COUNTIF($F$5:$F$2407,F1927)=1,"OK","Дубликат")</f>
        <v/>
      </c>
    </row>
    <row r="1928" ht="38" customHeight="1">
      <c r="A1928" s="146" t="inlineStr">
        <is>
          <t>BONUS-L1-FREEZE</t>
        </is>
      </c>
      <c r="B1928" s="39" t="inlineStr">
        <is>
          <t>1 уровень</t>
        </is>
      </c>
      <c r="C1928" s="34" t="inlineStr">
        <is>
          <t>Призы не на абонементы</t>
        </is>
      </c>
      <c r="D1928" s="34" t="inlineStr">
        <is>
          <t>Дополнительная заморозка абонемента</t>
        </is>
      </c>
      <c r="E1928" s="34" t="inlineStr">
        <is>
          <t>При покупке абонемента</t>
        </is>
      </c>
      <c r="F1928" s="147" t="inlineStr">
        <is>
          <t>FW-L1-RPH2Y-W5D28</t>
        </is>
      </c>
      <c r="G1928" s="39" t="inlineStr">
        <is>
          <t>Не использован</t>
        </is>
      </c>
      <c r="H1928" s="148" t="n"/>
      <c r="I1928" s="34" t="str"/>
      <c r="J1928" s="34" t="str"/>
      <c r="K1928" s="130" t="n">
        <v>121</v>
      </c>
      <c r="L1928" s="43">
        <f>IF(COUNTIF($F$5:$F$2407,F1928)=1,"OK","Дубликат")</f>
        <v/>
      </c>
    </row>
    <row r="1929" ht="38" customHeight="1">
      <c r="A1929" s="146" t="inlineStr">
        <is>
          <t>BONUS-L1-FREEZE</t>
        </is>
      </c>
      <c r="B1929" s="39" t="inlineStr">
        <is>
          <t>1 уровень</t>
        </is>
      </c>
      <c r="C1929" s="34" t="inlineStr">
        <is>
          <t>Призы не на абонементы</t>
        </is>
      </c>
      <c r="D1929" s="34" t="inlineStr">
        <is>
          <t>Дополнительная заморозка абонемента</t>
        </is>
      </c>
      <c r="E1929" s="34" t="inlineStr">
        <is>
          <t>При покупке абонемента</t>
        </is>
      </c>
      <c r="F1929" s="147" t="inlineStr">
        <is>
          <t>FW-L1-R2WA3-8GRTY</t>
        </is>
      </c>
      <c r="G1929" s="39" t="inlineStr">
        <is>
          <t>Не использован</t>
        </is>
      </c>
      <c r="H1929" s="148" t="n"/>
      <c r="I1929" s="34" t="str"/>
      <c r="J1929" s="34" t="str"/>
      <c r="K1929" s="130" t="n">
        <v>122</v>
      </c>
      <c r="L1929" s="43">
        <f>IF(COUNTIF($F$5:$F$2407,F1929)=1,"OK","Дубликат")</f>
        <v/>
      </c>
    </row>
    <row r="1930" ht="38" customHeight="1">
      <c r="A1930" s="146" t="inlineStr">
        <is>
          <t>BONUS-L1-FREEZE</t>
        </is>
      </c>
      <c r="B1930" s="39" t="inlineStr">
        <is>
          <t>1 уровень</t>
        </is>
      </c>
      <c r="C1930" s="34" t="inlineStr">
        <is>
          <t>Призы не на абонементы</t>
        </is>
      </c>
      <c r="D1930" s="34" t="inlineStr">
        <is>
          <t>Дополнительная заморозка абонемента</t>
        </is>
      </c>
      <c r="E1930" s="34" t="inlineStr">
        <is>
          <t>При покупке абонемента</t>
        </is>
      </c>
      <c r="F1930" s="147" t="inlineStr">
        <is>
          <t>FW-L1-TCEBS-RW9TX</t>
        </is>
      </c>
      <c r="G1930" s="39" t="inlineStr">
        <is>
          <t>Не использован</t>
        </is>
      </c>
      <c r="H1930" s="148" t="n"/>
      <c r="I1930" s="34" t="str"/>
      <c r="J1930" s="34" t="str"/>
      <c r="K1930" s="130" t="n">
        <v>123</v>
      </c>
      <c r="L1930" s="43">
        <f>IF(COUNTIF($F$5:$F$2407,F1930)=1,"OK","Дубликат")</f>
        <v/>
      </c>
    </row>
    <row r="1931" ht="38" customHeight="1">
      <c r="A1931" s="146" t="inlineStr">
        <is>
          <t>BONUS-L1-FREEZE</t>
        </is>
      </c>
      <c r="B1931" s="39" t="inlineStr">
        <is>
          <t>1 уровень</t>
        </is>
      </c>
      <c r="C1931" s="34" t="inlineStr">
        <is>
          <t>Призы не на абонементы</t>
        </is>
      </c>
      <c r="D1931" s="34" t="inlineStr">
        <is>
          <t>Дополнительная заморозка абонемента</t>
        </is>
      </c>
      <c r="E1931" s="34" t="inlineStr">
        <is>
          <t>При покупке абонемента</t>
        </is>
      </c>
      <c r="F1931" s="147" t="inlineStr">
        <is>
          <t>FW-L1-SJBPP-W7CA8</t>
        </is>
      </c>
      <c r="G1931" s="39" t="inlineStr">
        <is>
          <t>Не использован</t>
        </is>
      </c>
      <c r="H1931" s="148" t="n"/>
      <c r="I1931" s="34" t="str"/>
      <c r="J1931" s="34" t="str"/>
      <c r="K1931" s="130" t="n">
        <v>124</v>
      </c>
      <c r="L1931" s="43">
        <f>IF(COUNTIF($F$5:$F$2407,F1931)=1,"OK","Дубликат")</f>
        <v/>
      </c>
    </row>
    <row r="1932" ht="38" customHeight="1">
      <c r="A1932" s="146" t="inlineStr">
        <is>
          <t>BONUS-L1-FREEZE</t>
        </is>
      </c>
      <c r="B1932" s="39" t="inlineStr">
        <is>
          <t>1 уровень</t>
        </is>
      </c>
      <c r="C1932" s="34" t="inlineStr">
        <is>
          <t>Призы не на абонементы</t>
        </is>
      </c>
      <c r="D1932" s="34" t="inlineStr">
        <is>
          <t>Дополнительная заморозка абонемента</t>
        </is>
      </c>
      <c r="E1932" s="34" t="inlineStr">
        <is>
          <t>При покупке абонемента</t>
        </is>
      </c>
      <c r="F1932" s="147" t="inlineStr">
        <is>
          <t>FW-L1-KUU3Z-GWYHL</t>
        </is>
      </c>
      <c r="G1932" s="39" t="inlineStr">
        <is>
          <t>Не использован</t>
        </is>
      </c>
      <c r="H1932" s="148" t="n"/>
      <c r="I1932" s="34" t="str"/>
      <c r="J1932" s="34" t="str"/>
      <c r="K1932" s="130" t="n">
        <v>125</v>
      </c>
      <c r="L1932" s="43">
        <f>IF(COUNTIF($F$5:$F$2407,F1932)=1,"OK","Дубликат")</f>
        <v/>
      </c>
    </row>
    <row r="1933" ht="38" customHeight="1">
      <c r="A1933" s="146" t="inlineStr">
        <is>
          <t>BONUS-L1-FREEZE</t>
        </is>
      </c>
      <c r="B1933" s="39" t="inlineStr">
        <is>
          <t>1 уровень</t>
        </is>
      </c>
      <c r="C1933" s="34" t="inlineStr">
        <is>
          <t>Призы не на абонементы</t>
        </is>
      </c>
      <c r="D1933" s="34" t="inlineStr">
        <is>
          <t>Дополнительная заморозка абонемента</t>
        </is>
      </c>
      <c r="E1933" s="34" t="inlineStr">
        <is>
          <t>При покупке абонемента</t>
        </is>
      </c>
      <c r="F1933" s="147" t="inlineStr">
        <is>
          <t>FW-L1-JAGT3-X28NC</t>
        </is>
      </c>
      <c r="G1933" s="39" t="inlineStr">
        <is>
          <t>Не использован</t>
        </is>
      </c>
      <c r="H1933" s="148" t="n"/>
      <c r="I1933" s="34" t="str"/>
      <c r="J1933" s="34" t="str"/>
      <c r="K1933" s="130" t="n">
        <v>126</v>
      </c>
      <c r="L1933" s="43">
        <f>IF(COUNTIF($F$5:$F$2407,F1933)=1,"OK","Дубликат")</f>
        <v/>
      </c>
    </row>
    <row r="1934" ht="38" customHeight="1">
      <c r="A1934" s="146" t="inlineStr">
        <is>
          <t>BONUS-L1-FREEZE</t>
        </is>
      </c>
      <c r="B1934" s="39" t="inlineStr">
        <is>
          <t>1 уровень</t>
        </is>
      </c>
      <c r="C1934" s="34" t="inlineStr">
        <is>
          <t>Призы не на абонементы</t>
        </is>
      </c>
      <c r="D1934" s="34" t="inlineStr">
        <is>
          <t>Дополнительная заморозка абонемента</t>
        </is>
      </c>
      <c r="E1934" s="34" t="inlineStr">
        <is>
          <t>При покупке абонемента</t>
        </is>
      </c>
      <c r="F1934" s="147" t="inlineStr">
        <is>
          <t>FW-L1-U2JSF-W9KY2</t>
        </is>
      </c>
      <c r="G1934" s="39" t="inlineStr">
        <is>
          <t>Не использован</t>
        </is>
      </c>
      <c r="H1934" s="148" t="n"/>
      <c r="I1934" s="34" t="str"/>
      <c r="J1934" s="34" t="str"/>
      <c r="K1934" s="130" t="n">
        <v>127</v>
      </c>
      <c r="L1934" s="43">
        <f>IF(COUNTIF($F$5:$F$2407,F1934)=1,"OK","Дубликат")</f>
        <v/>
      </c>
    </row>
    <row r="1935" ht="38" customHeight="1">
      <c r="A1935" s="146" t="inlineStr">
        <is>
          <t>BONUS-L1-FREEZE</t>
        </is>
      </c>
      <c r="B1935" s="39" t="inlineStr">
        <is>
          <t>1 уровень</t>
        </is>
      </c>
      <c r="C1935" s="34" t="inlineStr">
        <is>
          <t>Призы не на абонементы</t>
        </is>
      </c>
      <c r="D1935" s="34" t="inlineStr">
        <is>
          <t>Дополнительная заморозка абонемента</t>
        </is>
      </c>
      <c r="E1935" s="34" t="inlineStr">
        <is>
          <t>При покупке абонемента</t>
        </is>
      </c>
      <c r="F1935" s="147" t="inlineStr">
        <is>
          <t>FW-L1-CGERJ-GLBNM</t>
        </is>
      </c>
      <c r="G1935" s="39" t="inlineStr">
        <is>
          <t>Не использован</t>
        </is>
      </c>
      <c r="H1935" s="148" t="n"/>
      <c r="I1935" s="34" t="str"/>
      <c r="J1935" s="34" t="str"/>
      <c r="K1935" s="130" t="n">
        <v>128</v>
      </c>
      <c r="L1935" s="43">
        <f>IF(COUNTIF($F$5:$F$2407,F1935)=1,"OK","Дубликат")</f>
        <v/>
      </c>
    </row>
    <row r="1936" ht="38" customHeight="1">
      <c r="A1936" s="146" t="inlineStr">
        <is>
          <t>BONUS-L1-FREEZE</t>
        </is>
      </c>
      <c r="B1936" s="39" t="inlineStr">
        <is>
          <t>1 уровень</t>
        </is>
      </c>
      <c r="C1936" s="34" t="inlineStr">
        <is>
          <t>Призы не на абонементы</t>
        </is>
      </c>
      <c r="D1936" s="34" t="inlineStr">
        <is>
          <t>Дополнительная заморозка абонемента</t>
        </is>
      </c>
      <c r="E1936" s="34" t="inlineStr">
        <is>
          <t>При покупке абонемента</t>
        </is>
      </c>
      <c r="F1936" s="147" t="inlineStr">
        <is>
          <t>FW-L1-BQLW6-3VPWT</t>
        </is>
      </c>
      <c r="G1936" s="39" t="inlineStr">
        <is>
          <t>Не использован</t>
        </is>
      </c>
      <c r="H1936" s="148" t="n"/>
      <c r="I1936" s="34" t="str"/>
      <c r="J1936" s="34" t="str"/>
      <c r="K1936" s="130" t="n">
        <v>129</v>
      </c>
      <c r="L1936" s="43">
        <f>IF(COUNTIF($F$5:$F$2407,F1936)=1,"OK","Дубликат")</f>
        <v/>
      </c>
    </row>
    <row r="1937" ht="38" customHeight="1">
      <c r="A1937" s="146" t="inlineStr">
        <is>
          <t>BONUS-L1-FREEZE</t>
        </is>
      </c>
      <c r="B1937" s="39" t="inlineStr">
        <is>
          <t>1 уровень</t>
        </is>
      </c>
      <c r="C1937" s="34" t="inlineStr">
        <is>
          <t>Призы не на абонементы</t>
        </is>
      </c>
      <c r="D1937" s="34" t="inlineStr">
        <is>
          <t>Дополнительная заморозка абонемента</t>
        </is>
      </c>
      <c r="E1937" s="34" t="inlineStr">
        <is>
          <t>При покупке абонемента</t>
        </is>
      </c>
      <c r="F1937" s="147" t="inlineStr">
        <is>
          <t>FW-L1-2KR7D-VPHPK</t>
        </is>
      </c>
      <c r="G1937" s="39" t="inlineStr">
        <is>
          <t>Не использован</t>
        </is>
      </c>
      <c r="H1937" s="148" t="n"/>
      <c r="I1937" s="34" t="str"/>
      <c r="J1937" s="34" t="str"/>
      <c r="K1937" s="130" t="n">
        <v>130</v>
      </c>
      <c r="L1937" s="43">
        <f>IF(COUNTIF($F$5:$F$2407,F1937)=1,"OK","Дубликат")</f>
        <v/>
      </c>
    </row>
    <row r="1938" ht="38" customHeight="1">
      <c r="A1938" s="146" t="inlineStr">
        <is>
          <t>BONUS-L1-FREEZE</t>
        </is>
      </c>
      <c r="B1938" s="39" t="inlineStr">
        <is>
          <t>1 уровень</t>
        </is>
      </c>
      <c r="C1938" s="34" t="inlineStr">
        <is>
          <t>Призы не на абонементы</t>
        </is>
      </c>
      <c r="D1938" s="34" t="inlineStr">
        <is>
          <t>Дополнительная заморозка абонемента</t>
        </is>
      </c>
      <c r="E1938" s="34" t="inlineStr">
        <is>
          <t>При покупке абонемента</t>
        </is>
      </c>
      <c r="F1938" s="147" t="inlineStr">
        <is>
          <t>FW-L1-JZVFU-3M4EG</t>
        </is>
      </c>
      <c r="G1938" s="39" t="inlineStr">
        <is>
          <t>Не использован</t>
        </is>
      </c>
      <c r="H1938" s="148" t="n"/>
      <c r="I1938" s="34" t="str"/>
      <c r="J1938" s="34" t="str"/>
      <c r="K1938" s="130" t="n">
        <v>131</v>
      </c>
      <c r="L1938" s="43">
        <f>IF(COUNTIF($F$5:$F$2407,F1938)=1,"OK","Дубликат")</f>
        <v/>
      </c>
    </row>
    <row r="1939" ht="38" customHeight="1">
      <c r="A1939" s="146" t="inlineStr">
        <is>
          <t>BONUS-L1-FREEZE</t>
        </is>
      </c>
      <c r="B1939" s="39" t="inlineStr">
        <is>
          <t>1 уровень</t>
        </is>
      </c>
      <c r="C1939" s="34" t="inlineStr">
        <is>
          <t>Призы не на абонементы</t>
        </is>
      </c>
      <c r="D1939" s="34" t="inlineStr">
        <is>
          <t>Дополнительная заморозка абонемента</t>
        </is>
      </c>
      <c r="E1939" s="34" t="inlineStr">
        <is>
          <t>При покупке абонемента</t>
        </is>
      </c>
      <c r="F1939" s="147" t="inlineStr">
        <is>
          <t>FW-L1-D3YWG-E4YGE</t>
        </is>
      </c>
      <c r="G1939" s="39" t="inlineStr">
        <is>
          <t>Не использован</t>
        </is>
      </c>
      <c r="H1939" s="148" t="n"/>
      <c r="I1939" s="34" t="str"/>
      <c r="J1939" s="34" t="str"/>
      <c r="K1939" s="130" t="n">
        <v>132</v>
      </c>
      <c r="L1939" s="43">
        <f>IF(COUNTIF($F$5:$F$2407,F1939)=1,"OK","Дубликат")</f>
        <v/>
      </c>
    </row>
    <row r="1940" ht="38" customHeight="1">
      <c r="A1940" s="146" t="inlineStr">
        <is>
          <t>BONUS-L1-FREEZE</t>
        </is>
      </c>
      <c r="B1940" s="39" t="inlineStr">
        <is>
          <t>1 уровень</t>
        </is>
      </c>
      <c r="C1940" s="34" t="inlineStr">
        <is>
          <t>Призы не на абонементы</t>
        </is>
      </c>
      <c r="D1940" s="34" t="inlineStr">
        <is>
          <t>Дополнительная заморозка абонемента</t>
        </is>
      </c>
      <c r="E1940" s="34" t="inlineStr">
        <is>
          <t>При покупке абонемента</t>
        </is>
      </c>
      <c r="F1940" s="147" t="inlineStr">
        <is>
          <t>FW-L1-Z56MY-KWLPE</t>
        </is>
      </c>
      <c r="G1940" s="39" t="inlineStr">
        <is>
          <t>Не использован</t>
        </is>
      </c>
      <c r="H1940" s="148" t="n"/>
      <c r="I1940" s="34" t="str"/>
      <c r="J1940" s="34" t="str"/>
      <c r="K1940" s="130" t="n">
        <v>133</v>
      </c>
      <c r="L1940" s="43">
        <f>IF(COUNTIF($F$5:$F$2407,F1940)=1,"OK","Дубликат")</f>
        <v/>
      </c>
    </row>
    <row r="1941" ht="38" customHeight="1">
      <c r="A1941" s="146" t="inlineStr">
        <is>
          <t>BONUS-L1-FREEZE</t>
        </is>
      </c>
      <c r="B1941" s="39" t="inlineStr">
        <is>
          <t>1 уровень</t>
        </is>
      </c>
      <c r="C1941" s="34" t="inlineStr">
        <is>
          <t>Призы не на абонементы</t>
        </is>
      </c>
      <c r="D1941" s="34" t="inlineStr">
        <is>
          <t>Дополнительная заморозка абонемента</t>
        </is>
      </c>
      <c r="E1941" s="34" t="inlineStr">
        <is>
          <t>При покупке абонемента</t>
        </is>
      </c>
      <c r="F1941" s="147" t="inlineStr">
        <is>
          <t>FW-L1-QJ3NC-T5W4S</t>
        </is>
      </c>
      <c r="G1941" s="39" t="inlineStr">
        <is>
          <t>Не использован</t>
        </is>
      </c>
      <c r="H1941" s="148" t="n"/>
      <c r="I1941" s="34" t="str"/>
      <c r="J1941" s="34" t="str"/>
      <c r="K1941" s="130" t="n">
        <v>134</v>
      </c>
      <c r="L1941" s="43">
        <f>IF(COUNTIF($F$5:$F$2407,F1941)=1,"OK","Дубликат")</f>
        <v/>
      </c>
    </row>
    <row r="1942" ht="38" customHeight="1">
      <c r="A1942" s="146" t="inlineStr">
        <is>
          <t>BONUS-L1-FREEZE</t>
        </is>
      </c>
      <c r="B1942" s="39" t="inlineStr">
        <is>
          <t>1 уровень</t>
        </is>
      </c>
      <c r="C1942" s="34" t="inlineStr">
        <is>
          <t>Призы не на абонементы</t>
        </is>
      </c>
      <c r="D1942" s="34" t="inlineStr">
        <is>
          <t>Дополнительная заморозка абонемента</t>
        </is>
      </c>
      <c r="E1942" s="34" t="inlineStr">
        <is>
          <t>При покупке абонемента</t>
        </is>
      </c>
      <c r="F1942" s="147" t="inlineStr">
        <is>
          <t>FW-L1-UVGSF-XABDY</t>
        </is>
      </c>
      <c r="G1942" s="39" t="inlineStr">
        <is>
          <t>Не использован</t>
        </is>
      </c>
      <c r="H1942" s="148" t="n"/>
      <c r="I1942" s="34" t="str"/>
      <c r="J1942" s="34" t="str"/>
      <c r="K1942" s="130" t="n">
        <v>135</v>
      </c>
      <c r="L1942" s="43">
        <f>IF(COUNTIF($F$5:$F$2407,F1942)=1,"OK","Дубликат")</f>
        <v/>
      </c>
    </row>
    <row r="1943" ht="38" customHeight="1">
      <c r="A1943" s="146" t="inlineStr">
        <is>
          <t>BONUS-L1-FREEZE</t>
        </is>
      </c>
      <c r="B1943" s="39" t="inlineStr">
        <is>
          <t>1 уровень</t>
        </is>
      </c>
      <c r="C1943" s="34" t="inlineStr">
        <is>
          <t>Призы не на абонементы</t>
        </is>
      </c>
      <c r="D1943" s="34" t="inlineStr">
        <is>
          <t>Дополнительная заморозка абонемента</t>
        </is>
      </c>
      <c r="E1943" s="34" t="inlineStr">
        <is>
          <t>При покупке абонемента</t>
        </is>
      </c>
      <c r="F1943" s="147" t="inlineStr">
        <is>
          <t>FW-L1-4W85T-VFZRQ</t>
        </is>
      </c>
      <c r="G1943" s="39" t="inlineStr">
        <is>
          <t>Не использован</t>
        </is>
      </c>
      <c r="H1943" s="148" t="n"/>
      <c r="I1943" s="34" t="str"/>
      <c r="J1943" s="34" t="str"/>
      <c r="K1943" s="130" t="n">
        <v>136</v>
      </c>
      <c r="L1943" s="43">
        <f>IF(COUNTIF($F$5:$F$2407,F1943)=1,"OK","Дубликат")</f>
        <v/>
      </c>
    </row>
    <row r="1944" ht="38" customHeight="1">
      <c r="A1944" s="146" t="inlineStr">
        <is>
          <t>BONUS-L1-FREEZE</t>
        </is>
      </c>
      <c r="B1944" s="39" t="inlineStr">
        <is>
          <t>1 уровень</t>
        </is>
      </c>
      <c r="C1944" s="34" t="inlineStr">
        <is>
          <t>Призы не на абонементы</t>
        </is>
      </c>
      <c r="D1944" s="34" t="inlineStr">
        <is>
          <t>Дополнительная заморозка абонемента</t>
        </is>
      </c>
      <c r="E1944" s="34" t="inlineStr">
        <is>
          <t>При покупке абонемента</t>
        </is>
      </c>
      <c r="F1944" s="147" t="inlineStr">
        <is>
          <t>FW-L1-S7JTB-56SPY</t>
        </is>
      </c>
      <c r="G1944" s="39" t="inlineStr">
        <is>
          <t>Не использован</t>
        </is>
      </c>
      <c r="H1944" s="148" t="n"/>
      <c r="I1944" s="34" t="str"/>
      <c r="J1944" s="34" t="str"/>
      <c r="K1944" s="130" t="n">
        <v>137</v>
      </c>
      <c r="L1944" s="43">
        <f>IF(COUNTIF($F$5:$F$2407,F1944)=1,"OK","Дубликат")</f>
        <v/>
      </c>
    </row>
    <row r="1945" ht="38" customHeight="1">
      <c r="A1945" s="146" t="inlineStr">
        <is>
          <t>BONUS-L1-FREEZE</t>
        </is>
      </c>
      <c r="B1945" s="39" t="inlineStr">
        <is>
          <t>1 уровень</t>
        </is>
      </c>
      <c r="C1945" s="34" t="inlineStr">
        <is>
          <t>Призы не на абонементы</t>
        </is>
      </c>
      <c r="D1945" s="34" t="inlineStr">
        <is>
          <t>Дополнительная заморозка абонемента</t>
        </is>
      </c>
      <c r="E1945" s="34" t="inlineStr">
        <is>
          <t>При покупке абонемента</t>
        </is>
      </c>
      <c r="F1945" s="147" t="inlineStr">
        <is>
          <t>FW-L1-CV4VX-YZ9HH</t>
        </is>
      </c>
      <c r="G1945" s="39" t="inlineStr">
        <is>
          <t>Не использован</t>
        </is>
      </c>
      <c r="H1945" s="148" t="n"/>
      <c r="I1945" s="34" t="str"/>
      <c r="J1945" s="34" t="str"/>
      <c r="K1945" s="130" t="n">
        <v>138</v>
      </c>
      <c r="L1945" s="43">
        <f>IF(COUNTIF($F$5:$F$2407,F1945)=1,"OK","Дубликат")</f>
        <v/>
      </c>
    </row>
    <row r="1946" ht="38" customHeight="1">
      <c r="A1946" s="146" t="inlineStr">
        <is>
          <t>BONUS-L1-FREEZE</t>
        </is>
      </c>
      <c r="B1946" s="39" t="inlineStr">
        <is>
          <t>1 уровень</t>
        </is>
      </c>
      <c r="C1946" s="34" t="inlineStr">
        <is>
          <t>Призы не на абонементы</t>
        </is>
      </c>
      <c r="D1946" s="34" t="inlineStr">
        <is>
          <t>Дополнительная заморозка абонемента</t>
        </is>
      </c>
      <c r="E1946" s="34" t="inlineStr">
        <is>
          <t>При покупке абонемента</t>
        </is>
      </c>
      <c r="F1946" s="147" t="inlineStr">
        <is>
          <t>FW-L1-8HPXP-W6Q28</t>
        </is>
      </c>
      <c r="G1946" s="39" t="inlineStr">
        <is>
          <t>Не использован</t>
        </is>
      </c>
      <c r="H1946" s="148" t="n"/>
      <c r="I1946" s="34" t="str"/>
      <c r="J1946" s="34" t="str"/>
      <c r="K1946" s="130" t="n">
        <v>139</v>
      </c>
      <c r="L1946" s="43">
        <f>IF(COUNTIF($F$5:$F$2407,F1946)=1,"OK","Дубликат")</f>
        <v/>
      </c>
    </row>
    <row r="1947" ht="38" customHeight="1">
      <c r="A1947" s="146" t="inlineStr">
        <is>
          <t>BONUS-L1-FREEZE</t>
        </is>
      </c>
      <c r="B1947" s="39" t="inlineStr">
        <is>
          <t>1 уровень</t>
        </is>
      </c>
      <c r="C1947" s="34" t="inlineStr">
        <is>
          <t>Призы не на абонементы</t>
        </is>
      </c>
      <c r="D1947" s="34" t="inlineStr">
        <is>
          <t>Дополнительная заморозка абонемента</t>
        </is>
      </c>
      <c r="E1947" s="34" t="inlineStr">
        <is>
          <t>При покупке абонемента</t>
        </is>
      </c>
      <c r="F1947" s="147" t="inlineStr">
        <is>
          <t>FW-L1-39EQR-F32BZ</t>
        </is>
      </c>
      <c r="G1947" s="39" t="inlineStr">
        <is>
          <t>Не использован</t>
        </is>
      </c>
      <c r="H1947" s="148" t="n"/>
      <c r="I1947" s="34" t="str"/>
      <c r="J1947" s="34" t="str"/>
      <c r="K1947" s="130" t="n">
        <v>140</v>
      </c>
      <c r="L1947" s="43">
        <f>IF(COUNTIF($F$5:$F$2407,F1947)=1,"OK","Дубликат")</f>
        <v/>
      </c>
    </row>
    <row r="1948" ht="38" customHeight="1">
      <c r="A1948" s="146" t="inlineStr">
        <is>
          <t>BONUS-L1-FREEZE</t>
        </is>
      </c>
      <c r="B1948" s="39" t="inlineStr">
        <is>
          <t>1 уровень</t>
        </is>
      </c>
      <c r="C1948" s="34" t="inlineStr">
        <is>
          <t>Призы не на абонементы</t>
        </is>
      </c>
      <c r="D1948" s="34" t="inlineStr">
        <is>
          <t>Дополнительная заморозка абонемента</t>
        </is>
      </c>
      <c r="E1948" s="34" t="inlineStr">
        <is>
          <t>При покупке абонемента</t>
        </is>
      </c>
      <c r="F1948" s="147" t="inlineStr">
        <is>
          <t>FW-L1-F7KCZ-9HLY8</t>
        </is>
      </c>
      <c r="G1948" s="39" t="inlineStr">
        <is>
          <t>Не использован</t>
        </is>
      </c>
      <c r="H1948" s="148" t="n"/>
      <c r="I1948" s="34" t="str"/>
      <c r="J1948" s="34" t="str"/>
      <c r="K1948" s="130" t="n">
        <v>141</v>
      </c>
      <c r="L1948" s="43">
        <f>IF(COUNTIF($F$5:$F$2407,F1948)=1,"OK","Дубликат")</f>
        <v/>
      </c>
    </row>
    <row r="1949" ht="38" customHeight="1">
      <c r="A1949" s="146" t="inlineStr">
        <is>
          <t>BONUS-L1-FREEZE</t>
        </is>
      </c>
      <c r="B1949" s="39" t="inlineStr">
        <is>
          <t>1 уровень</t>
        </is>
      </c>
      <c r="C1949" s="34" t="inlineStr">
        <is>
          <t>Призы не на абонементы</t>
        </is>
      </c>
      <c r="D1949" s="34" t="inlineStr">
        <is>
          <t>Дополнительная заморозка абонемента</t>
        </is>
      </c>
      <c r="E1949" s="34" t="inlineStr">
        <is>
          <t>При покупке абонемента</t>
        </is>
      </c>
      <c r="F1949" s="147" t="inlineStr">
        <is>
          <t>FW-L1-DR2XH-NV5EZ</t>
        </is>
      </c>
      <c r="G1949" s="39" t="inlineStr">
        <is>
          <t>Не использован</t>
        </is>
      </c>
      <c r="H1949" s="148" t="n"/>
      <c r="I1949" s="34" t="str"/>
      <c r="J1949" s="34" t="str"/>
      <c r="K1949" s="130" t="n">
        <v>142</v>
      </c>
      <c r="L1949" s="43">
        <f>IF(COUNTIF($F$5:$F$2407,F1949)=1,"OK","Дубликат")</f>
        <v/>
      </c>
    </row>
    <row r="1950" ht="38" customHeight="1">
      <c r="A1950" s="146" t="inlineStr">
        <is>
          <t>BONUS-L1-FREEZE</t>
        </is>
      </c>
      <c r="B1950" s="39" t="inlineStr">
        <is>
          <t>1 уровень</t>
        </is>
      </c>
      <c r="C1950" s="34" t="inlineStr">
        <is>
          <t>Призы не на абонементы</t>
        </is>
      </c>
      <c r="D1950" s="34" t="inlineStr">
        <is>
          <t>Дополнительная заморозка абонемента</t>
        </is>
      </c>
      <c r="E1950" s="34" t="inlineStr">
        <is>
          <t>При покупке абонемента</t>
        </is>
      </c>
      <c r="F1950" s="147" t="inlineStr">
        <is>
          <t>FW-L1-94ZZF-9VGC7</t>
        </is>
      </c>
      <c r="G1950" s="39" t="inlineStr">
        <is>
          <t>Не использован</t>
        </is>
      </c>
      <c r="H1950" s="148" t="n"/>
      <c r="I1950" s="34" t="str"/>
      <c r="J1950" s="34" t="str"/>
      <c r="K1950" s="130" t="n">
        <v>143</v>
      </c>
      <c r="L1950" s="43">
        <f>IF(COUNTIF($F$5:$F$2407,F1950)=1,"OK","Дубликат")</f>
        <v/>
      </c>
    </row>
    <row r="1951" ht="38" customHeight="1">
      <c r="A1951" s="146" t="inlineStr">
        <is>
          <t>BONUS-L1-FREEZE</t>
        </is>
      </c>
      <c r="B1951" s="39" t="inlineStr">
        <is>
          <t>1 уровень</t>
        </is>
      </c>
      <c r="C1951" s="34" t="inlineStr">
        <is>
          <t>Призы не на абонементы</t>
        </is>
      </c>
      <c r="D1951" s="34" t="inlineStr">
        <is>
          <t>Дополнительная заморозка абонемента</t>
        </is>
      </c>
      <c r="E1951" s="34" t="inlineStr">
        <is>
          <t>При покупке абонемента</t>
        </is>
      </c>
      <c r="F1951" s="147" t="inlineStr">
        <is>
          <t>FW-L1-RR3VX-AP6UT</t>
        </is>
      </c>
      <c r="G1951" s="39" t="inlineStr">
        <is>
          <t>Не использован</t>
        </is>
      </c>
      <c r="H1951" s="148" t="n"/>
      <c r="I1951" s="34" t="str"/>
      <c r="J1951" s="34" t="str"/>
      <c r="K1951" s="130" t="n">
        <v>144</v>
      </c>
      <c r="L1951" s="43">
        <f>IF(COUNTIF($F$5:$F$2407,F1951)=1,"OK","Дубликат")</f>
        <v/>
      </c>
    </row>
    <row r="1952" ht="38" customHeight="1">
      <c r="A1952" s="146" t="inlineStr">
        <is>
          <t>BONUS-L1-FREEZE</t>
        </is>
      </c>
      <c r="B1952" s="39" t="inlineStr">
        <is>
          <t>1 уровень</t>
        </is>
      </c>
      <c r="C1952" s="34" t="inlineStr">
        <is>
          <t>Призы не на абонементы</t>
        </is>
      </c>
      <c r="D1952" s="34" t="inlineStr">
        <is>
          <t>Дополнительная заморозка абонемента</t>
        </is>
      </c>
      <c r="E1952" s="34" t="inlineStr">
        <is>
          <t>При покупке абонемента</t>
        </is>
      </c>
      <c r="F1952" s="147" t="inlineStr">
        <is>
          <t>FW-L1-FDSWS-R8GCQ</t>
        </is>
      </c>
      <c r="G1952" s="39" t="inlineStr">
        <is>
          <t>Не использован</t>
        </is>
      </c>
      <c r="H1952" s="148" t="n"/>
      <c r="I1952" s="34" t="str"/>
      <c r="J1952" s="34" t="str"/>
      <c r="K1952" s="130" t="n">
        <v>145</v>
      </c>
      <c r="L1952" s="43">
        <f>IF(COUNTIF($F$5:$F$2407,F1952)=1,"OK","Дубликат")</f>
        <v/>
      </c>
    </row>
    <row r="1953" ht="38" customHeight="1">
      <c r="A1953" s="146" t="inlineStr">
        <is>
          <t>BONUS-L1-FREEZE</t>
        </is>
      </c>
      <c r="B1953" s="39" t="inlineStr">
        <is>
          <t>1 уровень</t>
        </is>
      </c>
      <c r="C1953" s="34" t="inlineStr">
        <is>
          <t>Призы не на абонементы</t>
        </is>
      </c>
      <c r="D1953" s="34" t="inlineStr">
        <is>
          <t>Дополнительная заморозка абонемента</t>
        </is>
      </c>
      <c r="E1953" s="34" t="inlineStr">
        <is>
          <t>При покупке абонемента</t>
        </is>
      </c>
      <c r="F1953" s="147" t="inlineStr">
        <is>
          <t>FW-L1-QMQ8F-HJZJS</t>
        </is>
      </c>
      <c r="G1953" s="39" t="inlineStr">
        <is>
          <t>Не использован</t>
        </is>
      </c>
      <c r="H1953" s="148" t="n"/>
      <c r="I1953" s="34" t="str"/>
      <c r="J1953" s="34" t="str"/>
      <c r="K1953" s="130" t="n">
        <v>146</v>
      </c>
      <c r="L1953" s="43">
        <f>IF(COUNTIF($F$5:$F$2407,F1953)=1,"OK","Дубликат")</f>
        <v/>
      </c>
    </row>
    <row r="1954" ht="38" customHeight="1">
      <c r="A1954" s="146" t="inlineStr">
        <is>
          <t>BONUS-L1-FREEZE</t>
        </is>
      </c>
      <c r="B1954" s="39" t="inlineStr">
        <is>
          <t>1 уровень</t>
        </is>
      </c>
      <c r="C1954" s="34" t="inlineStr">
        <is>
          <t>Призы не на абонементы</t>
        </is>
      </c>
      <c r="D1954" s="34" t="inlineStr">
        <is>
          <t>Дополнительная заморозка абонемента</t>
        </is>
      </c>
      <c r="E1954" s="34" t="inlineStr">
        <is>
          <t>При покупке абонемента</t>
        </is>
      </c>
      <c r="F1954" s="147" t="inlineStr">
        <is>
          <t>FW-L1-FMSL8-L32B6</t>
        </is>
      </c>
      <c r="G1954" s="39" t="inlineStr">
        <is>
          <t>Не использован</t>
        </is>
      </c>
      <c r="H1954" s="148" t="n"/>
      <c r="I1954" s="34" t="str"/>
      <c r="J1954" s="34" t="str"/>
      <c r="K1954" s="130" t="n">
        <v>147</v>
      </c>
      <c r="L1954" s="43">
        <f>IF(COUNTIF($F$5:$F$2407,F1954)=1,"OK","Дубликат")</f>
        <v/>
      </c>
    </row>
    <row r="1955" ht="38" customHeight="1">
      <c r="A1955" s="146" t="inlineStr">
        <is>
          <t>BONUS-L1-FREEZE</t>
        </is>
      </c>
      <c r="B1955" s="39" t="inlineStr">
        <is>
          <t>1 уровень</t>
        </is>
      </c>
      <c r="C1955" s="34" t="inlineStr">
        <is>
          <t>Призы не на абонементы</t>
        </is>
      </c>
      <c r="D1955" s="34" t="inlineStr">
        <is>
          <t>Дополнительная заморозка абонемента</t>
        </is>
      </c>
      <c r="E1955" s="34" t="inlineStr">
        <is>
          <t>При покупке абонемента</t>
        </is>
      </c>
      <c r="F1955" s="147" t="inlineStr">
        <is>
          <t>FW-L1-ANNUR-W58TM</t>
        </is>
      </c>
      <c r="G1955" s="39" t="inlineStr">
        <is>
          <t>Не использован</t>
        </is>
      </c>
      <c r="H1955" s="148" t="n"/>
      <c r="I1955" s="34" t="str"/>
      <c r="J1955" s="34" t="str"/>
      <c r="K1955" s="130" t="n">
        <v>148</v>
      </c>
      <c r="L1955" s="43">
        <f>IF(COUNTIF($F$5:$F$2407,F1955)=1,"OK","Дубликат")</f>
        <v/>
      </c>
    </row>
    <row r="1956" ht="38" customHeight="1">
      <c r="A1956" s="146" t="inlineStr">
        <is>
          <t>BONUS-L1-FREEZE</t>
        </is>
      </c>
      <c r="B1956" s="39" t="inlineStr">
        <is>
          <t>1 уровень</t>
        </is>
      </c>
      <c r="C1956" s="34" t="inlineStr">
        <is>
          <t>Призы не на абонементы</t>
        </is>
      </c>
      <c r="D1956" s="34" t="inlineStr">
        <is>
          <t>Дополнительная заморозка абонемента</t>
        </is>
      </c>
      <c r="E1956" s="34" t="inlineStr">
        <is>
          <t>При покупке абонемента</t>
        </is>
      </c>
      <c r="F1956" s="147" t="inlineStr">
        <is>
          <t>FW-L1-8BGJA-WA8Z8</t>
        </is>
      </c>
      <c r="G1956" s="39" t="inlineStr">
        <is>
          <t>Не использован</t>
        </is>
      </c>
      <c r="H1956" s="148" t="n"/>
      <c r="I1956" s="34" t="str"/>
      <c r="J1956" s="34" t="str"/>
      <c r="K1956" s="130" t="n">
        <v>149</v>
      </c>
      <c r="L1956" s="43">
        <f>IF(COUNTIF($F$5:$F$2407,F1956)=1,"OK","Дубликат")</f>
        <v/>
      </c>
    </row>
    <row r="1957" ht="38" customHeight="1">
      <c r="A1957" s="146" t="inlineStr">
        <is>
          <t>BONUS-L1-FREEZE</t>
        </is>
      </c>
      <c r="B1957" s="39" t="inlineStr">
        <is>
          <t>1 уровень</t>
        </is>
      </c>
      <c r="C1957" s="34" t="inlineStr">
        <is>
          <t>Призы не на абонементы</t>
        </is>
      </c>
      <c r="D1957" s="34" t="inlineStr">
        <is>
          <t>Дополнительная заморозка абонемента</t>
        </is>
      </c>
      <c r="E1957" s="34" t="inlineStr">
        <is>
          <t>При покупке абонемента</t>
        </is>
      </c>
      <c r="F1957" s="147" t="inlineStr">
        <is>
          <t>FW-L1-2HNTV-AZ3RD</t>
        </is>
      </c>
      <c r="G1957" s="39" t="inlineStr">
        <is>
          <t>Не использован</t>
        </is>
      </c>
      <c r="H1957" s="148" t="n"/>
      <c r="I1957" s="34" t="str"/>
      <c r="J1957" s="34" t="str"/>
      <c r="K1957" s="130" t="n">
        <v>150</v>
      </c>
      <c r="L1957" s="43">
        <f>IF(COUNTIF($F$5:$F$2407,F1957)=1,"OK","Дубликат")</f>
        <v/>
      </c>
    </row>
    <row r="1958" ht="38" customHeight="1">
      <c r="A1958" s="146" t="inlineStr">
        <is>
          <t>BONUS-L1-FREEZE</t>
        </is>
      </c>
      <c r="B1958" s="39" t="inlineStr">
        <is>
          <t>1 уровень</t>
        </is>
      </c>
      <c r="C1958" s="34" t="inlineStr">
        <is>
          <t>Призы не на абонементы</t>
        </is>
      </c>
      <c r="D1958" s="34" t="inlineStr">
        <is>
          <t>Дополнительная заморозка абонемента</t>
        </is>
      </c>
      <c r="E1958" s="34" t="inlineStr">
        <is>
          <t>При покупке абонемента</t>
        </is>
      </c>
      <c r="F1958" s="147" t="inlineStr">
        <is>
          <t>FW-L1-3L3ME-L4S6W</t>
        </is>
      </c>
      <c r="G1958" s="39" t="inlineStr">
        <is>
          <t>Не использован</t>
        </is>
      </c>
      <c r="H1958" s="148" t="n"/>
      <c r="I1958" s="34" t="str"/>
      <c r="J1958" s="34" t="str"/>
      <c r="K1958" s="130" t="n">
        <v>151</v>
      </c>
      <c r="L1958" s="43">
        <f>IF(COUNTIF($F$5:$F$2407,F1958)=1,"OK","Дубликат")</f>
        <v/>
      </c>
    </row>
    <row r="1959" ht="38" customHeight="1">
      <c r="A1959" s="146" t="inlineStr">
        <is>
          <t>BONUS-L1-FREEZE</t>
        </is>
      </c>
      <c r="B1959" s="39" t="inlineStr">
        <is>
          <t>1 уровень</t>
        </is>
      </c>
      <c r="C1959" s="34" t="inlineStr">
        <is>
          <t>Призы не на абонементы</t>
        </is>
      </c>
      <c r="D1959" s="34" t="inlineStr">
        <is>
          <t>Дополнительная заморозка абонемента</t>
        </is>
      </c>
      <c r="E1959" s="34" t="inlineStr">
        <is>
          <t>При покупке абонемента</t>
        </is>
      </c>
      <c r="F1959" s="147" t="inlineStr">
        <is>
          <t>FW-L1-37HNR-AB6FZ</t>
        </is>
      </c>
      <c r="G1959" s="39" t="inlineStr">
        <is>
          <t>Не использован</t>
        </is>
      </c>
      <c r="H1959" s="148" t="n"/>
      <c r="I1959" s="34" t="str"/>
      <c r="J1959" s="34" t="str"/>
      <c r="K1959" s="130" t="n">
        <v>152</v>
      </c>
      <c r="L1959" s="43">
        <f>IF(COUNTIF($F$5:$F$2407,F1959)=1,"OK","Дубликат")</f>
        <v/>
      </c>
    </row>
    <row r="1960" ht="38" customHeight="1">
      <c r="A1960" s="146" t="inlineStr">
        <is>
          <t>BONUS-L1-FREEZE</t>
        </is>
      </c>
      <c r="B1960" s="39" t="inlineStr">
        <is>
          <t>1 уровень</t>
        </is>
      </c>
      <c r="C1960" s="34" t="inlineStr">
        <is>
          <t>Призы не на абонементы</t>
        </is>
      </c>
      <c r="D1960" s="34" t="inlineStr">
        <is>
          <t>Дополнительная заморозка абонемента</t>
        </is>
      </c>
      <c r="E1960" s="34" t="inlineStr">
        <is>
          <t>При покупке абонемента</t>
        </is>
      </c>
      <c r="F1960" s="147" t="inlineStr">
        <is>
          <t>FW-L1-8FSNZ-P9Y76</t>
        </is>
      </c>
      <c r="G1960" s="39" t="inlineStr">
        <is>
          <t>Не использован</t>
        </is>
      </c>
      <c r="H1960" s="148" t="n"/>
      <c r="I1960" s="34" t="str"/>
      <c r="J1960" s="34" t="str"/>
      <c r="K1960" s="130" t="n">
        <v>153</v>
      </c>
      <c r="L1960" s="43">
        <f>IF(COUNTIF($F$5:$F$2407,F1960)=1,"OK","Дубликат")</f>
        <v/>
      </c>
    </row>
    <row r="1961" ht="38" customHeight="1">
      <c r="A1961" s="146" t="inlineStr">
        <is>
          <t>BONUS-L1-FREEZE</t>
        </is>
      </c>
      <c r="B1961" s="39" t="inlineStr">
        <is>
          <t>1 уровень</t>
        </is>
      </c>
      <c r="C1961" s="34" t="inlineStr">
        <is>
          <t>Призы не на абонементы</t>
        </is>
      </c>
      <c r="D1961" s="34" t="inlineStr">
        <is>
          <t>Дополнительная заморозка абонемента</t>
        </is>
      </c>
      <c r="E1961" s="34" t="inlineStr">
        <is>
          <t>При покупке абонемента</t>
        </is>
      </c>
      <c r="F1961" s="147" t="inlineStr">
        <is>
          <t>FW-L1-YL4TL-JR9DB</t>
        </is>
      </c>
      <c r="G1961" s="39" t="inlineStr">
        <is>
          <t>Не использован</t>
        </is>
      </c>
      <c r="H1961" s="148" t="n"/>
      <c r="I1961" s="34" t="str"/>
      <c r="J1961" s="34" t="str"/>
      <c r="K1961" s="130" t="n">
        <v>154</v>
      </c>
      <c r="L1961" s="43">
        <f>IF(COUNTIF($F$5:$F$2407,F1961)=1,"OK","Дубликат")</f>
        <v/>
      </c>
    </row>
    <row r="1962" ht="38" customHeight="1">
      <c r="A1962" s="146" t="inlineStr">
        <is>
          <t>BONUS-L1-FREEZE</t>
        </is>
      </c>
      <c r="B1962" s="39" t="inlineStr">
        <is>
          <t>1 уровень</t>
        </is>
      </c>
      <c r="C1962" s="34" t="inlineStr">
        <is>
          <t>Призы не на абонементы</t>
        </is>
      </c>
      <c r="D1962" s="34" t="inlineStr">
        <is>
          <t>Дополнительная заморозка абонемента</t>
        </is>
      </c>
      <c r="E1962" s="34" t="inlineStr">
        <is>
          <t>При покупке абонемента</t>
        </is>
      </c>
      <c r="F1962" s="147" t="inlineStr">
        <is>
          <t>FW-L1-C8CWK-V57LH</t>
        </is>
      </c>
      <c r="G1962" s="39" t="inlineStr">
        <is>
          <t>Не использован</t>
        </is>
      </c>
      <c r="H1962" s="148" t="n"/>
      <c r="I1962" s="34" t="str"/>
      <c r="J1962" s="34" t="str"/>
      <c r="K1962" s="130" t="n">
        <v>155</v>
      </c>
      <c r="L1962" s="43">
        <f>IF(COUNTIF($F$5:$F$2407,F1962)=1,"OK","Дубликат")</f>
        <v/>
      </c>
    </row>
    <row r="1963" ht="38" customHeight="1">
      <c r="A1963" s="146" t="inlineStr">
        <is>
          <t>BONUS-L1-FREEZE</t>
        </is>
      </c>
      <c r="B1963" s="39" t="inlineStr">
        <is>
          <t>1 уровень</t>
        </is>
      </c>
      <c r="C1963" s="34" t="inlineStr">
        <is>
          <t>Призы не на абонементы</t>
        </is>
      </c>
      <c r="D1963" s="34" t="inlineStr">
        <is>
          <t>Дополнительная заморозка абонемента</t>
        </is>
      </c>
      <c r="E1963" s="34" t="inlineStr">
        <is>
          <t>При покупке абонемента</t>
        </is>
      </c>
      <c r="F1963" s="147" t="inlineStr">
        <is>
          <t>FW-L1-JMDGP-QV2GE</t>
        </is>
      </c>
      <c r="G1963" s="39" t="inlineStr">
        <is>
          <t>Не использован</t>
        </is>
      </c>
      <c r="H1963" s="148" t="n"/>
      <c r="I1963" s="34" t="str"/>
      <c r="J1963" s="34" t="str"/>
      <c r="K1963" s="130" t="n">
        <v>156</v>
      </c>
      <c r="L1963" s="43">
        <f>IF(COUNTIF($F$5:$F$2407,F1963)=1,"OK","Дубликат")</f>
        <v/>
      </c>
    </row>
    <row r="1964" ht="38" customHeight="1">
      <c r="A1964" s="146" t="inlineStr">
        <is>
          <t>BONUS-L1-FREEZE</t>
        </is>
      </c>
      <c r="B1964" s="39" t="inlineStr">
        <is>
          <t>1 уровень</t>
        </is>
      </c>
      <c r="C1964" s="34" t="inlineStr">
        <is>
          <t>Призы не на абонементы</t>
        </is>
      </c>
      <c r="D1964" s="34" t="inlineStr">
        <is>
          <t>Дополнительная заморозка абонемента</t>
        </is>
      </c>
      <c r="E1964" s="34" t="inlineStr">
        <is>
          <t>При покупке абонемента</t>
        </is>
      </c>
      <c r="F1964" s="147" t="inlineStr">
        <is>
          <t>FW-L1-G82CF-5QM9M</t>
        </is>
      </c>
      <c r="G1964" s="39" t="inlineStr">
        <is>
          <t>Не использован</t>
        </is>
      </c>
      <c r="H1964" s="148" t="n"/>
      <c r="I1964" s="34" t="str"/>
      <c r="J1964" s="34" t="str"/>
      <c r="K1964" s="130" t="n">
        <v>157</v>
      </c>
      <c r="L1964" s="43">
        <f>IF(COUNTIF($F$5:$F$2407,F1964)=1,"OK","Дубликат")</f>
        <v/>
      </c>
    </row>
    <row r="1965" ht="38" customHeight="1">
      <c r="A1965" s="146" t="inlineStr">
        <is>
          <t>BONUS-L1-FREEZE</t>
        </is>
      </c>
      <c r="B1965" s="39" t="inlineStr">
        <is>
          <t>1 уровень</t>
        </is>
      </c>
      <c r="C1965" s="34" t="inlineStr">
        <is>
          <t>Призы не на абонементы</t>
        </is>
      </c>
      <c r="D1965" s="34" t="inlineStr">
        <is>
          <t>Дополнительная заморозка абонемента</t>
        </is>
      </c>
      <c r="E1965" s="34" t="inlineStr">
        <is>
          <t>При покупке абонемента</t>
        </is>
      </c>
      <c r="F1965" s="147" t="inlineStr">
        <is>
          <t>FW-L1-WGMZ2-ASRQK</t>
        </is>
      </c>
      <c r="G1965" s="39" t="inlineStr">
        <is>
          <t>Не использован</t>
        </is>
      </c>
      <c r="H1965" s="148" t="n"/>
      <c r="I1965" s="34" t="str"/>
      <c r="J1965" s="34" t="str"/>
      <c r="K1965" s="130" t="n">
        <v>158</v>
      </c>
      <c r="L1965" s="43">
        <f>IF(COUNTIF($F$5:$F$2407,F1965)=1,"OK","Дубликат")</f>
        <v/>
      </c>
    </row>
    <row r="1966" ht="38" customHeight="1">
      <c r="A1966" s="146" t="inlineStr">
        <is>
          <t>BONUS-L1-FREEZE</t>
        </is>
      </c>
      <c r="B1966" s="39" t="inlineStr">
        <is>
          <t>1 уровень</t>
        </is>
      </c>
      <c r="C1966" s="34" t="inlineStr">
        <is>
          <t>Призы не на абонементы</t>
        </is>
      </c>
      <c r="D1966" s="34" t="inlineStr">
        <is>
          <t>Дополнительная заморозка абонемента</t>
        </is>
      </c>
      <c r="E1966" s="34" t="inlineStr">
        <is>
          <t>При покупке абонемента</t>
        </is>
      </c>
      <c r="F1966" s="147" t="inlineStr">
        <is>
          <t>FW-L1-YFQBX-M5L7U</t>
        </is>
      </c>
      <c r="G1966" s="39" t="inlineStr">
        <is>
          <t>Не использован</t>
        </is>
      </c>
      <c r="H1966" s="148" t="n"/>
      <c r="I1966" s="34" t="str"/>
      <c r="J1966" s="34" t="str"/>
      <c r="K1966" s="130" t="n">
        <v>159</v>
      </c>
      <c r="L1966" s="43">
        <f>IF(COUNTIF($F$5:$F$2407,F1966)=1,"OK","Дубликат")</f>
        <v/>
      </c>
    </row>
    <row r="1967" ht="38" customHeight="1">
      <c r="A1967" s="146" t="inlineStr">
        <is>
          <t>BONUS-L1-FREEZE</t>
        </is>
      </c>
      <c r="B1967" s="39" t="inlineStr">
        <is>
          <t>1 уровень</t>
        </is>
      </c>
      <c r="C1967" s="34" t="inlineStr">
        <is>
          <t>Призы не на абонементы</t>
        </is>
      </c>
      <c r="D1967" s="34" t="inlineStr">
        <is>
          <t>Дополнительная заморозка абонемента</t>
        </is>
      </c>
      <c r="E1967" s="34" t="inlineStr">
        <is>
          <t>При покупке абонемента</t>
        </is>
      </c>
      <c r="F1967" s="147" t="inlineStr">
        <is>
          <t>FW-L1-FE8VP-MVP8V</t>
        </is>
      </c>
      <c r="G1967" s="39" t="inlineStr">
        <is>
          <t>Не использован</t>
        </is>
      </c>
      <c r="H1967" s="148" t="n"/>
      <c r="I1967" s="34" t="str"/>
      <c r="J1967" s="34" t="str"/>
      <c r="K1967" s="130" t="n">
        <v>160</v>
      </c>
      <c r="L1967" s="43">
        <f>IF(COUNTIF($F$5:$F$2407,F1967)=1,"OK","Дубликат")</f>
        <v/>
      </c>
    </row>
    <row r="1968" ht="38" customHeight="1">
      <c r="A1968" s="146" t="inlineStr">
        <is>
          <t>BONUS-L1-FREEZE</t>
        </is>
      </c>
      <c r="B1968" s="39" t="inlineStr">
        <is>
          <t>1 уровень</t>
        </is>
      </c>
      <c r="C1968" s="34" t="inlineStr">
        <is>
          <t>Призы не на абонементы</t>
        </is>
      </c>
      <c r="D1968" s="34" t="inlineStr">
        <is>
          <t>Дополнительная заморозка абонемента</t>
        </is>
      </c>
      <c r="E1968" s="34" t="inlineStr">
        <is>
          <t>При покупке абонемента</t>
        </is>
      </c>
      <c r="F1968" s="147" t="inlineStr">
        <is>
          <t>FW-L1-HQQU2-QZK3V</t>
        </is>
      </c>
      <c r="G1968" s="39" t="inlineStr">
        <is>
          <t>Не использован</t>
        </is>
      </c>
      <c r="H1968" s="148" t="n"/>
      <c r="I1968" s="34" t="str"/>
      <c r="J1968" s="34" t="str"/>
      <c r="K1968" s="130" t="n">
        <v>161</v>
      </c>
      <c r="L1968" s="43">
        <f>IF(COUNTIF($F$5:$F$2407,F1968)=1,"OK","Дубликат")</f>
        <v/>
      </c>
    </row>
    <row r="1969" ht="38" customHeight="1">
      <c r="A1969" s="146" t="inlineStr">
        <is>
          <t>BONUS-L1-FREEZE</t>
        </is>
      </c>
      <c r="B1969" s="39" t="inlineStr">
        <is>
          <t>1 уровень</t>
        </is>
      </c>
      <c r="C1969" s="34" t="inlineStr">
        <is>
          <t>Призы не на абонементы</t>
        </is>
      </c>
      <c r="D1969" s="34" t="inlineStr">
        <is>
          <t>Дополнительная заморозка абонемента</t>
        </is>
      </c>
      <c r="E1969" s="34" t="inlineStr">
        <is>
          <t>При покупке абонемента</t>
        </is>
      </c>
      <c r="F1969" s="147" t="inlineStr">
        <is>
          <t>FW-L1-KM25C-UFN9S</t>
        </is>
      </c>
      <c r="G1969" s="39" t="inlineStr">
        <is>
          <t>Не использован</t>
        </is>
      </c>
      <c r="H1969" s="148" t="n"/>
      <c r="I1969" s="34" t="str"/>
      <c r="J1969" s="34" t="str"/>
      <c r="K1969" s="130" t="n">
        <v>162</v>
      </c>
      <c r="L1969" s="43">
        <f>IF(COUNTIF($F$5:$F$2407,F1969)=1,"OK","Дубликат")</f>
        <v/>
      </c>
    </row>
    <row r="1970" ht="38" customHeight="1">
      <c r="A1970" s="146" t="inlineStr">
        <is>
          <t>BONUS-L1-FREEZE</t>
        </is>
      </c>
      <c r="B1970" s="39" t="inlineStr">
        <is>
          <t>1 уровень</t>
        </is>
      </c>
      <c r="C1970" s="34" t="inlineStr">
        <is>
          <t>Призы не на абонементы</t>
        </is>
      </c>
      <c r="D1970" s="34" t="inlineStr">
        <is>
          <t>Дополнительная заморозка абонемента</t>
        </is>
      </c>
      <c r="E1970" s="34" t="inlineStr">
        <is>
          <t>При покупке абонемента</t>
        </is>
      </c>
      <c r="F1970" s="147" t="inlineStr">
        <is>
          <t>FW-L1-MQWRV-S37JX</t>
        </is>
      </c>
      <c r="G1970" s="39" t="inlineStr">
        <is>
          <t>Не использован</t>
        </is>
      </c>
      <c r="H1970" s="148" t="n"/>
      <c r="I1970" s="34" t="str"/>
      <c r="J1970" s="34" t="str"/>
      <c r="K1970" s="130" t="n">
        <v>163</v>
      </c>
      <c r="L1970" s="43">
        <f>IF(COUNTIF($F$5:$F$2407,F1970)=1,"OK","Дубликат")</f>
        <v/>
      </c>
    </row>
    <row r="1971" ht="38" customHeight="1">
      <c r="A1971" s="146" t="inlineStr">
        <is>
          <t>BONUS-L1-FREEZE</t>
        </is>
      </c>
      <c r="B1971" s="39" t="inlineStr">
        <is>
          <t>1 уровень</t>
        </is>
      </c>
      <c r="C1971" s="34" t="inlineStr">
        <is>
          <t>Призы не на абонементы</t>
        </is>
      </c>
      <c r="D1971" s="34" t="inlineStr">
        <is>
          <t>Дополнительная заморозка абонемента</t>
        </is>
      </c>
      <c r="E1971" s="34" t="inlineStr">
        <is>
          <t>При покупке абонемента</t>
        </is>
      </c>
      <c r="F1971" s="147" t="inlineStr">
        <is>
          <t>FW-L1-BZ5PD-VBKF6</t>
        </is>
      </c>
      <c r="G1971" s="39" t="inlineStr">
        <is>
          <t>Не использован</t>
        </is>
      </c>
      <c r="H1971" s="148" t="n"/>
      <c r="I1971" s="34" t="str"/>
      <c r="J1971" s="34" t="str"/>
      <c r="K1971" s="130" t="n">
        <v>164</v>
      </c>
      <c r="L1971" s="43">
        <f>IF(COUNTIF($F$5:$F$2407,F1971)=1,"OK","Дубликат")</f>
        <v/>
      </c>
    </row>
    <row r="1972" ht="38" customHeight="1">
      <c r="A1972" s="146" t="inlineStr">
        <is>
          <t>BONUS-L1-FREEZE</t>
        </is>
      </c>
      <c r="B1972" s="39" t="inlineStr">
        <is>
          <t>1 уровень</t>
        </is>
      </c>
      <c r="C1972" s="34" t="inlineStr">
        <is>
          <t>Призы не на абонементы</t>
        </is>
      </c>
      <c r="D1972" s="34" t="inlineStr">
        <is>
          <t>Дополнительная заморозка абонемента</t>
        </is>
      </c>
      <c r="E1972" s="34" t="inlineStr">
        <is>
          <t>При покупке абонемента</t>
        </is>
      </c>
      <c r="F1972" s="147" t="inlineStr">
        <is>
          <t>FW-L1-S3ME6-5DNME</t>
        </is>
      </c>
      <c r="G1972" s="39" t="inlineStr">
        <is>
          <t>Не использован</t>
        </is>
      </c>
      <c r="H1972" s="148" t="n"/>
      <c r="I1972" s="34" t="str"/>
      <c r="J1972" s="34" t="str"/>
      <c r="K1972" s="130" t="n">
        <v>165</v>
      </c>
      <c r="L1972" s="43">
        <f>IF(COUNTIF($F$5:$F$2407,F1972)=1,"OK","Дубликат")</f>
        <v/>
      </c>
    </row>
    <row r="1973" ht="38" customHeight="1">
      <c r="A1973" s="146" t="inlineStr">
        <is>
          <t>BONUS-L1-FREEZE</t>
        </is>
      </c>
      <c r="B1973" s="39" t="inlineStr">
        <is>
          <t>1 уровень</t>
        </is>
      </c>
      <c r="C1973" s="34" t="inlineStr">
        <is>
          <t>Призы не на абонементы</t>
        </is>
      </c>
      <c r="D1973" s="34" t="inlineStr">
        <is>
          <t>Дополнительная заморозка абонемента</t>
        </is>
      </c>
      <c r="E1973" s="34" t="inlineStr">
        <is>
          <t>При покупке абонемента</t>
        </is>
      </c>
      <c r="F1973" s="147" t="inlineStr">
        <is>
          <t>FW-L1-BGMXT-VBZNF</t>
        </is>
      </c>
      <c r="G1973" s="39" t="inlineStr">
        <is>
          <t>Не использован</t>
        </is>
      </c>
      <c r="H1973" s="148" t="n"/>
      <c r="I1973" s="34" t="str"/>
      <c r="J1973" s="34" t="str"/>
      <c r="K1973" s="130" t="n">
        <v>166</v>
      </c>
      <c r="L1973" s="43">
        <f>IF(COUNTIF($F$5:$F$2407,F1973)=1,"OK","Дубликат")</f>
        <v/>
      </c>
    </row>
    <row r="1974" ht="38" customHeight="1">
      <c r="A1974" s="146" t="inlineStr">
        <is>
          <t>BONUS-L1-FREEZE</t>
        </is>
      </c>
      <c r="B1974" s="39" t="inlineStr">
        <is>
          <t>1 уровень</t>
        </is>
      </c>
      <c r="C1974" s="34" t="inlineStr">
        <is>
          <t>Призы не на абонементы</t>
        </is>
      </c>
      <c r="D1974" s="34" t="inlineStr">
        <is>
          <t>Дополнительная заморозка абонемента</t>
        </is>
      </c>
      <c r="E1974" s="34" t="inlineStr">
        <is>
          <t>При покупке абонемента</t>
        </is>
      </c>
      <c r="F1974" s="147" t="inlineStr">
        <is>
          <t>FW-L1-NTWBL-JXLB8</t>
        </is>
      </c>
      <c r="G1974" s="39" t="inlineStr">
        <is>
          <t>Не использован</t>
        </is>
      </c>
      <c r="H1974" s="148" t="n"/>
      <c r="I1974" s="34" t="str"/>
      <c r="J1974" s="34" t="str"/>
      <c r="K1974" s="130" t="n">
        <v>167</v>
      </c>
      <c r="L1974" s="43">
        <f>IF(COUNTIF($F$5:$F$2407,F1974)=1,"OK","Дубликат")</f>
        <v/>
      </c>
    </row>
    <row r="1975" ht="38" customHeight="1">
      <c r="A1975" s="146" t="inlineStr">
        <is>
          <t>BONUS-L1-FREEZE</t>
        </is>
      </c>
      <c r="B1975" s="39" t="inlineStr">
        <is>
          <t>1 уровень</t>
        </is>
      </c>
      <c r="C1975" s="34" t="inlineStr">
        <is>
          <t>Призы не на абонементы</t>
        </is>
      </c>
      <c r="D1975" s="34" t="inlineStr">
        <is>
          <t>Дополнительная заморозка абонемента</t>
        </is>
      </c>
      <c r="E1975" s="34" t="inlineStr">
        <is>
          <t>При покупке абонемента</t>
        </is>
      </c>
      <c r="F1975" s="147" t="inlineStr">
        <is>
          <t>FW-L1-SL5KC-WSD8J</t>
        </is>
      </c>
      <c r="G1975" s="39" t="inlineStr">
        <is>
          <t>Не использован</t>
        </is>
      </c>
      <c r="H1975" s="148" t="n"/>
      <c r="I1975" s="34" t="str"/>
      <c r="J1975" s="34" t="str"/>
      <c r="K1975" s="130" t="n">
        <v>168</v>
      </c>
      <c r="L1975" s="43">
        <f>IF(COUNTIF($F$5:$F$2407,F1975)=1,"OK","Дубликат")</f>
        <v/>
      </c>
    </row>
    <row r="1976" ht="38" customHeight="1">
      <c r="A1976" s="146" t="inlineStr">
        <is>
          <t>BONUS-L1-FREEZE</t>
        </is>
      </c>
      <c r="B1976" s="39" t="inlineStr">
        <is>
          <t>1 уровень</t>
        </is>
      </c>
      <c r="C1976" s="34" t="inlineStr">
        <is>
          <t>Призы не на абонементы</t>
        </is>
      </c>
      <c r="D1976" s="34" t="inlineStr">
        <is>
          <t>Дополнительная заморозка абонемента</t>
        </is>
      </c>
      <c r="E1976" s="34" t="inlineStr">
        <is>
          <t>При покупке абонемента</t>
        </is>
      </c>
      <c r="F1976" s="147" t="inlineStr">
        <is>
          <t>FW-L1-5695U-NC94K</t>
        </is>
      </c>
      <c r="G1976" s="39" t="inlineStr">
        <is>
          <t>Не использован</t>
        </is>
      </c>
      <c r="H1976" s="148" t="n"/>
      <c r="I1976" s="34" t="str"/>
      <c r="J1976" s="34" t="str"/>
      <c r="K1976" s="130" t="n">
        <v>169</v>
      </c>
      <c r="L1976" s="43">
        <f>IF(COUNTIF($F$5:$F$2407,F1976)=1,"OK","Дубликат")</f>
        <v/>
      </c>
    </row>
    <row r="1977" ht="38" customHeight="1">
      <c r="A1977" s="146" t="inlineStr">
        <is>
          <t>BONUS-L1-FREEZE</t>
        </is>
      </c>
      <c r="B1977" s="39" t="inlineStr">
        <is>
          <t>1 уровень</t>
        </is>
      </c>
      <c r="C1977" s="34" t="inlineStr">
        <is>
          <t>Призы не на абонементы</t>
        </is>
      </c>
      <c r="D1977" s="34" t="inlineStr">
        <is>
          <t>Дополнительная заморозка абонемента</t>
        </is>
      </c>
      <c r="E1977" s="34" t="inlineStr">
        <is>
          <t>При покупке абонемента</t>
        </is>
      </c>
      <c r="F1977" s="147" t="inlineStr">
        <is>
          <t>FW-L1-2DUY3-VZZ7K</t>
        </is>
      </c>
      <c r="G1977" s="39" t="inlineStr">
        <is>
          <t>Не использован</t>
        </is>
      </c>
      <c r="H1977" s="148" t="n"/>
      <c r="I1977" s="34" t="str"/>
      <c r="J1977" s="34" t="str"/>
      <c r="K1977" s="130" t="n">
        <v>170</v>
      </c>
      <c r="L1977" s="43">
        <f>IF(COUNTIF($F$5:$F$2407,F1977)=1,"OK","Дубликат")</f>
        <v/>
      </c>
    </row>
    <row r="1978" ht="38" customHeight="1">
      <c r="A1978" s="146" t="inlineStr">
        <is>
          <t>BONUS-L1-FREEZE</t>
        </is>
      </c>
      <c r="B1978" s="39" t="inlineStr">
        <is>
          <t>1 уровень</t>
        </is>
      </c>
      <c r="C1978" s="34" t="inlineStr">
        <is>
          <t>Призы не на абонементы</t>
        </is>
      </c>
      <c r="D1978" s="34" t="inlineStr">
        <is>
          <t>Дополнительная заморозка абонемента</t>
        </is>
      </c>
      <c r="E1978" s="34" t="inlineStr">
        <is>
          <t>При покупке абонемента</t>
        </is>
      </c>
      <c r="F1978" s="147" t="inlineStr">
        <is>
          <t>FW-L1-5LRHA-KBD6D</t>
        </is>
      </c>
      <c r="G1978" s="39" t="inlineStr">
        <is>
          <t>Не использован</t>
        </is>
      </c>
      <c r="H1978" s="148" t="n"/>
      <c r="I1978" s="34" t="str"/>
      <c r="J1978" s="34" t="str"/>
      <c r="K1978" s="130" t="n">
        <v>171</v>
      </c>
      <c r="L1978" s="43">
        <f>IF(COUNTIF($F$5:$F$2407,F1978)=1,"OK","Дубликат")</f>
        <v/>
      </c>
    </row>
    <row r="1979" ht="38" customHeight="1">
      <c r="A1979" s="146" t="inlineStr">
        <is>
          <t>BONUS-L1-FREEZE</t>
        </is>
      </c>
      <c r="B1979" s="39" t="inlineStr">
        <is>
          <t>1 уровень</t>
        </is>
      </c>
      <c r="C1979" s="34" t="inlineStr">
        <is>
          <t>Призы не на абонементы</t>
        </is>
      </c>
      <c r="D1979" s="34" t="inlineStr">
        <is>
          <t>Дополнительная заморозка абонемента</t>
        </is>
      </c>
      <c r="E1979" s="34" t="inlineStr">
        <is>
          <t>При покупке абонемента</t>
        </is>
      </c>
      <c r="F1979" s="147" t="inlineStr">
        <is>
          <t>FW-L1-ED7Y4-HX43N</t>
        </is>
      </c>
      <c r="G1979" s="39" t="inlineStr">
        <is>
          <t>Не использован</t>
        </is>
      </c>
      <c r="H1979" s="148" t="n"/>
      <c r="I1979" s="34" t="str"/>
      <c r="J1979" s="34" t="str"/>
      <c r="K1979" s="130" t="n">
        <v>172</v>
      </c>
      <c r="L1979" s="43">
        <f>IF(COUNTIF($F$5:$F$2407,F1979)=1,"OK","Дубликат")</f>
        <v/>
      </c>
    </row>
    <row r="1980" ht="38" customHeight="1">
      <c r="A1980" s="146" t="inlineStr">
        <is>
          <t>BONUS-L1-FREEZE</t>
        </is>
      </c>
      <c r="B1980" s="39" t="inlineStr">
        <is>
          <t>1 уровень</t>
        </is>
      </c>
      <c r="C1980" s="34" t="inlineStr">
        <is>
          <t>Призы не на абонементы</t>
        </is>
      </c>
      <c r="D1980" s="34" t="inlineStr">
        <is>
          <t>Дополнительная заморозка абонемента</t>
        </is>
      </c>
      <c r="E1980" s="34" t="inlineStr">
        <is>
          <t>При покупке абонемента</t>
        </is>
      </c>
      <c r="F1980" s="147" t="inlineStr">
        <is>
          <t>FW-L1-S5VC6-XJWAR</t>
        </is>
      </c>
      <c r="G1980" s="39" t="inlineStr">
        <is>
          <t>Не использован</t>
        </is>
      </c>
      <c r="H1980" s="148" t="n"/>
      <c r="I1980" s="34" t="str"/>
      <c r="J1980" s="34" t="str"/>
      <c r="K1980" s="130" t="n">
        <v>173</v>
      </c>
      <c r="L1980" s="43">
        <f>IF(COUNTIF($F$5:$F$2407,F1980)=1,"OK","Дубликат")</f>
        <v/>
      </c>
    </row>
    <row r="1981" ht="38" customHeight="1">
      <c r="A1981" s="146" t="inlineStr">
        <is>
          <t>BONUS-L1-FREEZE</t>
        </is>
      </c>
      <c r="B1981" s="39" t="inlineStr">
        <is>
          <t>1 уровень</t>
        </is>
      </c>
      <c r="C1981" s="34" t="inlineStr">
        <is>
          <t>Призы не на абонементы</t>
        </is>
      </c>
      <c r="D1981" s="34" t="inlineStr">
        <is>
          <t>Дополнительная заморозка абонемента</t>
        </is>
      </c>
      <c r="E1981" s="34" t="inlineStr">
        <is>
          <t>При покупке абонемента</t>
        </is>
      </c>
      <c r="F1981" s="147" t="inlineStr">
        <is>
          <t>FW-L1-ZQ7FZ-QBUGQ</t>
        </is>
      </c>
      <c r="G1981" s="39" t="inlineStr">
        <is>
          <t>Не использован</t>
        </is>
      </c>
      <c r="H1981" s="148" t="n"/>
      <c r="I1981" s="34" t="str"/>
      <c r="J1981" s="34" t="str"/>
      <c r="K1981" s="130" t="n">
        <v>174</v>
      </c>
      <c r="L1981" s="43">
        <f>IF(COUNTIF($F$5:$F$2407,F1981)=1,"OK","Дубликат")</f>
        <v/>
      </c>
    </row>
    <row r="1982" ht="38" customHeight="1">
      <c r="A1982" s="146" t="inlineStr">
        <is>
          <t>BONUS-L1-FREEZE</t>
        </is>
      </c>
      <c r="B1982" s="39" t="inlineStr">
        <is>
          <t>1 уровень</t>
        </is>
      </c>
      <c r="C1982" s="34" t="inlineStr">
        <is>
          <t>Призы не на абонементы</t>
        </is>
      </c>
      <c r="D1982" s="34" t="inlineStr">
        <is>
          <t>Дополнительная заморозка абонемента</t>
        </is>
      </c>
      <c r="E1982" s="34" t="inlineStr">
        <is>
          <t>При покупке абонемента</t>
        </is>
      </c>
      <c r="F1982" s="147" t="inlineStr">
        <is>
          <t>FW-L1-JREPK-2ZMGT</t>
        </is>
      </c>
      <c r="G1982" s="39" t="inlineStr">
        <is>
          <t>Не использован</t>
        </is>
      </c>
      <c r="H1982" s="148" t="n"/>
      <c r="I1982" s="34" t="str"/>
      <c r="J1982" s="34" t="str"/>
      <c r="K1982" s="130" t="n">
        <v>175</v>
      </c>
      <c r="L1982" s="43">
        <f>IF(COUNTIF($F$5:$F$2407,F1982)=1,"OK","Дубликат")</f>
        <v/>
      </c>
    </row>
    <row r="1983" ht="38" customHeight="1">
      <c r="A1983" s="146" t="inlineStr">
        <is>
          <t>BONUS-L1-FREEZE</t>
        </is>
      </c>
      <c r="B1983" s="39" t="inlineStr">
        <is>
          <t>1 уровень</t>
        </is>
      </c>
      <c r="C1983" s="34" t="inlineStr">
        <is>
          <t>Призы не на абонементы</t>
        </is>
      </c>
      <c r="D1983" s="34" t="inlineStr">
        <is>
          <t>Дополнительная заморозка абонемента</t>
        </is>
      </c>
      <c r="E1983" s="34" t="inlineStr">
        <is>
          <t>При покупке абонемента</t>
        </is>
      </c>
      <c r="F1983" s="147" t="inlineStr">
        <is>
          <t>FW-L1-SGKPF-2NZK5</t>
        </is>
      </c>
      <c r="G1983" s="39" t="inlineStr">
        <is>
          <t>Не использован</t>
        </is>
      </c>
      <c r="H1983" s="148" t="n"/>
      <c r="I1983" s="34" t="str"/>
      <c r="J1983" s="34" t="str"/>
      <c r="K1983" s="130" t="n">
        <v>176</v>
      </c>
      <c r="L1983" s="43">
        <f>IF(COUNTIF($F$5:$F$2407,F1983)=1,"OK","Дубликат")</f>
        <v/>
      </c>
    </row>
    <row r="1984" ht="38" customHeight="1">
      <c r="A1984" s="146" t="inlineStr">
        <is>
          <t>BONUS-L1-FREEZE</t>
        </is>
      </c>
      <c r="B1984" s="39" t="inlineStr">
        <is>
          <t>1 уровень</t>
        </is>
      </c>
      <c r="C1984" s="34" t="inlineStr">
        <is>
          <t>Призы не на абонементы</t>
        </is>
      </c>
      <c r="D1984" s="34" t="inlineStr">
        <is>
          <t>Дополнительная заморозка абонемента</t>
        </is>
      </c>
      <c r="E1984" s="34" t="inlineStr">
        <is>
          <t>При покупке абонемента</t>
        </is>
      </c>
      <c r="F1984" s="147" t="inlineStr">
        <is>
          <t>FW-L1-UTCGC-RYW6M</t>
        </is>
      </c>
      <c r="G1984" s="39" t="inlineStr">
        <is>
          <t>Не использован</t>
        </is>
      </c>
      <c r="H1984" s="148" t="n"/>
      <c r="I1984" s="34" t="str"/>
      <c r="J1984" s="34" t="str"/>
      <c r="K1984" s="130" t="n">
        <v>177</v>
      </c>
      <c r="L1984" s="43">
        <f>IF(COUNTIF($F$5:$F$2407,F1984)=1,"OK","Дубликат")</f>
        <v/>
      </c>
    </row>
    <row r="1985" ht="38" customHeight="1">
      <c r="A1985" s="146" t="inlineStr">
        <is>
          <t>BONUS-L1-FREEZE</t>
        </is>
      </c>
      <c r="B1985" s="39" t="inlineStr">
        <is>
          <t>1 уровень</t>
        </is>
      </c>
      <c r="C1985" s="34" t="inlineStr">
        <is>
          <t>Призы не на абонементы</t>
        </is>
      </c>
      <c r="D1985" s="34" t="inlineStr">
        <is>
          <t>Дополнительная заморозка абонемента</t>
        </is>
      </c>
      <c r="E1985" s="34" t="inlineStr">
        <is>
          <t>При покупке абонемента</t>
        </is>
      </c>
      <c r="F1985" s="147" t="inlineStr">
        <is>
          <t>FW-L1-7283J-6GUE5</t>
        </is>
      </c>
      <c r="G1985" s="39" t="inlineStr">
        <is>
          <t>Не использован</t>
        </is>
      </c>
      <c r="H1985" s="148" t="n"/>
      <c r="I1985" s="34" t="str"/>
      <c r="J1985" s="34" t="str"/>
      <c r="K1985" s="130" t="n">
        <v>178</v>
      </c>
      <c r="L1985" s="43">
        <f>IF(COUNTIF($F$5:$F$2407,F1985)=1,"OK","Дубликат")</f>
        <v/>
      </c>
    </row>
    <row r="1986" ht="38" customHeight="1">
      <c r="A1986" s="146" t="inlineStr">
        <is>
          <t>BONUS-L1-FREEZE</t>
        </is>
      </c>
      <c r="B1986" s="39" t="inlineStr">
        <is>
          <t>1 уровень</t>
        </is>
      </c>
      <c r="C1986" s="34" t="inlineStr">
        <is>
          <t>Призы не на абонементы</t>
        </is>
      </c>
      <c r="D1986" s="34" t="inlineStr">
        <is>
          <t>Дополнительная заморозка абонемента</t>
        </is>
      </c>
      <c r="E1986" s="34" t="inlineStr">
        <is>
          <t>При покупке абонемента</t>
        </is>
      </c>
      <c r="F1986" s="147" t="inlineStr">
        <is>
          <t>FW-L1-N576B-ATW5U</t>
        </is>
      </c>
      <c r="G1986" s="39" t="inlineStr">
        <is>
          <t>Не использован</t>
        </is>
      </c>
      <c r="H1986" s="148" t="n"/>
      <c r="I1986" s="34" t="str"/>
      <c r="J1986" s="34" t="str"/>
      <c r="K1986" s="130" t="n">
        <v>179</v>
      </c>
      <c r="L1986" s="43">
        <f>IF(COUNTIF($F$5:$F$2407,F1986)=1,"OK","Дубликат")</f>
        <v/>
      </c>
    </row>
    <row r="1987" ht="38" customHeight="1">
      <c r="A1987" s="146" t="inlineStr">
        <is>
          <t>BONUS-L1-FREEZE</t>
        </is>
      </c>
      <c r="B1987" s="39" t="inlineStr">
        <is>
          <t>1 уровень</t>
        </is>
      </c>
      <c r="C1987" s="34" t="inlineStr">
        <is>
          <t>Призы не на абонементы</t>
        </is>
      </c>
      <c r="D1987" s="34" t="inlineStr">
        <is>
          <t>Дополнительная заморозка абонемента</t>
        </is>
      </c>
      <c r="E1987" s="34" t="inlineStr">
        <is>
          <t>При покупке абонемента</t>
        </is>
      </c>
      <c r="F1987" s="147" t="inlineStr">
        <is>
          <t>FW-L1-ZTQYB-N76EQ</t>
        </is>
      </c>
      <c r="G1987" s="39" t="inlineStr">
        <is>
          <t>Не использован</t>
        </is>
      </c>
      <c r="H1987" s="148" t="n"/>
      <c r="I1987" s="34" t="str"/>
      <c r="J1987" s="34" t="str"/>
      <c r="K1987" s="130" t="n">
        <v>180</v>
      </c>
      <c r="L1987" s="43">
        <f>IF(COUNTIF($F$5:$F$2407,F1987)=1,"OK","Дубликат")</f>
        <v/>
      </c>
    </row>
    <row r="1988" ht="38" customHeight="1">
      <c r="A1988" s="146" t="inlineStr">
        <is>
          <t>BONUS-L1-FREEZE</t>
        </is>
      </c>
      <c r="B1988" s="39" t="inlineStr">
        <is>
          <t>1 уровень</t>
        </is>
      </c>
      <c r="C1988" s="34" t="inlineStr">
        <is>
          <t>Призы не на абонементы</t>
        </is>
      </c>
      <c r="D1988" s="34" t="inlineStr">
        <is>
          <t>Дополнительная заморозка абонемента</t>
        </is>
      </c>
      <c r="E1988" s="34" t="inlineStr">
        <is>
          <t>При покупке абонемента</t>
        </is>
      </c>
      <c r="F1988" s="147" t="inlineStr">
        <is>
          <t>FW-L1-69R3P-NPMSK</t>
        </is>
      </c>
      <c r="G1988" s="39" t="inlineStr">
        <is>
          <t>Не использован</t>
        </is>
      </c>
      <c r="H1988" s="148" t="n"/>
      <c r="I1988" s="34" t="str"/>
      <c r="J1988" s="34" t="str"/>
      <c r="K1988" s="130" t="n">
        <v>181</v>
      </c>
      <c r="L1988" s="43">
        <f>IF(COUNTIF($F$5:$F$2407,F1988)=1,"OK","Дубликат")</f>
        <v/>
      </c>
    </row>
    <row r="1989" ht="38" customHeight="1">
      <c r="A1989" s="146" t="inlineStr">
        <is>
          <t>BONUS-L1-FREEZE</t>
        </is>
      </c>
      <c r="B1989" s="39" t="inlineStr">
        <is>
          <t>1 уровень</t>
        </is>
      </c>
      <c r="C1989" s="34" t="inlineStr">
        <is>
          <t>Призы не на абонементы</t>
        </is>
      </c>
      <c r="D1989" s="34" t="inlineStr">
        <is>
          <t>Дополнительная заморозка абонемента</t>
        </is>
      </c>
      <c r="E1989" s="34" t="inlineStr">
        <is>
          <t>При покупке абонемента</t>
        </is>
      </c>
      <c r="F1989" s="147" t="inlineStr">
        <is>
          <t>FW-L1-F8QH6-YGM4P</t>
        </is>
      </c>
      <c r="G1989" s="39" t="inlineStr">
        <is>
          <t>Не использован</t>
        </is>
      </c>
      <c r="H1989" s="148" t="n"/>
      <c r="I1989" s="34" t="str"/>
      <c r="J1989" s="34" t="str"/>
      <c r="K1989" s="130" t="n">
        <v>182</v>
      </c>
      <c r="L1989" s="43">
        <f>IF(COUNTIF($F$5:$F$2407,F1989)=1,"OK","Дубликат")</f>
        <v/>
      </c>
    </row>
    <row r="1990" ht="38" customHeight="1">
      <c r="A1990" s="146" t="inlineStr">
        <is>
          <t>BONUS-L1-FREEZE</t>
        </is>
      </c>
      <c r="B1990" s="39" t="inlineStr">
        <is>
          <t>1 уровень</t>
        </is>
      </c>
      <c r="C1990" s="34" t="inlineStr">
        <is>
          <t>Призы не на абонементы</t>
        </is>
      </c>
      <c r="D1990" s="34" t="inlineStr">
        <is>
          <t>Дополнительная заморозка абонемента</t>
        </is>
      </c>
      <c r="E1990" s="34" t="inlineStr">
        <is>
          <t>При покупке абонемента</t>
        </is>
      </c>
      <c r="F1990" s="147" t="inlineStr">
        <is>
          <t>FW-L1-PYATM-SEFLK</t>
        </is>
      </c>
      <c r="G1990" s="39" t="inlineStr">
        <is>
          <t>Не использован</t>
        </is>
      </c>
      <c r="H1990" s="148" t="n"/>
      <c r="I1990" s="34" t="str"/>
      <c r="J1990" s="34" t="str"/>
      <c r="K1990" s="130" t="n">
        <v>183</v>
      </c>
      <c r="L1990" s="43">
        <f>IF(COUNTIF($F$5:$F$2407,F1990)=1,"OK","Дубликат")</f>
        <v/>
      </c>
    </row>
    <row r="1991" ht="38" customHeight="1">
      <c r="A1991" s="146" t="inlineStr">
        <is>
          <t>BONUS-L1-FREEZE</t>
        </is>
      </c>
      <c r="B1991" s="39" t="inlineStr">
        <is>
          <t>1 уровень</t>
        </is>
      </c>
      <c r="C1991" s="34" t="inlineStr">
        <is>
          <t>Призы не на абонементы</t>
        </is>
      </c>
      <c r="D1991" s="34" t="inlineStr">
        <is>
          <t>Дополнительная заморозка абонемента</t>
        </is>
      </c>
      <c r="E1991" s="34" t="inlineStr">
        <is>
          <t>При покупке абонемента</t>
        </is>
      </c>
      <c r="F1991" s="147" t="inlineStr">
        <is>
          <t>FW-L1-T7A2F-RQXKK</t>
        </is>
      </c>
      <c r="G1991" s="39" t="inlineStr">
        <is>
          <t>Не использован</t>
        </is>
      </c>
      <c r="H1991" s="148" t="n"/>
      <c r="I1991" s="34" t="str"/>
      <c r="J1991" s="34" t="str"/>
      <c r="K1991" s="130" t="n">
        <v>184</v>
      </c>
      <c r="L1991" s="43">
        <f>IF(COUNTIF($F$5:$F$2407,F1991)=1,"OK","Дубликат")</f>
        <v/>
      </c>
    </row>
    <row r="1992" ht="38" customHeight="1">
      <c r="A1992" s="146" t="inlineStr">
        <is>
          <t>BONUS-L1-FREEZE</t>
        </is>
      </c>
      <c r="B1992" s="39" t="inlineStr">
        <is>
          <t>1 уровень</t>
        </is>
      </c>
      <c r="C1992" s="34" t="inlineStr">
        <is>
          <t>Призы не на абонементы</t>
        </is>
      </c>
      <c r="D1992" s="34" t="inlineStr">
        <is>
          <t>Дополнительная заморозка абонемента</t>
        </is>
      </c>
      <c r="E1992" s="34" t="inlineStr">
        <is>
          <t>При покупке абонемента</t>
        </is>
      </c>
      <c r="F1992" s="147" t="inlineStr">
        <is>
          <t>FW-L1-Z4E4A-YPN5Q</t>
        </is>
      </c>
      <c r="G1992" s="39" t="inlineStr">
        <is>
          <t>Не использован</t>
        </is>
      </c>
      <c r="H1992" s="148" t="n"/>
      <c r="I1992" s="34" t="str"/>
      <c r="J1992" s="34" t="str"/>
      <c r="K1992" s="130" t="n">
        <v>185</v>
      </c>
      <c r="L1992" s="43">
        <f>IF(COUNTIF($F$5:$F$2407,F1992)=1,"OK","Дубликат")</f>
        <v/>
      </c>
    </row>
    <row r="1993" ht="38" customHeight="1">
      <c r="A1993" s="146" t="inlineStr">
        <is>
          <t>BONUS-L1-FREEZE</t>
        </is>
      </c>
      <c r="B1993" s="39" t="inlineStr">
        <is>
          <t>1 уровень</t>
        </is>
      </c>
      <c r="C1993" s="34" t="inlineStr">
        <is>
          <t>Призы не на абонементы</t>
        </is>
      </c>
      <c r="D1993" s="34" t="inlineStr">
        <is>
          <t>Дополнительная заморозка абонемента</t>
        </is>
      </c>
      <c r="E1993" s="34" t="inlineStr">
        <is>
          <t>При покупке абонемента</t>
        </is>
      </c>
      <c r="F1993" s="147" t="inlineStr">
        <is>
          <t>FW-L1-8GYJT-2NPCX</t>
        </is>
      </c>
      <c r="G1993" s="39" t="inlineStr">
        <is>
          <t>Не использован</t>
        </is>
      </c>
      <c r="H1993" s="148" t="n"/>
      <c r="I1993" s="34" t="str"/>
      <c r="J1993" s="34" t="str"/>
      <c r="K1993" s="130" t="n">
        <v>186</v>
      </c>
      <c r="L1993" s="43">
        <f>IF(COUNTIF($F$5:$F$2407,F1993)=1,"OK","Дубликат")</f>
        <v/>
      </c>
    </row>
    <row r="1994" ht="38" customHeight="1">
      <c r="A1994" s="146" t="inlineStr">
        <is>
          <t>BONUS-L1-FREEZE</t>
        </is>
      </c>
      <c r="B1994" s="39" t="inlineStr">
        <is>
          <t>1 уровень</t>
        </is>
      </c>
      <c r="C1994" s="34" t="inlineStr">
        <is>
          <t>Призы не на абонементы</t>
        </is>
      </c>
      <c r="D1994" s="34" t="inlineStr">
        <is>
          <t>Дополнительная заморозка абонемента</t>
        </is>
      </c>
      <c r="E1994" s="34" t="inlineStr">
        <is>
          <t>При покупке абонемента</t>
        </is>
      </c>
      <c r="F1994" s="147" t="inlineStr">
        <is>
          <t>FW-L1-6C7XE-CBYP5</t>
        </is>
      </c>
      <c r="G1994" s="39" t="inlineStr">
        <is>
          <t>Не использован</t>
        </is>
      </c>
      <c r="H1994" s="148" t="n"/>
      <c r="I1994" s="34" t="str"/>
      <c r="J1994" s="34" t="str"/>
      <c r="K1994" s="130" t="n">
        <v>187</v>
      </c>
      <c r="L1994" s="43">
        <f>IF(COUNTIF($F$5:$F$2407,F1994)=1,"OK","Дубликат")</f>
        <v/>
      </c>
    </row>
    <row r="1995" ht="38" customHeight="1">
      <c r="A1995" s="146" t="inlineStr">
        <is>
          <t>BONUS-L1-FREEZE</t>
        </is>
      </c>
      <c r="B1995" s="39" t="inlineStr">
        <is>
          <t>1 уровень</t>
        </is>
      </c>
      <c r="C1995" s="34" t="inlineStr">
        <is>
          <t>Призы не на абонементы</t>
        </is>
      </c>
      <c r="D1995" s="34" t="inlineStr">
        <is>
          <t>Дополнительная заморозка абонемента</t>
        </is>
      </c>
      <c r="E1995" s="34" t="inlineStr">
        <is>
          <t>При покупке абонемента</t>
        </is>
      </c>
      <c r="F1995" s="147" t="inlineStr">
        <is>
          <t>FW-L1-433JC-3UU2L</t>
        </is>
      </c>
      <c r="G1995" s="39" t="inlineStr">
        <is>
          <t>Не использован</t>
        </is>
      </c>
      <c r="H1995" s="148" t="n"/>
      <c r="I1995" s="34" t="str"/>
      <c r="J1995" s="34" t="str"/>
      <c r="K1995" s="130" t="n">
        <v>188</v>
      </c>
      <c r="L1995" s="43">
        <f>IF(COUNTIF($F$5:$F$2407,F1995)=1,"OK","Дубликат")</f>
        <v/>
      </c>
    </row>
    <row r="1996" ht="38" customHeight="1">
      <c r="A1996" s="146" t="inlineStr">
        <is>
          <t>BONUS-L1-FREEZE</t>
        </is>
      </c>
      <c r="B1996" s="39" t="inlineStr">
        <is>
          <t>1 уровень</t>
        </is>
      </c>
      <c r="C1996" s="34" t="inlineStr">
        <is>
          <t>Призы не на абонементы</t>
        </is>
      </c>
      <c r="D1996" s="34" t="inlineStr">
        <is>
          <t>Дополнительная заморозка абонемента</t>
        </is>
      </c>
      <c r="E1996" s="34" t="inlineStr">
        <is>
          <t>При покупке абонемента</t>
        </is>
      </c>
      <c r="F1996" s="147" t="inlineStr">
        <is>
          <t>FW-L1-3SEB5-2X3RS</t>
        </is>
      </c>
      <c r="G1996" s="39" t="inlineStr">
        <is>
          <t>Не использован</t>
        </is>
      </c>
      <c r="H1996" s="148" t="n"/>
      <c r="I1996" s="34" t="str"/>
      <c r="J1996" s="34" t="str"/>
      <c r="K1996" s="130" t="n">
        <v>189</v>
      </c>
      <c r="L1996" s="43">
        <f>IF(COUNTIF($F$5:$F$2407,F1996)=1,"OK","Дубликат")</f>
        <v/>
      </c>
    </row>
    <row r="1997" ht="38" customHeight="1">
      <c r="A1997" s="146" t="inlineStr">
        <is>
          <t>BONUS-L1-FREEZE</t>
        </is>
      </c>
      <c r="B1997" s="39" t="inlineStr">
        <is>
          <t>1 уровень</t>
        </is>
      </c>
      <c r="C1997" s="34" t="inlineStr">
        <is>
          <t>Призы не на абонементы</t>
        </is>
      </c>
      <c r="D1997" s="34" t="inlineStr">
        <is>
          <t>Дополнительная заморозка абонемента</t>
        </is>
      </c>
      <c r="E1997" s="34" t="inlineStr">
        <is>
          <t>При покупке абонемента</t>
        </is>
      </c>
      <c r="F1997" s="147" t="inlineStr">
        <is>
          <t>FW-L1-DD7MC-7SWZJ</t>
        </is>
      </c>
      <c r="G1997" s="39" t="inlineStr">
        <is>
          <t>Не использован</t>
        </is>
      </c>
      <c r="H1997" s="148" t="n"/>
      <c r="I1997" s="34" t="str"/>
      <c r="J1997" s="34" t="str"/>
      <c r="K1997" s="130" t="n">
        <v>190</v>
      </c>
      <c r="L1997" s="43">
        <f>IF(COUNTIF($F$5:$F$2407,F1997)=1,"OK","Дубликат")</f>
        <v/>
      </c>
    </row>
    <row r="1998" ht="38" customHeight="1">
      <c r="A1998" s="146" t="inlineStr">
        <is>
          <t>BONUS-L1-FREEZE</t>
        </is>
      </c>
      <c r="B1998" s="39" t="inlineStr">
        <is>
          <t>1 уровень</t>
        </is>
      </c>
      <c r="C1998" s="34" t="inlineStr">
        <is>
          <t>Призы не на абонементы</t>
        </is>
      </c>
      <c r="D1998" s="34" t="inlineStr">
        <is>
          <t>Дополнительная заморозка абонемента</t>
        </is>
      </c>
      <c r="E1998" s="34" t="inlineStr">
        <is>
          <t>При покупке абонемента</t>
        </is>
      </c>
      <c r="F1998" s="147" t="inlineStr">
        <is>
          <t>FW-L1-VE4SG-D2JLK</t>
        </is>
      </c>
      <c r="G1998" s="39" t="inlineStr">
        <is>
          <t>Не использован</t>
        </is>
      </c>
      <c r="H1998" s="148" t="n"/>
      <c r="I1998" s="34" t="str"/>
      <c r="J1998" s="34" t="str"/>
      <c r="K1998" s="130" t="n">
        <v>191</v>
      </c>
      <c r="L1998" s="43">
        <f>IF(COUNTIF($F$5:$F$2407,F1998)=1,"OK","Дубликат")</f>
        <v/>
      </c>
    </row>
    <row r="1999" ht="38" customHeight="1">
      <c r="A1999" s="146" t="inlineStr">
        <is>
          <t>BONUS-L1-FREEZE</t>
        </is>
      </c>
      <c r="B1999" s="39" t="inlineStr">
        <is>
          <t>1 уровень</t>
        </is>
      </c>
      <c r="C1999" s="34" t="inlineStr">
        <is>
          <t>Призы не на абонементы</t>
        </is>
      </c>
      <c r="D1999" s="34" t="inlineStr">
        <is>
          <t>Дополнительная заморозка абонемента</t>
        </is>
      </c>
      <c r="E1999" s="34" t="inlineStr">
        <is>
          <t>При покупке абонемента</t>
        </is>
      </c>
      <c r="F1999" s="147" t="inlineStr">
        <is>
          <t>FW-L1-JTSYB-M2LAF</t>
        </is>
      </c>
      <c r="G1999" s="39" t="inlineStr">
        <is>
          <t>Не использован</t>
        </is>
      </c>
      <c r="H1999" s="148" t="n"/>
      <c r="I1999" s="34" t="str"/>
      <c r="J1999" s="34" t="str"/>
      <c r="K1999" s="130" t="n">
        <v>192</v>
      </c>
      <c r="L1999" s="43">
        <f>IF(COUNTIF($F$5:$F$2407,F1999)=1,"OK","Дубликат")</f>
        <v/>
      </c>
    </row>
    <row r="2000" ht="38" customHeight="1">
      <c r="A2000" s="146" t="inlineStr">
        <is>
          <t>BONUS-L1-FREEZE</t>
        </is>
      </c>
      <c r="B2000" s="39" t="inlineStr">
        <is>
          <t>1 уровень</t>
        </is>
      </c>
      <c r="C2000" s="34" t="inlineStr">
        <is>
          <t>Призы не на абонементы</t>
        </is>
      </c>
      <c r="D2000" s="34" t="inlineStr">
        <is>
          <t>Дополнительная заморозка абонемента</t>
        </is>
      </c>
      <c r="E2000" s="34" t="inlineStr">
        <is>
          <t>При покупке абонемента</t>
        </is>
      </c>
      <c r="F2000" s="147" t="inlineStr">
        <is>
          <t>FW-L1-WL9N6-S4AVT</t>
        </is>
      </c>
      <c r="G2000" s="39" t="inlineStr">
        <is>
          <t>Не использован</t>
        </is>
      </c>
      <c r="H2000" s="148" t="n"/>
      <c r="I2000" s="34" t="str"/>
      <c r="J2000" s="34" t="str"/>
      <c r="K2000" s="130" t="n">
        <v>193</v>
      </c>
      <c r="L2000" s="43">
        <f>IF(COUNTIF($F$5:$F$2407,F2000)=1,"OK","Дубликат")</f>
        <v/>
      </c>
    </row>
    <row r="2001" ht="38" customHeight="1">
      <c r="A2001" s="146" t="inlineStr">
        <is>
          <t>BONUS-L1-FREEZE</t>
        </is>
      </c>
      <c r="B2001" s="39" t="inlineStr">
        <is>
          <t>1 уровень</t>
        </is>
      </c>
      <c r="C2001" s="34" t="inlineStr">
        <is>
          <t>Призы не на абонементы</t>
        </is>
      </c>
      <c r="D2001" s="34" t="inlineStr">
        <is>
          <t>Дополнительная заморозка абонемента</t>
        </is>
      </c>
      <c r="E2001" s="34" t="inlineStr">
        <is>
          <t>При покупке абонемента</t>
        </is>
      </c>
      <c r="F2001" s="147" t="inlineStr">
        <is>
          <t>FW-L1-NL7SC-FJCGL</t>
        </is>
      </c>
      <c r="G2001" s="39" t="inlineStr">
        <is>
          <t>Не использован</t>
        </is>
      </c>
      <c r="H2001" s="148" t="n"/>
      <c r="I2001" s="34" t="str"/>
      <c r="J2001" s="34" t="str"/>
      <c r="K2001" s="130" t="n">
        <v>194</v>
      </c>
      <c r="L2001" s="43">
        <f>IF(COUNTIF($F$5:$F$2407,F2001)=1,"OK","Дубликат")</f>
        <v/>
      </c>
    </row>
    <row r="2002" ht="38" customHeight="1">
      <c r="A2002" s="146" t="inlineStr">
        <is>
          <t>BONUS-L1-FREEZE</t>
        </is>
      </c>
      <c r="B2002" s="39" t="inlineStr">
        <is>
          <t>1 уровень</t>
        </is>
      </c>
      <c r="C2002" s="34" t="inlineStr">
        <is>
          <t>Призы не на абонементы</t>
        </is>
      </c>
      <c r="D2002" s="34" t="inlineStr">
        <is>
          <t>Дополнительная заморозка абонемента</t>
        </is>
      </c>
      <c r="E2002" s="34" t="inlineStr">
        <is>
          <t>При покупке абонемента</t>
        </is>
      </c>
      <c r="F2002" s="147" t="inlineStr">
        <is>
          <t>FW-L1-G3HZ6-FZX2M</t>
        </is>
      </c>
      <c r="G2002" s="39" t="inlineStr">
        <is>
          <t>Не использован</t>
        </is>
      </c>
      <c r="H2002" s="148" t="n"/>
      <c r="I2002" s="34" t="str"/>
      <c r="J2002" s="34" t="str"/>
      <c r="K2002" s="130" t="n">
        <v>195</v>
      </c>
      <c r="L2002" s="43">
        <f>IF(COUNTIF($F$5:$F$2407,F2002)=1,"OK","Дубликат")</f>
        <v/>
      </c>
    </row>
    <row r="2003" ht="38" customHeight="1">
      <c r="A2003" s="146" t="inlineStr">
        <is>
          <t>BONUS-L1-FREEZE</t>
        </is>
      </c>
      <c r="B2003" s="39" t="inlineStr">
        <is>
          <t>1 уровень</t>
        </is>
      </c>
      <c r="C2003" s="34" t="inlineStr">
        <is>
          <t>Призы не на абонементы</t>
        </is>
      </c>
      <c r="D2003" s="34" t="inlineStr">
        <is>
          <t>Дополнительная заморозка абонемента</t>
        </is>
      </c>
      <c r="E2003" s="34" t="inlineStr">
        <is>
          <t>При покупке абонемента</t>
        </is>
      </c>
      <c r="F2003" s="147" t="inlineStr">
        <is>
          <t>FW-L1-KFA3K-FP8EY</t>
        </is>
      </c>
      <c r="G2003" s="39" t="inlineStr">
        <is>
          <t>Не использован</t>
        </is>
      </c>
      <c r="H2003" s="148" t="n"/>
      <c r="I2003" s="34" t="str"/>
      <c r="J2003" s="34" t="str"/>
      <c r="K2003" s="130" t="n">
        <v>196</v>
      </c>
      <c r="L2003" s="43">
        <f>IF(COUNTIF($F$5:$F$2407,F2003)=1,"OK","Дубликат")</f>
        <v/>
      </c>
    </row>
    <row r="2004" ht="38" customHeight="1">
      <c r="A2004" s="146" t="inlineStr">
        <is>
          <t>BONUS-L1-FREEZE</t>
        </is>
      </c>
      <c r="B2004" s="39" t="inlineStr">
        <is>
          <t>1 уровень</t>
        </is>
      </c>
      <c r="C2004" s="34" t="inlineStr">
        <is>
          <t>Призы не на абонементы</t>
        </is>
      </c>
      <c r="D2004" s="34" t="inlineStr">
        <is>
          <t>Дополнительная заморозка абонемента</t>
        </is>
      </c>
      <c r="E2004" s="34" t="inlineStr">
        <is>
          <t>При покупке абонемента</t>
        </is>
      </c>
      <c r="F2004" s="147" t="inlineStr">
        <is>
          <t>FW-L1-5SF6E-C68ED</t>
        </is>
      </c>
      <c r="G2004" s="39" t="inlineStr">
        <is>
          <t>Не использован</t>
        </is>
      </c>
      <c r="H2004" s="148" t="n"/>
      <c r="I2004" s="34" t="str"/>
      <c r="J2004" s="34" t="str"/>
      <c r="K2004" s="130" t="n">
        <v>197</v>
      </c>
      <c r="L2004" s="43">
        <f>IF(COUNTIF($F$5:$F$2407,F2004)=1,"OK","Дубликат")</f>
        <v/>
      </c>
    </row>
    <row r="2005" ht="38" customHeight="1">
      <c r="A2005" s="146" t="inlineStr">
        <is>
          <t>BONUS-L1-FREEZE</t>
        </is>
      </c>
      <c r="B2005" s="39" t="inlineStr">
        <is>
          <t>1 уровень</t>
        </is>
      </c>
      <c r="C2005" s="34" t="inlineStr">
        <is>
          <t>Призы не на абонементы</t>
        </is>
      </c>
      <c r="D2005" s="34" t="inlineStr">
        <is>
          <t>Дополнительная заморозка абонемента</t>
        </is>
      </c>
      <c r="E2005" s="34" t="inlineStr">
        <is>
          <t>При покупке абонемента</t>
        </is>
      </c>
      <c r="F2005" s="147" t="inlineStr">
        <is>
          <t>FW-L1-N6A6F-4DHM6</t>
        </is>
      </c>
      <c r="G2005" s="39" t="inlineStr">
        <is>
          <t>Не использован</t>
        </is>
      </c>
      <c r="H2005" s="148" t="n"/>
      <c r="I2005" s="34" t="str"/>
      <c r="J2005" s="34" t="str"/>
      <c r="K2005" s="130" t="n">
        <v>198</v>
      </c>
      <c r="L2005" s="43">
        <f>IF(COUNTIF($F$5:$F$2407,F2005)=1,"OK","Дубликат")</f>
        <v/>
      </c>
    </row>
    <row r="2006" ht="38" customHeight="1">
      <c r="A2006" s="146" t="inlineStr">
        <is>
          <t>BONUS-L1-FREEZE</t>
        </is>
      </c>
      <c r="B2006" s="39" t="inlineStr">
        <is>
          <t>1 уровень</t>
        </is>
      </c>
      <c r="C2006" s="34" t="inlineStr">
        <is>
          <t>Призы не на абонементы</t>
        </is>
      </c>
      <c r="D2006" s="34" t="inlineStr">
        <is>
          <t>Дополнительная заморозка абонемента</t>
        </is>
      </c>
      <c r="E2006" s="34" t="inlineStr">
        <is>
          <t>При покупке абонемента</t>
        </is>
      </c>
      <c r="F2006" s="147" t="inlineStr">
        <is>
          <t>FW-L1-52Z2Z-J2X99</t>
        </is>
      </c>
      <c r="G2006" s="39" t="inlineStr">
        <is>
          <t>Не использован</t>
        </is>
      </c>
      <c r="H2006" s="148" t="n"/>
      <c r="I2006" s="34" t="str"/>
      <c r="J2006" s="34" t="str"/>
      <c r="K2006" s="130" t="n">
        <v>199</v>
      </c>
      <c r="L2006" s="43">
        <f>IF(COUNTIF($F$5:$F$2407,F2006)=1,"OK","Дубликат")</f>
        <v/>
      </c>
    </row>
    <row r="2007" ht="38" customHeight="1">
      <c r="A2007" s="146" t="inlineStr">
        <is>
          <t>BONUS-L1-FREEZE</t>
        </is>
      </c>
      <c r="B2007" s="39" t="inlineStr">
        <is>
          <t>1 уровень</t>
        </is>
      </c>
      <c r="C2007" s="34" t="inlineStr">
        <is>
          <t>Призы не на абонементы</t>
        </is>
      </c>
      <c r="D2007" s="34" t="inlineStr">
        <is>
          <t>Дополнительная заморозка абонемента</t>
        </is>
      </c>
      <c r="E2007" s="34" t="inlineStr">
        <is>
          <t>При покупке абонемента</t>
        </is>
      </c>
      <c r="F2007" s="147" t="inlineStr">
        <is>
          <t>FW-L1-CBNDY-6BQ77</t>
        </is>
      </c>
      <c r="G2007" s="39" t="inlineStr">
        <is>
          <t>Не использован</t>
        </is>
      </c>
      <c r="H2007" s="148" t="n"/>
      <c r="I2007" s="34" t="str"/>
      <c r="J2007" s="34" t="str"/>
      <c r="K2007" s="130" t="n">
        <v>200</v>
      </c>
      <c r="L2007" s="43">
        <f>IF(COUNTIF($F$5:$F$2407,F2007)=1,"OK","Дубликат")</f>
        <v/>
      </c>
    </row>
    <row r="2008" ht="38" customHeight="1">
      <c r="A2008" s="146" t="inlineStr">
        <is>
          <t>BONUS-L1-FRIEND-15</t>
        </is>
      </c>
      <c r="B2008" s="39" t="inlineStr">
        <is>
          <t>1 уровень</t>
        </is>
      </c>
      <c r="C2008" s="34" t="inlineStr">
        <is>
          <t>Призы не на абонементы</t>
        </is>
      </c>
      <c r="D2008" s="34" t="inlineStr">
        <is>
          <t>Скидка 15% на второй абонемент для подруги</t>
        </is>
      </c>
      <c r="E2008" s="34" t="inlineStr">
        <is>
          <t>При покупке второго абонемента для подруги</t>
        </is>
      </c>
      <c r="F2008" s="147" t="inlineStr">
        <is>
          <t>FW-L1-UN642-ME2FC</t>
        </is>
      </c>
      <c r="G2008" s="39" t="inlineStr">
        <is>
          <t>Не использован</t>
        </is>
      </c>
      <c r="H2008" s="148" t="n"/>
      <c r="I2008" s="34" t="str"/>
      <c r="J2008" s="34" t="str"/>
      <c r="K2008" s="130" t="n">
        <v>1</v>
      </c>
      <c r="L2008" s="43">
        <f>IF(COUNTIF($F$5:$F$2407,F2008)=1,"OK","Дубликат")</f>
        <v/>
      </c>
    </row>
    <row r="2009" ht="38" customHeight="1">
      <c r="A2009" s="146" t="inlineStr">
        <is>
          <t>BONUS-L1-FRIEND-15</t>
        </is>
      </c>
      <c r="B2009" s="39" t="inlineStr">
        <is>
          <t>1 уровень</t>
        </is>
      </c>
      <c r="C2009" s="34" t="inlineStr">
        <is>
          <t>Призы не на абонементы</t>
        </is>
      </c>
      <c r="D2009" s="34" t="inlineStr">
        <is>
          <t>Скидка 15% на второй абонемент для подруги</t>
        </is>
      </c>
      <c r="E2009" s="34" t="inlineStr">
        <is>
          <t>При покупке второго абонемента для подруги</t>
        </is>
      </c>
      <c r="F2009" s="147" t="inlineStr">
        <is>
          <t>FW-L1-VTZY3-R5MW6</t>
        </is>
      </c>
      <c r="G2009" s="39" t="inlineStr">
        <is>
          <t>Не использован</t>
        </is>
      </c>
      <c r="H2009" s="148" t="n"/>
      <c r="I2009" s="34" t="str"/>
      <c r="J2009" s="34" t="str"/>
      <c r="K2009" s="130" t="n">
        <v>2</v>
      </c>
      <c r="L2009" s="43">
        <f>IF(COUNTIF($F$5:$F$2407,F2009)=1,"OK","Дубликат")</f>
        <v/>
      </c>
    </row>
    <row r="2010" ht="38" customHeight="1">
      <c r="A2010" s="146" t="inlineStr">
        <is>
          <t>BONUS-L1-FRIEND-15</t>
        </is>
      </c>
      <c r="B2010" s="39" t="inlineStr">
        <is>
          <t>1 уровень</t>
        </is>
      </c>
      <c r="C2010" s="34" t="inlineStr">
        <is>
          <t>Призы не на абонементы</t>
        </is>
      </c>
      <c r="D2010" s="34" t="inlineStr">
        <is>
          <t>Скидка 15% на второй абонемент для подруги</t>
        </is>
      </c>
      <c r="E2010" s="34" t="inlineStr">
        <is>
          <t>При покупке второго абонемента для подруги</t>
        </is>
      </c>
      <c r="F2010" s="147" t="inlineStr">
        <is>
          <t>FW-L1-TERUP-Q7Q8J</t>
        </is>
      </c>
      <c r="G2010" s="39" t="inlineStr">
        <is>
          <t>Не использован</t>
        </is>
      </c>
      <c r="H2010" s="148" t="n"/>
      <c r="I2010" s="34" t="str"/>
      <c r="J2010" s="34" t="str"/>
      <c r="K2010" s="130" t="n">
        <v>3</v>
      </c>
      <c r="L2010" s="43">
        <f>IF(COUNTIF($F$5:$F$2407,F2010)=1,"OK","Дубликат")</f>
        <v/>
      </c>
    </row>
    <row r="2011" ht="38" customHeight="1">
      <c r="A2011" s="146" t="inlineStr">
        <is>
          <t>BONUS-L1-FRIEND-15</t>
        </is>
      </c>
      <c r="B2011" s="39" t="inlineStr">
        <is>
          <t>1 уровень</t>
        </is>
      </c>
      <c r="C2011" s="34" t="inlineStr">
        <is>
          <t>Призы не на абонементы</t>
        </is>
      </c>
      <c r="D2011" s="34" t="inlineStr">
        <is>
          <t>Скидка 15% на второй абонемент для подруги</t>
        </is>
      </c>
      <c r="E2011" s="34" t="inlineStr">
        <is>
          <t>При покупке второго абонемента для подруги</t>
        </is>
      </c>
      <c r="F2011" s="147" t="inlineStr">
        <is>
          <t>FW-L1-43HXN-B8BY3</t>
        </is>
      </c>
      <c r="G2011" s="39" t="inlineStr">
        <is>
          <t>Не использован</t>
        </is>
      </c>
      <c r="H2011" s="148" t="n"/>
      <c r="I2011" s="34" t="str"/>
      <c r="J2011" s="34" t="str"/>
      <c r="K2011" s="130" t="n">
        <v>4</v>
      </c>
      <c r="L2011" s="43">
        <f>IF(COUNTIF($F$5:$F$2407,F2011)=1,"OK","Дубликат")</f>
        <v/>
      </c>
    </row>
    <row r="2012" ht="38" customHeight="1">
      <c r="A2012" s="146" t="inlineStr">
        <is>
          <t>BONUS-L1-FRIEND-15</t>
        </is>
      </c>
      <c r="B2012" s="39" t="inlineStr">
        <is>
          <t>1 уровень</t>
        </is>
      </c>
      <c r="C2012" s="34" t="inlineStr">
        <is>
          <t>Призы не на абонементы</t>
        </is>
      </c>
      <c r="D2012" s="34" t="inlineStr">
        <is>
          <t>Скидка 15% на второй абонемент для подруги</t>
        </is>
      </c>
      <c r="E2012" s="34" t="inlineStr">
        <is>
          <t>При покупке второго абонемента для подруги</t>
        </is>
      </c>
      <c r="F2012" s="147" t="inlineStr">
        <is>
          <t>FW-L1-EB3RA-EHA64</t>
        </is>
      </c>
      <c r="G2012" s="39" t="inlineStr">
        <is>
          <t>Не использован</t>
        </is>
      </c>
      <c r="H2012" s="148" t="n"/>
      <c r="I2012" s="34" t="str"/>
      <c r="J2012" s="34" t="str"/>
      <c r="K2012" s="130" t="n">
        <v>5</v>
      </c>
      <c r="L2012" s="43">
        <f>IF(COUNTIF($F$5:$F$2407,F2012)=1,"OK","Дубликат")</f>
        <v/>
      </c>
    </row>
    <row r="2013" ht="38" customHeight="1">
      <c r="A2013" s="146" t="inlineStr">
        <is>
          <t>BONUS-L1-FRIEND-15</t>
        </is>
      </c>
      <c r="B2013" s="39" t="inlineStr">
        <is>
          <t>1 уровень</t>
        </is>
      </c>
      <c r="C2013" s="34" t="inlineStr">
        <is>
          <t>Призы не на абонементы</t>
        </is>
      </c>
      <c r="D2013" s="34" t="inlineStr">
        <is>
          <t>Скидка 15% на второй абонемент для подруги</t>
        </is>
      </c>
      <c r="E2013" s="34" t="inlineStr">
        <is>
          <t>При покупке второго абонемента для подруги</t>
        </is>
      </c>
      <c r="F2013" s="147" t="inlineStr">
        <is>
          <t>FW-L1-RMRAH-RTWDP</t>
        </is>
      </c>
      <c r="G2013" s="39" t="inlineStr">
        <is>
          <t>Не использован</t>
        </is>
      </c>
      <c r="H2013" s="148" t="n"/>
      <c r="I2013" s="34" t="str"/>
      <c r="J2013" s="34" t="str"/>
      <c r="K2013" s="130" t="n">
        <v>6</v>
      </c>
      <c r="L2013" s="43">
        <f>IF(COUNTIF($F$5:$F$2407,F2013)=1,"OK","Дубликат")</f>
        <v/>
      </c>
    </row>
    <row r="2014" ht="38" customHeight="1">
      <c r="A2014" s="146" t="inlineStr">
        <is>
          <t>BONUS-L1-FRIEND-15</t>
        </is>
      </c>
      <c r="B2014" s="39" t="inlineStr">
        <is>
          <t>1 уровень</t>
        </is>
      </c>
      <c r="C2014" s="34" t="inlineStr">
        <is>
          <t>Призы не на абонементы</t>
        </is>
      </c>
      <c r="D2014" s="34" t="inlineStr">
        <is>
          <t>Скидка 15% на второй абонемент для подруги</t>
        </is>
      </c>
      <c r="E2014" s="34" t="inlineStr">
        <is>
          <t>При покупке второго абонемента для подруги</t>
        </is>
      </c>
      <c r="F2014" s="147" t="inlineStr">
        <is>
          <t>FW-L1-7JLGA-J7GGQ</t>
        </is>
      </c>
      <c r="G2014" s="39" t="inlineStr">
        <is>
          <t>Не использован</t>
        </is>
      </c>
      <c r="H2014" s="148" t="n"/>
      <c r="I2014" s="34" t="str"/>
      <c r="J2014" s="34" t="str"/>
      <c r="K2014" s="130" t="n">
        <v>7</v>
      </c>
      <c r="L2014" s="43">
        <f>IF(COUNTIF($F$5:$F$2407,F2014)=1,"OK","Дубликат")</f>
        <v/>
      </c>
    </row>
    <row r="2015" ht="38" customHeight="1">
      <c r="A2015" s="146" t="inlineStr">
        <is>
          <t>BONUS-L1-FRIEND-15</t>
        </is>
      </c>
      <c r="B2015" s="39" t="inlineStr">
        <is>
          <t>1 уровень</t>
        </is>
      </c>
      <c r="C2015" s="34" t="inlineStr">
        <is>
          <t>Призы не на абонементы</t>
        </is>
      </c>
      <c r="D2015" s="34" t="inlineStr">
        <is>
          <t>Скидка 15% на второй абонемент для подруги</t>
        </is>
      </c>
      <c r="E2015" s="34" t="inlineStr">
        <is>
          <t>При покупке второго абонемента для подруги</t>
        </is>
      </c>
      <c r="F2015" s="147" t="inlineStr">
        <is>
          <t>FW-L1-EGDBW-6B4AH</t>
        </is>
      </c>
      <c r="G2015" s="39" t="inlineStr">
        <is>
          <t>Не использован</t>
        </is>
      </c>
      <c r="H2015" s="148" t="n"/>
      <c r="I2015" s="34" t="str"/>
      <c r="J2015" s="34" t="str"/>
      <c r="K2015" s="130" t="n">
        <v>8</v>
      </c>
      <c r="L2015" s="43">
        <f>IF(COUNTIF($F$5:$F$2407,F2015)=1,"OK","Дубликат")</f>
        <v/>
      </c>
    </row>
    <row r="2016" ht="38" customHeight="1">
      <c r="A2016" s="146" t="inlineStr">
        <is>
          <t>BONUS-L1-FRIEND-15</t>
        </is>
      </c>
      <c r="B2016" s="39" t="inlineStr">
        <is>
          <t>1 уровень</t>
        </is>
      </c>
      <c r="C2016" s="34" t="inlineStr">
        <is>
          <t>Призы не на абонементы</t>
        </is>
      </c>
      <c r="D2016" s="34" t="inlineStr">
        <is>
          <t>Скидка 15% на второй абонемент для подруги</t>
        </is>
      </c>
      <c r="E2016" s="34" t="inlineStr">
        <is>
          <t>При покупке второго абонемента для подруги</t>
        </is>
      </c>
      <c r="F2016" s="147" t="inlineStr">
        <is>
          <t>FW-L1-8EFK3-HXJWP</t>
        </is>
      </c>
      <c r="G2016" s="39" t="inlineStr">
        <is>
          <t>Не использован</t>
        </is>
      </c>
      <c r="H2016" s="148" t="n"/>
      <c r="I2016" s="34" t="str"/>
      <c r="J2016" s="34" t="str"/>
      <c r="K2016" s="130" t="n">
        <v>9</v>
      </c>
      <c r="L2016" s="43">
        <f>IF(COUNTIF($F$5:$F$2407,F2016)=1,"OK","Дубликат")</f>
        <v/>
      </c>
    </row>
    <row r="2017" ht="38" customHeight="1">
      <c r="A2017" s="146" t="inlineStr">
        <is>
          <t>BONUS-L1-FRIEND-15</t>
        </is>
      </c>
      <c r="B2017" s="39" t="inlineStr">
        <is>
          <t>1 уровень</t>
        </is>
      </c>
      <c r="C2017" s="34" t="inlineStr">
        <is>
          <t>Призы не на абонементы</t>
        </is>
      </c>
      <c r="D2017" s="34" t="inlineStr">
        <is>
          <t>Скидка 15% на второй абонемент для подруги</t>
        </is>
      </c>
      <c r="E2017" s="34" t="inlineStr">
        <is>
          <t>При покупке второго абонемента для подруги</t>
        </is>
      </c>
      <c r="F2017" s="147" t="inlineStr">
        <is>
          <t>FW-L1-HNKPR-SVDH4</t>
        </is>
      </c>
      <c r="G2017" s="39" t="inlineStr">
        <is>
          <t>Не использован</t>
        </is>
      </c>
      <c r="H2017" s="148" t="n"/>
      <c r="I2017" s="34" t="str"/>
      <c r="J2017" s="34" t="str"/>
      <c r="K2017" s="130" t="n">
        <v>10</v>
      </c>
      <c r="L2017" s="43">
        <f>IF(COUNTIF($F$5:$F$2407,F2017)=1,"OK","Дубликат")</f>
        <v/>
      </c>
    </row>
    <row r="2018" ht="38" customHeight="1">
      <c r="A2018" s="146" t="inlineStr">
        <is>
          <t>BONUS-L1-FRIEND-15</t>
        </is>
      </c>
      <c r="B2018" s="39" t="inlineStr">
        <is>
          <t>1 уровень</t>
        </is>
      </c>
      <c r="C2018" s="34" t="inlineStr">
        <is>
          <t>Призы не на абонементы</t>
        </is>
      </c>
      <c r="D2018" s="34" t="inlineStr">
        <is>
          <t>Скидка 15% на второй абонемент для подруги</t>
        </is>
      </c>
      <c r="E2018" s="34" t="inlineStr">
        <is>
          <t>При покупке второго абонемента для подруги</t>
        </is>
      </c>
      <c r="F2018" s="147" t="inlineStr">
        <is>
          <t>FW-L1-8GKWZ-Q94VC</t>
        </is>
      </c>
      <c r="G2018" s="39" t="inlineStr">
        <is>
          <t>Не использован</t>
        </is>
      </c>
      <c r="H2018" s="148" t="n"/>
      <c r="I2018" s="34" t="str"/>
      <c r="J2018" s="34" t="str"/>
      <c r="K2018" s="130" t="n">
        <v>11</v>
      </c>
      <c r="L2018" s="43">
        <f>IF(COUNTIF($F$5:$F$2407,F2018)=1,"OK","Дубликат")</f>
        <v/>
      </c>
    </row>
    <row r="2019" ht="38" customHeight="1">
      <c r="A2019" s="146" t="inlineStr">
        <is>
          <t>BONUS-L1-FRIEND-15</t>
        </is>
      </c>
      <c r="B2019" s="39" t="inlineStr">
        <is>
          <t>1 уровень</t>
        </is>
      </c>
      <c r="C2019" s="34" t="inlineStr">
        <is>
          <t>Призы не на абонементы</t>
        </is>
      </c>
      <c r="D2019" s="34" t="inlineStr">
        <is>
          <t>Скидка 15% на второй абонемент для подруги</t>
        </is>
      </c>
      <c r="E2019" s="34" t="inlineStr">
        <is>
          <t>При покупке второго абонемента для подруги</t>
        </is>
      </c>
      <c r="F2019" s="147" t="inlineStr">
        <is>
          <t>FW-L1-8Y532-G3RBL</t>
        </is>
      </c>
      <c r="G2019" s="39" t="inlineStr">
        <is>
          <t>Не использован</t>
        </is>
      </c>
      <c r="H2019" s="148" t="n"/>
      <c r="I2019" s="34" t="str"/>
      <c r="J2019" s="34" t="str"/>
      <c r="K2019" s="130" t="n">
        <v>12</v>
      </c>
      <c r="L2019" s="43">
        <f>IF(COUNTIF($F$5:$F$2407,F2019)=1,"OK","Дубликат")</f>
        <v/>
      </c>
    </row>
    <row r="2020" ht="38" customHeight="1">
      <c r="A2020" s="146" t="inlineStr">
        <is>
          <t>BONUS-L1-FRIEND-15</t>
        </is>
      </c>
      <c r="B2020" s="39" t="inlineStr">
        <is>
          <t>1 уровень</t>
        </is>
      </c>
      <c r="C2020" s="34" t="inlineStr">
        <is>
          <t>Призы не на абонементы</t>
        </is>
      </c>
      <c r="D2020" s="34" t="inlineStr">
        <is>
          <t>Скидка 15% на второй абонемент для подруги</t>
        </is>
      </c>
      <c r="E2020" s="34" t="inlineStr">
        <is>
          <t>При покупке второго абонемента для подруги</t>
        </is>
      </c>
      <c r="F2020" s="147" t="inlineStr">
        <is>
          <t>FW-L1-LRXBW-3YRNH</t>
        </is>
      </c>
      <c r="G2020" s="39" t="inlineStr">
        <is>
          <t>Не использован</t>
        </is>
      </c>
      <c r="H2020" s="148" t="n"/>
      <c r="I2020" s="34" t="str"/>
      <c r="J2020" s="34" t="str"/>
      <c r="K2020" s="130" t="n">
        <v>13</v>
      </c>
      <c r="L2020" s="43">
        <f>IF(COUNTIF($F$5:$F$2407,F2020)=1,"OK","Дубликат")</f>
        <v/>
      </c>
    </row>
    <row r="2021" ht="38" customHeight="1">
      <c r="A2021" s="146" t="inlineStr">
        <is>
          <t>BONUS-L1-FRIEND-15</t>
        </is>
      </c>
      <c r="B2021" s="39" t="inlineStr">
        <is>
          <t>1 уровень</t>
        </is>
      </c>
      <c r="C2021" s="34" t="inlineStr">
        <is>
          <t>Призы не на абонементы</t>
        </is>
      </c>
      <c r="D2021" s="34" t="inlineStr">
        <is>
          <t>Скидка 15% на второй абонемент для подруги</t>
        </is>
      </c>
      <c r="E2021" s="34" t="inlineStr">
        <is>
          <t>При покупке второго абонемента для подруги</t>
        </is>
      </c>
      <c r="F2021" s="147" t="inlineStr">
        <is>
          <t>FW-L1-ZQH6H-8LDRD</t>
        </is>
      </c>
      <c r="G2021" s="39" t="inlineStr">
        <is>
          <t>Не использован</t>
        </is>
      </c>
      <c r="H2021" s="148" t="n"/>
      <c r="I2021" s="34" t="str"/>
      <c r="J2021" s="34" t="str"/>
      <c r="K2021" s="130" t="n">
        <v>14</v>
      </c>
      <c r="L2021" s="43">
        <f>IF(COUNTIF($F$5:$F$2407,F2021)=1,"OK","Дубликат")</f>
        <v/>
      </c>
    </row>
    <row r="2022" ht="38" customHeight="1">
      <c r="A2022" s="146" t="inlineStr">
        <is>
          <t>BONUS-L1-FRIEND-15</t>
        </is>
      </c>
      <c r="B2022" s="39" t="inlineStr">
        <is>
          <t>1 уровень</t>
        </is>
      </c>
      <c r="C2022" s="34" t="inlineStr">
        <is>
          <t>Призы не на абонементы</t>
        </is>
      </c>
      <c r="D2022" s="34" t="inlineStr">
        <is>
          <t>Скидка 15% на второй абонемент для подруги</t>
        </is>
      </c>
      <c r="E2022" s="34" t="inlineStr">
        <is>
          <t>При покупке второго абонемента для подруги</t>
        </is>
      </c>
      <c r="F2022" s="147" t="inlineStr">
        <is>
          <t>FW-L1-LW8AC-HB9C3</t>
        </is>
      </c>
      <c r="G2022" s="39" t="inlineStr">
        <is>
          <t>Не использован</t>
        </is>
      </c>
      <c r="H2022" s="148" t="n"/>
      <c r="I2022" s="34" t="str"/>
      <c r="J2022" s="34" t="str"/>
      <c r="K2022" s="130" t="n">
        <v>15</v>
      </c>
      <c r="L2022" s="43">
        <f>IF(COUNTIF($F$5:$F$2407,F2022)=1,"OK","Дубликат")</f>
        <v/>
      </c>
    </row>
    <row r="2023" ht="38" customHeight="1">
      <c r="A2023" s="146" t="inlineStr">
        <is>
          <t>BONUS-L1-FRIEND-15</t>
        </is>
      </c>
      <c r="B2023" s="39" t="inlineStr">
        <is>
          <t>1 уровень</t>
        </is>
      </c>
      <c r="C2023" s="34" t="inlineStr">
        <is>
          <t>Призы не на абонементы</t>
        </is>
      </c>
      <c r="D2023" s="34" t="inlineStr">
        <is>
          <t>Скидка 15% на второй абонемент для подруги</t>
        </is>
      </c>
      <c r="E2023" s="34" t="inlineStr">
        <is>
          <t>При покупке второго абонемента для подруги</t>
        </is>
      </c>
      <c r="F2023" s="147" t="inlineStr">
        <is>
          <t>FW-L1-36EFM-83PQL</t>
        </is>
      </c>
      <c r="G2023" s="39" t="inlineStr">
        <is>
          <t>Не использован</t>
        </is>
      </c>
      <c r="H2023" s="148" t="n"/>
      <c r="I2023" s="34" t="str"/>
      <c r="J2023" s="34" t="str"/>
      <c r="K2023" s="130" t="n">
        <v>16</v>
      </c>
      <c r="L2023" s="43">
        <f>IF(COUNTIF($F$5:$F$2407,F2023)=1,"OK","Дубликат")</f>
        <v/>
      </c>
    </row>
    <row r="2024" ht="38" customHeight="1">
      <c r="A2024" s="146" t="inlineStr">
        <is>
          <t>BONUS-L1-FRIEND-15</t>
        </is>
      </c>
      <c r="B2024" s="39" t="inlineStr">
        <is>
          <t>1 уровень</t>
        </is>
      </c>
      <c r="C2024" s="34" t="inlineStr">
        <is>
          <t>Призы не на абонементы</t>
        </is>
      </c>
      <c r="D2024" s="34" t="inlineStr">
        <is>
          <t>Скидка 15% на второй абонемент для подруги</t>
        </is>
      </c>
      <c r="E2024" s="34" t="inlineStr">
        <is>
          <t>При покупке второго абонемента для подруги</t>
        </is>
      </c>
      <c r="F2024" s="147" t="inlineStr">
        <is>
          <t>FW-L1-XBS98-JP2CM</t>
        </is>
      </c>
      <c r="G2024" s="39" t="inlineStr">
        <is>
          <t>Не использован</t>
        </is>
      </c>
      <c r="H2024" s="148" t="n"/>
      <c r="I2024" s="34" t="str"/>
      <c r="J2024" s="34" t="str"/>
      <c r="K2024" s="130" t="n">
        <v>17</v>
      </c>
      <c r="L2024" s="43">
        <f>IF(COUNTIF($F$5:$F$2407,F2024)=1,"OK","Дубликат")</f>
        <v/>
      </c>
    </row>
    <row r="2025" ht="38" customHeight="1">
      <c r="A2025" s="146" t="inlineStr">
        <is>
          <t>BONUS-L1-FRIEND-15</t>
        </is>
      </c>
      <c r="B2025" s="39" t="inlineStr">
        <is>
          <t>1 уровень</t>
        </is>
      </c>
      <c r="C2025" s="34" t="inlineStr">
        <is>
          <t>Призы не на абонементы</t>
        </is>
      </c>
      <c r="D2025" s="34" t="inlineStr">
        <is>
          <t>Скидка 15% на второй абонемент для подруги</t>
        </is>
      </c>
      <c r="E2025" s="34" t="inlineStr">
        <is>
          <t>При покупке второго абонемента для подруги</t>
        </is>
      </c>
      <c r="F2025" s="147" t="inlineStr">
        <is>
          <t>FW-L1-376PM-U7YR9</t>
        </is>
      </c>
      <c r="G2025" s="39" t="inlineStr">
        <is>
          <t>Не использован</t>
        </is>
      </c>
      <c r="H2025" s="148" t="n"/>
      <c r="I2025" s="34" t="str"/>
      <c r="J2025" s="34" t="str"/>
      <c r="K2025" s="130" t="n">
        <v>18</v>
      </c>
      <c r="L2025" s="43">
        <f>IF(COUNTIF($F$5:$F$2407,F2025)=1,"OK","Дубликат")</f>
        <v/>
      </c>
    </row>
    <row r="2026" ht="38" customHeight="1">
      <c r="A2026" s="146" t="inlineStr">
        <is>
          <t>BONUS-L1-FRIEND-15</t>
        </is>
      </c>
      <c r="B2026" s="39" t="inlineStr">
        <is>
          <t>1 уровень</t>
        </is>
      </c>
      <c r="C2026" s="34" t="inlineStr">
        <is>
          <t>Призы не на абонементы</t>
        </is>
      </c>
      <c r="D2026" s="34" t="inlineStr">
        <is>
          <t>Скидка 15% на второй абонемент для подруги</t>
        </is>
      </c>
      <c r="E2026" s="34" t="inlineStr">
        <is>
          <t>При покупке второго абонемента для подруги</t>
        </is>
      </c>
      <c r="F2026" s="147" t="inlineStr">
        <is>
          <t>FW-L1-A2YZJ-SM2D4</t>
        </is>
      </c>
      <c r="G2026" s="39" t="inlineStr">
        <is>
          <t>Не использован</t>
        </is>
      </c>
      <c r="H2026" s="148" t="n"/>
      <c r="I2026" s="34" t="str"/>
      <c r="J2026" s="34" t="str"/>
      <c r="K2026" s="130" t="n">
        <v>19</v>
      </c>
      <c r="L2026" s="43">
        <f>IF(COUNTIF($F$5:$F$2407,F2026)=1,"OK","Дубликат")</f>
        <v/>
      </c>
    </row>
    <row r="2027" ht="38" customHeight="1">
      <c r="A2027" s="146" t="inlineStr">
        <is>
          <t>BONUS-L1-FRIEND-15</t>
        </is>
      </c>
      <c r="B2027" s="39" t="inlineStr">
        <is>
          <t>1 уровень</t>
        </is>
      </c>
      <c r="C2027" s="34" t="inlineStr">
        <is>
          <t>Призы не на абонементы</t>
        </is>
      </c>
      <c r="D2027" s="34" t="inlineStr">
        <is>
          <t>Скидка 15% на второй абонемент для подруги</t>
        </is>
      </c>
      <c r="E2027" s="34" t="inlineStr">
        <is>
          <t>При покупке второго абонемента для подруги</t>
        </is>
      </c>
      <c r="F2027" s="147" t="inlineStr">
        <is>
          <t>FW-L1-4ZTWD-RCRLW</t>
        </is>
      </c>
      <c r="G2027" s="39" t="inlineStr">
        <is>
          <t>Не использован</t>
        </is>
      </c>
      <c r="H2027" s="148" t="n"/>
      <c r="I2027" s="34" t="str"/>
      <c r="J2027" s="34" t="str"/>
      <c r="K2027" s="130" t="n">
        <v>20</v>
      </c>
      <c r="L2027" s="43">
        <f>IF(COUNTIF($F$5:$F$2407,F2027)=1,"OK","Дубликат")</f>
        <v/>
      </c>
    </row>
    <row r="2028" ht="38" customHeight="1">
      <c r="A2028" s="146" t="inlineStr">
        <is>
          <t>BONUS-L1-FRIEND-15</t>
        </is>
      </c>
      <c r="B2028" s="39" t="inlineStr">
        <is>
          <t>1 уровень</t>
        </is>
      </c>
      <c r="C2028" s="34" t="inlineStr">
        <is>
          <t>Призы не на абонементы</t>
        </is>
      </c>
      <c r="D2028" s="34" t="inlineStr">
        <is>
          <t>Скидка 15% на второй абонемент для подруги</t>
        </is>
      </c>
      <c r="E2028" s="34" t="inlineStr">
        <is>
          <t>При покупке второго абонемента для подруги</t>
        </is>
      </c>
      <c r="F2028" s="147" t="inlineStr">
        <is>
          <t>FW-L1-AQ3LR-BBVGK</t>
        </is>
      </c>
      <c r="G2028" s="39" t="inlineStr">
        <is>
          <t>Не использован</t>
        </is>
      </c>
      <c r="H2028" s="148" t="n"/>
      <c r="I2028" s="34" t="str"/>
      <c r="J2028" s="34" t="str"/>
      <c r="K2028" s="130" t="n">
        <v>21</v>
      </c>
      <c r="L2028" s="43">
        <f>IF(COUNTIF($F$5:$F$2407,F2028)=1,"OK","Дубликат")</f>
        <v/>
      </c>
    </row>
    <row r="2029" ht="38" customHeight="1">
      <c r="A2029" s="146" t="inlineStr">
        <is>
          <t>BONUS-L1-FRIEND-15</t>
        </is>
      </c>
      <c r="B2029" s="39" t="inlineStr">
        <is>
          <t>1 уровень</t>
        </is>
      </c>
      <c r="C2029" s="34" t="inlineStr">
        <is>
          <t>Призы не на абонементы</t>
        </is>
      </c>
      <c r="D2029" s="34" t="inlineStr">
        <is>
          <t>Скидка 15% на второй абонемент для подруги</t>
        </is>
      </c>
      <c r="E2029" s="34" t="inlineStr">
        <is>
          <t>При покупке второго абонемента для подруги</t>
        </is>
      </c>
      <c r="F2029" s="147" t="inlineStr">
        <is>
          <t>FW-L1-3DHQL-8T6UN</t>
        </is>
      </c>
      <c r="G2029" s="39" t="inlineStr">
        <is>
          <t>Не использован</t>
        </is>
      </c>
      <c r="H2029" s="148" t="n"/>
      <c r="I2029" s="34" t="str"/>
      <c r="J2029" s="34" t="str"/>
      <c r="K2029" s="130" t="n">
        <v>22</v>
      </c>
      <c r="L2029" s="43">
        <f>IF(COUNTIF($F$5:$F$2407,F2029)=1,"OK","Дубликат")</f>
        <v/>
      </c>
    </row>
    <row r="2030" ht="38" customHeight="1">
      <c r="A2030" s="146" t="inlineStr">
        <is>
          <t>BONUS-L1-FRIEND-15</t>
        </is>
      </c>
      <c r="B2030" s="39" t="inlineStr">
        <is>
          <t>1 уровень</t>
        </is>
      </c>
      <c r="C2030" s="34" t="inlineStr">
        <is>
          <t>Призы не на абонементы</t>
        </is>
      </c>
      <c r="D2030" s="34" t="inlineStr">
        <is>
          <t>Скидка 15% на второй абонемент для подруги</t>
        </is>
      </c>
      <c r="E2030" s="34" t="inlineStr">
        <is>
          <t>При покупке второго абонемента для подруги</t>
        </is>
      </c>
      <c r="F2030" s="147" t="inlineStr">
        <is>
          <t>FW-L1-6NSWK-AQWD6</t>
        </is>
      </c>
      <c r="G2030" s="39" t="inlineStr">
        <is>
          <t>Не использован</t>
        </is>
      </c>
      <c r="H2030" s="148" t="n"/>
      <c r="I2030" s="34" t="str"/>
      <c r="J2030" s="34" t="str"/>
      <c r="K2030" s="130" t="n">
        <v>23</v>
      </c>
      <c r="L2030" s="43">
        <f>IF(COUNTIF($F$5:$F$2407,F2030)=1,"OK","Дубликат")</f>
        <v/>
      </c>
    </row>
    <row r="2031" ht="38" customHeight="1">
      <c r="A2031" s="146" t="inlineStr">
        <is>
          <t>BONUS-L1-FRIEND-15</t>
        </is>
      </c>
      <c r="B2031" s="39" t="inlineStr">
        <is>
          <t>1 уровень</t>
        </is>
      </c>
      <c r="C2031" s="34" t="inlineStr">
        <is>
          <t>Призы не на абонементы</t>
        </is>
      </c>
      <c r="D2031" s="34" t="inlineStr">
        <is>
          <t>Скидка 15% на второй абонемент для подруги</t>
        </is>
      </c>
      <c r="E2031" s="34" t="inlineStr">
        <is>
          <t>При покупке второго абонемента для подруги</t>
        </is>
      </c>
      <c r="F2031" s="147" t="inlineStr">
        <is>
          <t>FW-L1-UA35G-TS2AP</t>
        </is>
      </c>
      <c r="G2031" s="39" t="inlineStr">
        <is>
          <t>Не использован</t>
        </is>
      </c>
      <c r="H2031" s="148" t="n"/>
      <c r="I2031" s="34" t="str"/>
      <c r="J2031" s="34" t="str"/>
      <c r="K2031" s="130" t="n">
        <v>24</v>
      </c>
      <c r="L2031" s="43">
        <f>IF(COUNTIF($F$5:$F$2407,F2031)=1,"OK","Дубликат")</f>
        <v/>
      </c>
    </row>
    <row r="2032" ht="38" customHeight="1">
      <c r="A2032" s="146" t="inlineStr">
        <is>
          <t>BONUS-L1-FRIEND-15</t>
        </is>
      </c>
      <c r="B2032" s="39" t="inlineStr">
        <is>
          <t>1 уровень</t>
        </is>
      </c>
      <c r="C2032" s="34" t="inlineStr">
        <is>
          <t>Призы не на абонементы</t>
        </is>
      </c>
      <c r="D2032" s="34" t="inlineStr">
        <is>
          <t>Скидка 15% на второй абонемент для подруги</t>
        </is>
      </c>
      <c r="E2032" s="34" t="inlineStr">
        <is>
          <t>При покупке второго абонемента для подруги</t>
        </is>
      </c>
      <c r="F2032" s="147" t="inlineStr">
        <is>
          <t>FW-L1-LMV7H-94YZ5</t>
        </is>
      </c>
      <c r="G2032" s="39" t="inlineStr">
        <is>
          <t>Не использован</t>
        </is>
      </c>
      <c r="H2032" s="148" t="n"/>
      <c r="I2032" s="34" t="str"/>
      <c r="J2032" s="34" t="str"/>
      <c r="K2032" s="130" t="n">
        <v>25</v>
      </c>
      <c r="L2032" s="43">
        <f>IF(COUNTIF($F$5:$F$2407,F2032)=1,"OK","Дубликат")</f>
        <v/>
      </c>
    </row>
    <row r="2033" ht="38" customHeight="1">
      <c r="A2033" s="146" t="inlineStr">
        <is>
          <t>BONUS-L1-FRIEND-15</t>
        </is>
      </c>
      <c r="B2033" s="39" t="inlineStr">
        <is>
          <t>1 уровень</t>
        </is>
      </c>
      <c r="C2033" s="34" t="inlineStr">
        <is>
          <t>Призы не на абонементы</t>
        </is>
      </c>
      <c r="D2033" s="34" t="inlineStr">
        <is>
          <t>Скидка 15% на второй абонемент для подруги</t>
        </is>
      </c>
      <c r="E2033" s="34" t="inlineStr">
        <is>
          <t>При покупке второго абонемента для подруги</t>
        </is>
      </c>
      <c r="F2033" s="147" t="inlineStr">
        <is>
          <t>FW-L1-ZCX7G-43KFV</t>
        </is>
      </c>
      <c r="G2033" s="39" t="inlineStr">
        <is>
          <t>Не использован</t>
        </is>
      </c>
      <c r="H2033" s="148" t="n"/>
      <c r="I2033" s="34" t="str"/>
      <c r="J2033" s="34" t="str"/>
      <c r="K2033" s="130" t="n">
        <v>26</v>
      </c>
      <c r="L2033" s="43">
        <f>IF(COUNTIF($F$5:$F$2407,F2033)=1,"OK","Дубликат")</f>
        <v/>
      </c>
    </row>
    <row r="2034" ht="38" customHeight="1">
      <c r="A2034" s="146" t="inlineStr">
        <is>
          <t>BONUS-L1-FRIEND-15</t>
        </is>
      </c>
      <c r="B2034" s="39" t="inlineStr">
        <is>
          <t>1 уровень</t>
        </is>
      </c>
      <c r="C2034" s="34" t="inlineStr">
        <is>
          <t>Призы не на абонементы</t>
        </is>
      </c>
      <c r="D2034" s="34" t="inlineStr">
        <is>
          <t>Скидка 15% на второй абонемент для подруги</t>
        </is>
      </c>
      <c r="E2034" s="34" t="inlineStr">
        <is>
          <t>При покупке второго абонемента для подруги</t>
        </is>
      </c>
      <c r="F2034" s="147" t="inlineStr">
        <is>
          <t>FW-L1-4HQPH-W5NEL</t>
        </is>
      </c>
      <c r="G2034" s="39" t="inlineStr">
        <is>
          <t>Не использован</t>
        </is>
      </c>
      <c r="H2034" s="148" t="n"/>
      <c r="I2034" s="34" t="str"/>
      <c r="J2034" s="34" t="str"/>
      <c r="K2034" s="130" t="n">
        <v>27</v>
      </c>
      <c r="L2034" s="43">
        <f>IF(COUNTIF($F$5:$F$2407,F2034)=1,"OK","Дубликат")</f>
        <v/>
      </c>
    </row>
    <row r="2035" ht="38" customHeight="1">
      <c r="A2035" s="146" t="inlineStr">
        <is>
          <t>BONUS-L1-FRIEND-15</t>
        </is>
      </c>
      <c r="B2035" s="39" t="inlineStr">
        <is>
          <t>1 уровень</t>
        </is>
      </c>
      <c r="C2035" s="34" t="inlineStr">
        <is>
          <t>Призы не на абонементы</t>
        </is>
      </c>
      <c r="D2035" s="34" t="inlineStr">
        <is>
          <t>Скидка 15% на второй абонемент для подруги</t>
        </is>
      </c>
      <c r="E2035" s="34" t="inlineStr">
        <is>
          <t>При покупке второго абонемента для подруги</t>
        </is>
      </c>
      <c r="F2035" s="147" t="inlineStr">
        <is>
          <t>FW-L1-N84D7-2PUXY</t>
        </is>
      </c>
      <c r="G2035" s="39" t="inlineStr">
        <is>
          <t>Не использован</t>
        </is>
      </c>
      <c r="H2035" s="148" t="n"/>
      <c r="I2035" s="34" t="str"/>
      <c r="J2035" s="34" t="str"/>
      <c r="K2035" s="130" t="n">
        <v>28</v>
      </c>
      <c r="L2035" s="43">
        <f>IF(COUNTIF($F$5:$F$2407,F2035)=1,"OK","Дубликат")</f>
        <v/>
      </c>
    </row>
    <row r="2036" ht="38" customHeight="1">
      <c r="A2036" s="146" t="inlineStr">
        <is>
          <t>BONUS-L1-FRIEND-15</t>
        </is>
      </c>
      <c r="B2036" s="39" t="inlineStr">
        <is>
          <t>1 уровень</t>
        </is>
      </c>
      <c r="C2036" s="34" t="inlineStr">
        <is>
          <t>Призы не на абонементы</t>
        </is>
      </c>
      <c r="D2036" s="34" t="inlineStr">
        <is>
          <t>Скидка 15% на второй абонемент для подруги</t>
        </is>
      </c>
      <c r="E2036" s="34" t="inlineStr">
        <is>
          <t>При покупке второго абонемента для подруги</t>
        </is>
      </c>
      <c r="F2036" s="147" t="inlineStr">
        <is>
          <t>FW-L1-NK7WB-9WHBM</t>
        </is>
      </c>
      <c r="G2036" s="39" t="inlineStr">
        <is>
          <t>Не использован</t>
        </is>
      </c>
      <c r="H2036" s="148" t="n"/>
      <c r="I2036" s="34" t="str"/>
      <c r="J2036" s="34" t="str"/>
      <c r="K2036" s="130" t="n">
        <v>29</v>
      </c>
      <c r="L2036" s="43">
        <f>IF(COUNTIF($F$5:$F$2407,F2036)=1,"OK","Дубликат")</f>
        <v/>
      </c>
    </row>
    <row r="2037" ht="38" customHeight="1">
      <c r="A2037" s="146" t="inlineStr">
        <is>
          <t>BONUS-L1-FRIEND-15</t>
        </is>
      </c>
      <c r="B2037" s="39" t="inlineStr">
        <is>
          <t>1 уровень</t>
        </is>
      </c>
      <c r="C2037" s="34" t="inlineStr">
        <is>
          <t>Призы не на абонементы</t>
        </is>
      </c>
      <c r="D2037" s="34" t="inlineStr">
        <is>
          <t>Скидка 15% на второй абонемент для подруги</t>
        </is>
      </c>
      <c r="E2037" s="34" t="inlineStr">
        <is>
          <t>При покупке второго абонемента для подруги</t>
        </is>
      </c>
      <c r="F2037" s="147" t="inlineStr">
        <is>
          <t>FW-L1-YP2TH-T77U9</t>
        </is>
      </c>
      <c r="G2037" s="39" t="inlineStr">
        <is>
          <t>Не использован</t>
        </is>
      </c>
      <c r="H2037" s="148" t="n"/>
      <c r="I2037" s="34" t="str"/>
      <c r="J2037" s="34" t="str"/>
      <c r="K2037" s="130" t="n">
        <v>30</v>
      </c>
      <c r="L2037" s="43">
        <f>IF(COUNTIF($F$5:$F$2407,F2037)=1,"OK","Дубликат")</f>
        <v/>
      </c>
    </row>
    <row r="2038" ht="38" customHeight="1">
      <c r="A2038" s="146" t="inlineStr">
        <is>
          <t>BONUS-L1-FRIEND-15</t>
        </is>
      </c>
      <c r="B2038" s="39" t="inlineStr">
        <is>
          <t>1 уровень</t>
        </is>
      </c>
      <c r="C2038" s="34" t="inlineStr">
        <is>
          <t>Призы не на абонементы</t>
        </is>
      </c>
      <c r="D2038" s="34" t="inlineStr">
        <is>
          <t>Скидка 15% на второй абонемент для подруги</t>
        </is>
      </c>
      <c r="E2038" s="34" t="inlineStr">
        <is>
          <t>При покупке второго абонемента для подруги</t>
        </is>
      </c>
      <c r="F2038" s="147" t="inlineStr">
        <is>
          <t>FW-L1-MWXDH-3KKZB</t>
        </is>
      </c>
      <c r="G2038" s="39" t="inlineStr">
        <is>
          <t>Не использован</t>
        </is>
      </c>
      <c r="H2038" s="148" t="n"/>
      <c r="I2038" s="34" t="str"/>
      <c r="J2038" s="34" t="str"/>
      <c r="K2038" s="130" t="n">
        <v>31</v>
      </c>
      <c r="L2038" s="43">
        <f>IF(COUNTIF($F$5:$F$2407,F2038)=1,"OK","Дубликат")</f>
        <v/>
      </c>
    </row>
    <row r="2039" ht="38" customHeight="1">
      <c r="A2039" s="146" t="inlineStr">
        <is>
          <t>BONUS-L1-FRIEND-15</t>
        </is>
      </c>
      <c r="B2039" s="39" t="inlineStr">
        <is>
          <t>1 уровень</t>
        </is>
      </c>
      <c r="C2039" s="34" t="inlineStr">
        <is>
          <t>Призы не на абонементы</t>
        </is>
      </c>
      <c r="D2039" s="34" t="inlineStr">
        <is>
          <t>Скидка 15% на второй абонемент для подруги</t>
        </is>
      </c>
      <c r="E2039" s="34" t="inlineStr">
        <is>
          <t>При покупке второго абонемента для подруги</t>
        </is>
      </c>
      <c r="F2039" s="147" t="inlineStr">
        <is>
          <t>FW-L1-KFYYP-8V6EX</t>
        </is>
      </c>
      <c r="G2039" s="39" t="inlineStr">
        <is>
          <t>Не использован</t>
        </is>
      </c>
      <c r="H2039" s="148" t="n"/>
      <c r="I2039" s="34" t="str"/>
      <c r="J2039" s="34" t="str"/>
      <c r="K2039" s="130" t="n">
        <v>32</v>
      </c>
      <c r="L2039" s="43">
        <f>IF(COUNTIF($F$5:$F$2407,F2039)=1,"OK","Дубликат")</f>
        <v/>
      </c>
    </row>
    <row r="2040" ht="38" customHeight="1">
      <c r="A2040" s="146" t="inlineStr">
        <is>
          <t>BONUS-L1-FRIEND-15</t>
        </is>
      </c>
      <c r="B2040" s="39" t="inlineStr">
        <is>
          <t>1 уровень</t>
        </is>
      </c>
      <c r="C2040" s="34" t="inlineStr">
        <is>
          <t>Призы не на абонементы</t>
        </is>
      </c>
      <c r="D2040" s="34" t="inlineStr">
        <is>
          <t>Скидка 15% на второй абонемент для подруги</t>
        </is>
      </c>
      <c r="E2040" s="34" t="inlineStr">
        <is>
          <t>При покупке второго абонемента для подруги</t>
        </is>
      </c>
      <c r="F2040" s="147" t="inlineStr">
        <is>
          <t>FW-L1-H9M4R-39WHG</t>
        </is>
      </c>
      <c r="G2040" s="39" t="inlineStr">
        <is>
          <t>Не использован</t>
        </is>
      </c>
      <c r="H2040" s="148" t="n"/>
      <c r="I2040" s="34" t="str"/>
      <c r="J2040" s="34" t="str"/>
      <c r="K2040" s="130" t="n">
        <v>33</v>
      </c>
      <c r="L2040" s="43">
        <f>IF(COUNTIF($F$5:$F$2407,F2040)=1,"OK","Дубликат")</f>
        <v/>
      </c>
    </row>
    <row r="2041" ht="38" customHeight="1">
      <c r="A2041" s="146" t="inlineStr">
        <is>
          <t>BONUS-L1-FRIEND-15</t>
        </is>
      </c>
      <c r="B2041" s="39" t="inlineStr">
        <is>
          <t>1 уровень</t>
        </is>
      </c>
      <c r="C2041" s="34" t="inlineStr">
        <is>
          <t>Призы не на абонементы</t>
        </is>
      </c>
      <c r="D2041" s="34" t="inlineStr">
        <is>
          <t>Скидка 15% на второй абонемент для подруги</t>
        </is>
      </c>
      <c r="E2041" s="34" t="inlineStr">
        <is>
          <t>При покупке второго абонемента для подруги</t>
        </is>
      </c>
      <c r="F2041" s="147" t="inlineStr">
        <is>
          <t>FW-L1-GH5HB-5KNXE</t>
        </is>
      </c>
      <c r="G2041" s="39" t="inlineStr">
        <is>
          <t>Не использован</t>
        </is>
      </c>
      <c r="H2041" s="148" t="n"/>
      <c r="I2041" s="34" t="str"/>
      <c r="J2041" s="34" t="str"/>
      <c r="K2041" s="130" t="n">
        <v>34</v>
      </c>
      <c r="L2041" s="43">
        <f>IF(COUNTIF($F$5:$F$2407,F2041)=1,"OK","Дубликат")</f>
        <v/>
      </c>
    </row>
    <row r="2042" ht="38" customHeight="1">
      <c r="A2042" s="146" t="inlineStr">
        <is>
          <t>BONUS-L1-FRIEND-15</t>
        </is>
      </c>
      <c r="B2042" s="39" t="inlineStr">
        <is>
          <t>1 уровень</t>
        </is>
      </c>
      <c r="C2042" s="34" t="inlineStr">
        <is>
          <t>Призы не на абонементы</t>
        </is>
      </c>
      <c r="D2042" s="34" t="inlineStr">
        <is>
          <t>Скидка 15% на второй абонемент для подруги</t>
        </is>
      </c>
      <c r="E2042" s="34" t="inlineStr">
        <is>
          <t>При покупке второго абонемента для подруги</t>
        </is>
      </c>
      <c r="F2042" s="147" t="inlineStr">
        <is>
          <t>FW-L1-3GB75-QKDSS</t>
        </is>
      </c>
      <c r="G2042" s="39" t="inlineStr">
        <is>
          <t>Не использован</t>
        </is>
      </c>
      <c r="H2042" s="148" t="n"/>
      <c r="I2042" s="34" t="str"/>
      <c r="J2042" s="34" t="str"/>
      <c r="K2042" s="130" t="n">
        <v>35</v>
      </c>
      <c r="L2042" s="43">
        <f>IF(COUNTIF($F$5:$F$2407,F2042)=1,"OK","Дубликат")</f>
        <v/>
      </c>
    </row>
    <row r="2043" ht="38" customHeight="1">
      <c r="A2043" s="146" t="inlineStr">
        <is>
          <t>BONUS-L1-FRIEND-15</t>
        </is>
      </c>
      <c r="B2043" s="39" t="inlineStr">
        <is>
          <t>1 уровень</t>
        </is>
      </c>
      <c r="C2043" s="34" t="inlineStr">
        <is>
          <t>Призы не на абонементы</t>
        </is>
      </c>
      <c r="D2043" s="34" t="inlineStr">
        <is>
          <t>Скидка 15% на второй абонемент для подруги</t>
        </is>
      </c>
      <c r="E2043" s="34" t="inlineStr">
        <is>
          <t>При покупке второго абонемента для подруги</t>
        </is>
      </c>
      <c r="F2043" s="147" t="inlineStr">
        <is>
          <t>FW-L1-9NXPJ-FLKBB</t>
        </is>
      </c>
      <c r="G2043" s="39" t="inlineStr">
        <is>
          <t>Не использован</t>
        </is>
      </c>
      <c r="H2043" s="148" t="n"/>
      <c r="I2043" s="34" t="str"/>
      <c r="J2043" s="34" t="str"/>
      <c r="K2043" s="130" t="n">
        <v>36</v>
      </c>
      <c r="L2043" s="43">
        <f>IF(COUNTIF($F$5:$F$2407,F2043)=1,"OK","Дубликат")</f>
        <v/>
      </c>
    </row>
    <row r="2044" ht="38" customHeight="1">
      <c r="A2044" s="146" t="inlineStr">
        <is>
          <t>BONUS-L1-FRIEND-15</t>
        </is>
      </c>
      <c r="B2044" s="39" t="inlineStr">
        <is>
          <t>1 уровень</t>
        </is>
      </c>
      <c r="C2044" s="34" t="inlineStr">
        <is>
          <t>Призы не на абонементы</t>
        </is>
      </c>
      <c r="D2044" s="34" t="inlineStr">
        <is>
          <t>Скидка 15% на второй абонемент для подруги</t>
        </is>
      </c>
      <c r="E2044" s="34" t="inlineStr">
        <is>
          <t>При покупке второго абонемента для подруги</t>
        </is>
      </c>
      <c r="F2044" s="147" t="inlineStr">
        <is>
          <t>FW-L1-623GH-J5NN6</t>
        </is>
      </c>
      <c r="G2044" s="39" t="inlineStr">
        <is>
          <t>Не использован</t>
        </is>
      </c>
      <c r="H2044" s="148" t="n"/>
      <c r="I2044" s="34" t="str"/>
      <c r="J2044" s="34" t="str"/>
      <c r="K2044" s="130" t="n">
        <v>37</v>
      </c>
      <c r="L2044" s="43">
        <f>IF(COUNTIF($F$5:$F$2407,F2044)=1,"OK","Дубликат")</f>
        <v/>
      </c>
    </row>
    <row r="2045" ht="38" customHeight="1">
      <c r="A2045" s="146" t="inlineStr">
        <is>
          <t>BONUS-L1-FRIEND-15</t>
        </is>
      </c>
      <c r="B2045" s="39" t="inlineStr">
        <is>
          <t>1 уровень</t>
        </is>
      </c>
      <c r="C2045" s="34" t="inlineStr">
        <is>
          <t>Призы не на абонементы</t>
        </is>
      </c>
      <c r="D2045" s="34" t="inlineStr">
        <is>
          <t>Скидка 15% на второй абонемент для подруги</t>
        </is>
      </c>
      <c r="E2045" s="34" t="inlineStr">
        <is>
          <t>При покупке второго абонемента для подруги</t>
        </is>
      </c>
      <c r="F2045" s="147" t="inlineStr">
        <is>
          <t>FW-L1-Z5A98-LNGW9</t>
        </is>
      </c>
      <c r="G2045" s="39" t="inlineStr">
        <is>
          <t>Не использован</t>
        </is>
      </c>
      <c r="H2045" s="148" t="n"/>
      <c r="I2045" s="34" t="str"/>
      <c r="J2045" s="34" t="str"/>
      <c r="K2045" s="130" t="n">
        <v>38</v>
      </c>
      <c r="L2045" s="43">
        <f>IF(COUNTIF($F$5:$F$2407,F2045)=1,"OK","Дубликат")</f>
        <v/>
      </c>
    </row>
    <row r="2046" ht="38" customHeight="1">
      <c r="A2046" s="146" t="inlineStr">
        <is>
          <t>BONUS-L1-FRIEND-15</t>
        </is>
      </c>
      <c r="B2046" s="39" t="inlineStr">
        <is>
          <t>1 уровень</t>
        </is>
      </c>
      <c r="C2046" s="34" t="inlineStr">
        <is>
          <t>Призы не на абонементы</t>
        </is>
      </c>
      <c r="D2046" s="34" t="inlineStr">
        <is>
          <t>Скидка 15% на второй абонемент для подруги</t>
        </is>
      </c>
      <c r="E2046" s="34" t="inlineStr">
        <is>
          <t>При покупке второго абонемента для подруги</t>
        </is>
      </c>
      <c r="F2046" s="147" t="inlineStr">
        <is>
          <t>FW-L1-R3DDX-B23VQ</t>
        </is>
      </c>
      <c r="G2046" s="39" t="inlineStr">
        <is>
          <t>Не использован</t>
        </is>
      </c>
      <c r="H2046" s="148" t="n"/>
      <c r="I2046" s="34" t="str"/>
      <c r="J2046" s="34" t="str"/>
      <c r="K2046" s="130" t="n">
        <v>39</v>
      </c>
      <c r="L2046" s="43">
        <f>IF(COUNTIF($F$5:$F$2407,F2046)=1,"OK","Дубликат")</f>
        <v/>
      </c>
    </row>
    <row r="2047" ht="38" customHeight="1">
      <c r="A2047" s="146" t="inlineStr">
        <is>
          <t>BONUS-L1-FRIEND-15</t>
        </is>
      </c>
      <c r="B2047" s="39" t="inlineStr">
        <is>
          <t>1 уровень</t>
        </is>
      </c>
      <c r="C2047" s="34" t="inlineStr">
        <is>
          <t>Призы не на абонементы</t>
        </is>
      </c>
      <c r="D2047" s="34" t="inlineStr">
        <is>
          <t>Скидка 15% на второй абонемент для подруги</t>
        </is>
      </c>
      <c r="E2047" s="34" t="inlineStr">
        <is>
          <t>При покупке второго абонемента для подруги</t>
        </is>
      </c>
      <c r="F2047" s="147" t="inlineStr">
        <is>
          <t>FW-L1-6JVR8-SE79Y</t>
        </is>
      </c>
      <c r="G2047" s="39" t="inlineStr">
        <is>
          <t>Не использован</t>
        </is>
      </c>
      <c r="H2047" s="148" t="n"/>
      <c r="I2047" s="34" t="str"/>
      <c r="J2047" s="34" t="str"/>
      <c r="K2047" s="130" t="n">
        <v>40</v>
      </c>
      <c r="L2047" s="43">
        <f>IF(COUNTIF($F$5:$F$2407,F2047)=1,"OK","Дубликат")</f>
        <v/>
      </c>
    </row>
    <row r="2048" ht="38" customHeight="1">
      <c r="A2048" s="146" t="inlineStr">
        <is>
          <t>BONUS-L1-FRIEND-15</t>
        </is>
      </c>
      <c r="B2048" s="39" t="inlineStr">
        <is>
          <t>1 уровень</t>
        </is>
      </c>
      <c r="C2048" s="34" t="inlineStr">
        <is>
          <t>Призы не на абонементы</t>
        </is>
      </c>
      <c r="D2048" s="34" t="inlineStr">
        <is>
          <t>Скидка 15% на второй абонемент для подруги</t>
        </is>
      </c>
      <c r="E2048" s="34" t="inlineStr">
        <is>
          <t>При покупке второго абонемента для подруги</t>
        </is>
      </c>
      <c r="F2048" s="147" t="inlineStr">
        <is>
          <t>FW-L1-284V4-EGUZ2</t>
        </is>
      </c>
      <c r="G2048" s="39" t="inlineStr">
        <is>
          <t>Не использован</t>
        </is>
      </c>
      <c r="H2048" s="148" t="n"/>
      <c r="I2048" s="34" t="str"/>
      <c r="J2048" s="34" t="str"/>
      <c r="K2048" s="130" t="n">
        <v>41</v>
      </c>
      <c r="L2048" s="43">
        <f>IF(COUNTIF($F$5:$F$2407,F2048)=1,"OK","Дубликат")</f>
        <v/>
      </c>
    </row>
    <row r="2049" ht="38" customHeight="1">
      <c r="A2049" s="146" t="inlineStr">
        <is>
          <t>BONUS-L1-FRIEND-15</t>
        </is>
      </c>
      <c r="B2049" s="39" t="inlineStr">
        <is>
          <t>1 уровень</t>
        </is>
      </c>
      <c r="C2049" s="34" t="inlineStr">
        <is>
          <t>Призы не на абонементы</t>
        </is>
      </c>
      <c r="D2049" s="34" t="inlineStr">
        <is>
          <t>Скидка 15% на второй абонемент для подруги</t>
        </is>
      </c>
      <c r="E2049" s="34" t="inlineStr">
        <is>
          <t>При покупке второго абонемента для подруги</t>
        </is>
      </c>
      <c r="F2049" s="147" t="inlineStr">
        <is>
          <t>FW-L1-ZH52T-R4ZWK</t>
        </is>
      </c>
      <c r="G2049" s="39" t="inlineStr">
        <is>
          <t>Не использован</t>
        </is>
      </c>
      <c r="H2049" s="148" t="n"/>
      <c r="I2049" s="34" t="str"/>
      <c r="J2049" s="34" t="str"/>
      <c r="K2049" s="130" t="n">
        <v>42</v>
      </c>
      <c r="L2049" s="43">
        <f>IF(COUNTIF($F$5:$F$2407,F2049)=1,"OK","Дубликат")</f>
        <v/>
      </c>
    </row>
    <row r="2050" ht="38" customHeight="1">
      <c r="A2050" s="146" t="inlineStr">
        <is>
          <t>BONUS-L1-FRIEND-15</t>
        </is>
      </c>
      <c r="B2050" s="39" t="inlineStr">
        <is>
          <t>1 уровень</t>
        </is>
      </c>
      <c r="C2050" s="34" t="inlineStr">
        <is>
          <t>Призы не на абонементы</t>
        </is>
      </c>
      <c r="D2050" s="34" t="inlineStr">
        <is>
          <t>Скидка 15% на второй абонемент для подруги</t>
        </is>
      </c>
      <c r="E2050" s="34" t="inlineStr">
        <is>
          <t>При покупке второго абонемента для подруги</t>
        </is>
      </c>
      <c r="F2050" s="147" t="inlineStr">
        <is>
          <t>FW-L1-A6GYR-MB5U2</t>
        </is>
      </c>
      <c r="G2050" s="39" t="inlineStr">
        <is>
          <t>Не использован</t>
        </is>
      </c>
      <c r="H2050" s="148" t="n"/>
      <c r="I2050" s="34" t="str"/>
      <c r="J2050" s="34" t="str"/>
      <c r="K2050" s="130" t="n">
        <v>43</v>
      </c>
      <c r="L2050" s="43">
        <f>IF(COUNTIF($F$5:$F$2407,F2050)=1,"OK","Дубликат")</f>
        <v/>
      </c>
    </row>
    <row r="2051" ht="38" customHeight="1">
      <c r="A2051" s="146" t="inlineStr">
        <is>
          <t>BONUS-L1-FRIEND-15</t>
        </is>
      </c>
      <c r="B2051" s="39" t="inlineStr">
        <is>
          <t>1 уровень</t>
        </is>
      </c>
      <c r="C2051" s="34" t="inlineStr">
        <is>
          <t>Призы не на абонементы</t>
        </is>
      </c>
      <c r="D2051" s="34" t="inlineStr">
        <is>
          <t>Скидка 15% на второй абонемент для подруги</t>
        </is>
      </c>
      <c r="E2051" s="34" t="inlineStr">
        <is>
          <t>При покупке второго абонемента для подруги</t>
        </is>
      </c>
      <c r="F2051" s="147" t="inlineStr">
        <is>
          <t>FW-L1-U6ANM-24LQB</t>
        </is>
      </c>
      <c r="G2051" s="39" t="inlineStr">
        <is>
          <t>Не использован</t>
        </is>
      </c>
      <c r="H2051" s="148" t="n"/>
      <c r="I2051" s="34" t="str"/>
      <c r="J2051" s="34" t="str"/>
      <c r="K2051" s="130" t="n">
        <v>44</v>
      </c>
      <c r="L2051" s="43">
        <f>IF(COUNTIF($F$5:$F$2407,F2051)=1,"OK","Дубликат")</f>
        <v/>
      </c>
    </row>
    <row r="2052" ht="38" customHeight="1">
      <c r="A2052" s="146" t="inlineStr">
        <is>
          <t>BONUS-L1-FRIEND-15</t>
        </is>
      </c>
      <c r="B2052" s="39" t="inlineStr">
        <is>
          <t>1 уровень</t>
        </is>
      </c>
      <c r="C2052" s="34" t="inlineStr">
        <is>
          <t>Призы не на абонементы</t>
        </is>
      </c>
      <c r="D2052" s="34" t="inlineStr">
        <is>
          <t>Скидка 15% на второй абонемент для подруги</t>
        </is>
      </c>
      <c r="E2052" s="34" t="inlineStr">
        <is>
          <t>При покупке второго абонемента для подруги</t>
        </is>
      </c>
      <c r="F2052" s="147" t="inlineStr">
        <is>
          <t>FW-L1-7NEMD-NQ5YD</t>
        </is>
      </c>
      <c r="G2052" s="39" t="inlineStr">
        <is>
          <t>Не использован</t>
        </is>
      </c>
      <c r="H2052" s="148" t="n"/>
      <c r="I2052" s="34" t="str"/>
      <c r="J2052" s="34" t="str"/>
      <c r="K2052" s="130" t="n">
        <v>45</v>
      </c>
      <c r="L2052" s="43">
        <f>IF(COUNTIF($F$5:$F$2407,F2052)=1,"OK","Дубликат")</f>
        <v/>
      </c>
    </row>
    <row r="2053" ht="38" customHeight="1">
      <c r="A2053" s="146" t="inlineStr">
        <is>
          <t>BONUS-L1-FRIEND-15</t>
        </is>
      </c>
      <c r="B2053" s="39" t="inlineStr">
        <is>
          <t>1 уровень</t>
        </is>
      </c>
      <c r="C2053" s="34" t="inlineStr">
        <is>
          <t>Призы не на абонементы</t>
        </is>
      </c>
      <c r="D2053" s="34" t="inlineStr">
        <is>
          <t>Скидка 15% на второй абонемент для подруги</t>
        </is>
      </c>
      <c r="E2053" s="34" t="inlineStr">
        <is>
          <t>При покупке второго абонемента для подруги</t>
        </is>
      </c>
      <c r="F2053" s="147" t="inlineStr">
        <is>
          <t>FW-L1-YKN64-XY7FX</t>
        </is>
      </c>
      <c r="G2053" s="39" t="inlineStr">
        <is>
          <t>Не использован</t>
        </is>
      </c>
      <c r="H2053" s="148" t="n"/>
      <c r="I2053" s="34" t="str"/>
      <c r="J2053" s="34" t="str"/>
      <c r="K2053" s="130" t="n">
        <v>46</v>
      </c>
      <c r="L2053" s="43">
        <f>IF(COUNTIF($F$5:$F$2407,F2053)=1,"OK","Дубликат")</f>
        <v/>
      </c>
    </row>
    <row r="2054" ht="38" customHeight="1">
      <c r="A2054" s="146" t="inlineStr">
        <is>
          <t>BONUS-L1-FRIEND-15</t>
        </is>
      </c>
      <c r="B2054" s="39" t="inlineStr">
        <is>
          <t>1 уровень</t>
        </is>
      </c>
      <c r="C2054" s="34" t="inlineStr">
        <is>
          <t>Призы не на абонементы</t>
        </is>
      </c>
      <c r="D2054" s="34" t="inlineStr">
        <is>
          <t>Скидка 15% на второй абонемент для подруги</t>
        </is>
      </c>
      <c r="E2054" s="34" t="inlineStr">
        <is>
          <t>При покупке второго абонемента для подруги</t>
        </is>
      </c>
      <c r="F2054" s="147" t="inlineStr">
        <is>
          <t>FW-L1-GK6XD-TDU6V</t>
        </is>
      </c>
      <c r="G2054" s="39" t="inlineStr">
        <is>
          <t>Не использован</t>
        </is>
      </c>
      <c r="H2054" s="148" t="n"/>
      <c r="I2054" s="34" t="str"/>
      <c r="J2054" s="34" t="str"/>
      <c r="K2054" s="130" t="n">
        <v>47</v>
      </c>
      <c r="L2054" s="43">
        <f>IF(COUNTIF($F$5:$F$2407,F2054)=1,"OK","Дубликат")</f>
        <v/>
      </c>
    </row>
    <row r="2055" ht="38" customHeight="1">
      <c r="A2055" s="146" t="inlineStr">
        <is>
          <t>BONUS-L1-FRIEND-15</t>
        </is>
      </c>
      <c r="B2055" s="39" t="inlineStr">
        <is>
          <t>1 уровень</t>
        </is>
      </c>
      <c r="C2055" s="34" t="inlineStr">
        <is>
          <t>Призы не на абонементы</t>
        </is>
      </c>
      <c r="D2055" s="34" t="inlineStr">
        <is>
          <t>Скидка 15% на второй абонемент для подруги</t>
        </is>
      </c>
      <c r="E2055" s="34" t="inlineStr">
        <is>
          <t>При покупке второго абонемента для подруги</t>
        </is>
      </c>
      <c r="F2055" s="147" t="inlineStr">
        <is>
          <t>FW-L1-H4N58-ULA4A</t>
        </is>
      </c>
      <c r="G2055" s="39" t="inlineStr">
        <is>
          <t>Не использован</t>
        </is>
      </c>
      <c r="H2055" s="148" t="n"/>
      <c r="I2055" s="34" t="str"/>
      <c r="J2055" s="34" t="str"/>
      <c r="K2055" s="130" t="n">
        <v>48</v>
      </c>
      <c r="L2055" s="43">
        <f>IF(COUNTIF($F$5:$F$2407,F2055)=1,"OK","Дубликат")</f>
        <v/>
      </c>
    </row>
    <row r="2056" ht="38" customHeight="1">
      <c r="A2056" s="146" t="inlineStr">
        <is>
          <t>BONUS-L1-FRIEND-15</t>
        </is>
      </c>
      <c r="B2056" s="39" t="inlineStr">
        <is>
          <t>1 уровень</t>
        </is>
      </c>
      <c r="C2056" s="34" t="inlineStr">
        <is>
          <t>Призы не на абонементы</t>
        </is>
      </c>
      <c r="D2056" s="34" t="inlineStr">
        <is>
          <t>Скидка 15% на второй абонемент для подруги</t>
        </is>
      </c>
      <c r="E2056" s="34" t="inlineStr">
        <is>
          <t>При покупке второго абонемента для подруги</t>
        </is>
      </c>
      <c r="F2056" s="147" t="inlineStr">
        <is>
          <t>FW-L1-YB8Q8-XFDUP</t>
        </is>
      </c>
      <c r="G2056" s="39" t="inlineStr">
        <is>
          <t>Не использован</t>
        </is>
      </c>
      <c r="H2056" s="148" t="n"/>
      <c r="I2056" s="34" t="str"/>
      <c r="J2056" s="34" t="str"/>
      <c r="K2056" s="130" t="n">
        <v>49</v>
      </c>
      <c r="L2056" s="43">
        <f>IF(COUNTIF($F$5:$F$2407,F2056)=1,"OK","Дубликат")</f>
        <v/>
      </c>
    </row>
    <row r="2057" ht="38" customHeight="1">
      <c r="A2057" s="146" t="inlineStr">
        <is>
          <t>BONUS-L1-FRIEND-15</t>
        </is>
      </c>
      <c r="B2057" s="39" t="inlineStr">
        <is>
          <t>1 уровень</t>
        </is>
      </c>
      <c r="C2057" s="34" t="inlineStr">
        <is>
          <t>Призы не на абонементы</t>
        </is>
      </c>
      <c r="D2057" s="34" t="inlineStr">
        <is>
          <t>Скидка 15% на второй абонемент для подруги</t>
        </is>
      </c>
      <c r="E2057" s="34" t="inlineStr">
        <is>
          <t>При покупке второго абонемента для подруги</t>
        </is>
      </c>
      <c r="F2057" s="147" t="inlineStr">
        <is>
          <t>FW-L1-RZBUL-FR8TV</t>
        </is>
      </c>
      <c r="G2057" s="39" t="inlineStr">
        <is>
          <t>Не использован</t>
        </is>
      </c>
      <c r="H2057" s="148" t="n"/>
      <c r="I2057" s="34" t="str"/>
      <c r="J2057" s="34" t="str"/>
      <c r="K2057" s="130" t="n">
        <v>50</v>
      </c>
      <c r="L2057" s="43">
        <f>IF(COUNTIF($F$5:$F$2407,F2057)=1,"OK","Дубликат")</f>
        <v/>
      </c>
    </row>
    <row r="2058" ht="38" customHeight="1">
      <c r="A2058" s="146" t="inlineStr">
        <is>
          <t>BONUS-L1-FRIEND-15</t>
        </is>
      </c>
      <c r="B2058" s="39" t="inlineStr">
        <is>
          <t>1 уровень</t>
        </is>
      </c>
      <c r="C2058" s="34" t="inlineStr">
        <is>
          <t>Призы не на абонементы</t>
        </is>
      </c>
      <c r="D2058" s="34" t="inlineStr">
        <is>
          <t>Скидка 15% на второй абонемент для подруги</t>
        </is>
      </c>
      <c r="E2058" s="34" t="inlineStr">
        <is>
          <t>При покупке второго абонемента для подруги</t>
        </is>
      </c>
      <c r="F2058" s="147" t="inlineStr">
        <is>
          <t>FW-L1-NZHRU-GEN5Y</t>
        </is>
      </c>
      <c r="G2058" s="39" t="inlineStr">
        <is>
          <t>Не использован</t>
        </is>
      </c>
      <c r="H2058" s="148" t="n"/>
      <c r="I2058" s="34" t="str"/>
      <c r="J2058" s="34" t="str"/>
      <c r="K2058" s="130" t="n">
        <v>51</v>
      </c>
      <c r="L2058" s="43">
        <f>IF(COUNTIF($F$5:$F$2407,F2058)=1,"OK","Дубликат")</f>
        <v/>
      </c>
    </row>
    <row r="2059" ht="38" customHeight="1">
      <c r="A2059" s="146" t="inlineStr">
        <is>
          <t>BONUS-L1-FRIEND-15</t>
        </is>
      </c>
      <c r="B2059" s="39" t="inlineStr">
        <is>
          <t>1 уровень</t>
        </is>
      </c>
      <c r="C2059" s="34" t="inlineStr">
        <is>
          <t>Призы не на абонементы</t>
        </is>
      </c>
      <c r="D2059" s="34" t="inlineStr">
        <is>
          <t>Скидка 15% на второй абонемент для подруги</t>
        </is>
      </c>
      <c r="E2059" s="34" t="inlineStr">
        <is>
          <t>При покупке второго абонемента для подруги</t>
        </is>
      </c>
      <c r="F2059" s="147" t="inlineStr">
        <is>
          <t>FW-L1-KV4D7-ZN7L4</t>
        </is>
      </c>
      <c r="G2059" s="39" t="inlineStr">
        <is>
          <t>Не использован</t>
        </is>
      </c>
      <c r="H2059" s="148" t="n"/>
      <c r="I2059" s="34" t="str"/>
      <c r="J2059" s="34" t="str"/>
      <c r="K2059" s="130" t="n">
        <v>52</v>
      </c>
      <c r="L2059" s="43">
        <f>IF(COUNTIF($F$5:$F$2407,F2059)=1,"OK","Дубликат")</f>
        <v/>
      </c>
    </row>
    <row r="2060" ht="38" customHeight="1">
      <c r="A2060" s="146" t="inlineStr">
        <is>
          <t>BONUS-L1-FRIEND-15</t>
        </is>
      </c>
      <c r="B2060" s="39" t="inlineStr">
        <is>
          <t>1 уровень</t>
        </is>
      </c>
      <c r="C2060" s="34" t="inlineStr">
        <is>
          <t>Призы не на абонементы</t>
        </is>
      </c>
      <c r="D2060" s="34" t="inlineStr">
        <is>
          <t>Скидка 15% на второй абонемент для подруги</t>
        </is>
      </c>
      <c r="E2060" s="34" t="inlineStr">
        <is>
          <t>При покупке второго абонемента для подруги</t>
        </is>
      </c>
      <c r="F2060" s="147" t="inlineStr">
        <is>
          <t>FW-L1-JXDLW-VGV5T</t>
        </is>
      </c>
      <c r="G2060" s="39" t="inlineStr">
        <is>
          <t>Не использован</t>
        </is>
      </c>
      <c r="H2060" s="148" t="n"/>
      <c r="I2060" s="34" t="str"/>
      <c r="J2060" s="34" t="str"/>
      <c r="K2060" s="130" t="n">
        <v>53</v>
      </c>
      <c r="L2060" s="43">
        <f>IF(COUNTIF($F$5:$F$2407,F2060)=1,"OK","Дубликат")</f>
        <v/>
      </c>
    </row>
    <row r="2061" ht="38" customHeight="1">
      <c r="A2061" s="146" t="inlineStr">
        <is>
          <t>BONUS-L1-FRIEND-15</t>
        </is>
      </c>
      <c r="B2061" s="39" t="inlineStr">
        <is>
          <t>1 уровень</t>
        </is>
      </c>
      <c r="C2061" s="34" t="inlineStr">
        <is>
          <t>Призы не на абонементы</t>
        </is>
      </c>
      <c r="D2061" s="34" t="inlineStr">
        <is>
          <t>Скидка 15% на второй абонемент для подруги</t>
        </is>
      </c>
      <c r="E2061" s="34" t="inlineStr">
        <is>
          <t>При покупке второго абонемента для подруги</t>
        </is>
      </c>
      <c r="F2061" s="147" t="inlineStr">
        <is>
          <t>FW-L1-XAH95-HZUBF</t>
        </is>
      </c>
      <c r="G2061" s="39" t="inlineStr">
        <is>
          <t>Не использован</t>
        </is>
      </c>
      <c r="H2061" s="148" t="n"/>
      <c r="I2061" s="34" t="str"/>
      <c r="J2061" s="34" t="str"/>
      <c r="K2061" s="130" t="n">
        <v>54</v>
      </c>
      <c r="L2061" s="43">
        <f>IF(COUNTIF($F$5:$F$2407,F2061)=1,"OK","Дубликат")</f>
        <v/>
      </c>
    </row>
    <row r="2062" ht="38" customHeight="1">
      <c r="A2062" s="146" t="inlineStr">
        <is>
          <t>BONUS-L1-FRIEND-15</t>
        </is>
      </c>
      <c r="B2062" s="39" t="inlineStr">
        <is>
          <t>1 уровень</t>
        </is>
      </c>
      <c r="C2062" s="34" t="inlineStr">
        <is>
          <t>Призы не на абонементы</t>
        </is>
      </c>
      <c r="D2062" s="34" t="inlineStr">
        <is>
          <t>Скидка 15% на второй абонемент для подруги</t>
        </is>
      </c>
      <c r="E2062" s="34" t="inlineStr">
        <is>
          <t>При покупке второго абонемента для подруги</t>
        </is>
      </c>
      <c r="F2062" s="147" t="inlineStr">
        <is>
          <t>FW-L1-892AU-WXXGZ</t>
        </is>
      </c>
      <c r="G2062" s="39" t="inlineStr">
        <is>
          <t>Не использован</t>
        </is>
      </c>
      <c r="H2062" s="148" t="n"/>
      <c r="I2062" s="34" t="str"/>
      <c r="J2062" s="34" t="str"/>
      <c r="K2062" s="130" t="n">
        <v>55</v>
      </c>
      <c r="L2062" s="43">
        <f>IF(COUNTIF($F$5:$F$2407,F2062)=1,"OK","Дубликат")</f>
        <v/>
      </c>
    </row>
    <row r="2063" ht="38" customHeight="1">
      <c r="A2063" s="146" t="inlineStr">
        <is>
          <t>BONUS-L1-FRIEND-15</t>
        </is>
      </c>
      <c r="B2063" s="39" t="inlineStr">
        <is>
          <t>1 уровень</t>
        </is>
      </c>
      <c r="C2063" s="34" t="inlineStr">
        <is>
          <t>Призы не на абонементы</t>
        </is>
      </c>
      <c r="D2063" s="34" t="inlineStr">
        <is>
          <t>Скидка 15% на второй абонемент для подруги</t>
        </is>
      </c>
      <c r="E2063" s="34" t="inlineStr">
        <is>
          <t>При покупке второго абонемента для подруги</t>
        </is>
      </c>
      <c r="F2063" s="147" t="inlineStr">
        <is>
          <t>FW-L1-TAP48-AKFLP</t>
        </is>
      </c>
      <c r="G2063" s="39" t="inlineStr">
        <is>
          <t>Не использован</t>
        </is>
      </c>
      <c r="H2063" s="148" t="n"/>
      <c r="I2063" s="34" t="str"/>
      <c r="J2063" s="34" t="str"/>
      <c r="K2063" s="130" t="n">
        <v>56</v>
      </c>
      <c r="L2063" s="43">
        <f>IF(COUNTIF($F$5:$F$2407,F2063)=1,"OK","Дубликат")</f>
        <v/>
      </c>
    </row>
    <row r="2064" ht="38" customHeight="1">
      <c r="A2064" s="146" t="inlineStr">
        <is>
          <t>BONUS-L1-FRIEND-15</t>
        </is>
      </c>
      <c r="B2064" s="39" t="inlineStr">
        <is>
          <t>1 уровень</t>
        </is>
      </c>
      <c r="C2064" s="34" t="inlineStr">
        <is>
          <t>Призы не на абонементы</t>
        </is>
      </c>
      <c r="D2064" s="34" t="inlineStr">
        <is>
          <t>Скидка 15% на второй абонемент для подруги</t>
        </is>
      </c>
      <c r="E2064" s="34" t="inlineStr">
        <is>
          <t>При покупке второго абонемента для подруги</t>
        </is>
      </c>
      <c r="F2064" s="147" t="inlineStr">
        <is>
          <t>FW-L1-8TFTE-5UP3K</t>
        </is>
      </c>
      <c r="G2064" s="39" t="inlineStr">
        <is>
          <t>Не использован</t>
        </is>
      </c>
      <c r="H2064" s="148" t="n"/>
      <c r="I2064" s="34" t="str"/>
      <c r="J2064" s="34" t="str"/>
      <c r="K2064" s="130" t="n">
        <v>57</v>
      </c>
      <c r="L2064" s="43">
        <f>IF(COUNTIF($F$5:$F$2407,F2064)=1,"OK","Дубликат")</f>
        <v/>
      </c>
    </row>
    <row r="2065" ht="38" customHeight="1">
      <c r="A2065" s="146" t="inlineStr">
        <is>
          <t>BONUS-L1-FRIEND-15</t>
        </is>
      </c>
      <c r="B2065" s="39" t="inlineStr">
        <is>
          <t>1 уровень</t>
        </is>
      </c>
      <c r="C2065" s="34" t="inlineStr">
        <is>
          <t>Призы не на абонементы</t>
        </is>
      </c>
      <c r="D2065" s="34" t="inlineStr">
        <is>
          <t>Скидка 15% на второй абонемент для подруги</t>
        </is>
      </c>
      <c r="E2065" s="34" t="inlineStr">
        <is>
          <t>При покупке второго абонемента для подруги</t>
        </is>
      </c>
      <c r="F2065" s="147" t="inlineStr">
        <is>
          <t>FW-L1-N2C8P-CWXVX</t>
        </is>
      </c>
      <c r="G2065" s="39" t="inlineStr">
        <is>
          <t>Не использован</t>
        </is>
      </c>
      <c r="H2065" s="148" t="n"/>
      <c r="I2065" s="34" t="str"/>
      <c r="J2065" s="34" t="str"/>
      <c r="K2065" s="130" t="n">
        <v>58</v>
      </c>
      <c r="L2065" s="43">
        <f>IF(COUNTIF($F$5:$F$2407,F2065)=1,"OK","Дубликат")</f>
        <v/>
      </c>
    </row>
    <row r="2066" ht="38" customHeight="1">
      <c r="A2066" s="146" t="inlineStr">
        <is>
          <t>BONUS-L1-FRIEND-15</t>
        </is>
      </c>
      <c r="B2066" s="39" t="inlineStr">
        <is>
          <t>1 уровень</t>
        </is>
      </c>
      <c r="C2066" s="34" t="inlineStr">
        <is>
          <t>Призы не на абонементы</t>
        </is>
      </c>
      <c r="D2066" s="34" t="inlineStr">
        <is>
          <t>Скидка 15% на второй абонемент для подруги</t>
        </is>
      </c>
      <c r="E2066" s="34" t="inlineStr">
        <is>
          <t>При покупке второго абонемента для подруги</t>
        </is>
      </c>
      <c r="F2066" s="147" t="inlineStr">
        <is>
          <t>FW-L1-FB4MN-YVPZM</t>
        </is>
      </c>
      <c r="G2066" s="39" t="inlineStr">
        <is>
          <t>Не использован</t>
        </is>
      </c>
      <c r="H2066" s="148" t="n"/>
      <c r="I2066" s="34" t="str"/>
      <c r="J2066" s="34" t="str"/>
      <c r="K2066" s="130" t="n">
        <v>59</v>
      </c>
      <c r="L2066" s="43">
        <f>IF(COUNTIF($F$5:$F$2407,F2066)=1,"OK","Дубликат")</f>
        <v/>
      </c>
    </row>
    <row r="2067" ht="38" customHeight="1">
      <c r="A2067" s="146" t="inlineStr">
        <is>
          <t>BONUS-L1-FRIEND-15</t>
        </is>
      </c>
      <c r="B2067" s="39" t="inlineStr">
        <is>
          <t>1 уровень</t>
        </is>
      </c>
      <c r="C2067" s="34" t="inlineStr">
        <is>
          <t>Призы не на абонементы</t>
        </is>
      </c>
      <c r="D2067" s="34" t="inlineStr">
        <is>
          <t>Скидка 15% на второй абонемент для подруги</t>
        </is>
      </c>
      <c r="E2067" s="34" t="inlineStr">
        <is>
          <t>При покупке второго абонемента для подруги</t>
        </is>
      </c>
      <c r="F2067" s="147" t="inlineStr">
        <is>
          <t>FW-L1-SD5J3-TAJHK</t>
        </is>
      </c>
      <c r="G2067" s="39" t="inlineStr">
        <is>
          <t>Не использован</t>
        </is>
      </c>
      <c r="H2067" s="148" t="n"/>
      <c r="I2067" s="34" t="str"/>
      <c r="J2067" s="34" t="str"/>
      <c r="K2067" s="130" t="n">
        <v>60</v>
      </c>
      <c r="L2067" s="43">
        <f>IF(COUNTIF($F$5:$F$2407,F2067)=1,"OK","Дубликат")</f>
        <v/>
      </c>
    </row>
    <row r="2068" ht="38" customHeight="1">
      <c r="A2068" s="146" t="inlineStr">
        <is>
          <t>BONUS-L1-FRIEND-15</t>
        </is>
      </c>
      <c r="B2068" s="39" t="inlineStr">
        <is>
          <t>1 уровень</t>
        </is>
      </c>
      <c r="C2068" s="34" t="inlineStr">
        <is>
          <t>Призы не на абонементы</t>
        </is>
      </c>
      <c r="D2068" s="34" t="inlineStr">
        <is>
          <t>Скидка 15% на второй абонемент для подруги</t>
        </is>
      </c>
      <c r="E2068" s="34" t="inlineStr">
        <is>
          <t>При покупке второго абонемента для подруги</t>
        </is>
      </c>
      <c r="F2068" s="147" t="inlineStr">
        <is>
          <t>FW-L1-ZSC9J-2RAQ6</t>
        </is>
      </c>
      <c r="G2068" s="39" t="inlineStr">
        <is>
          <t>Не использован</t>
        </is>
      </c>
      <c r="H2068" s="148" t="n"/>
      <c r="I2068" s="34" t="str"/>
      <c r="J2068" s="34" t="str"/>
      <c r="K2068" s="130" t="n">
        <v>61</v>
      </c>
      <c r="L2068" s="43">
        <f>IF(COUNTIF($F$5:$F$2407,F2068)=1,"OK","Дубликат")</f>
        <v/>
      </c>
    </row>
    <row r="2069" ht="38" customHeight="1">
      <c r="A2069" s="146" t="inlineStr">
        <is>
          <t>BONUS-L1-FRIEND-15</t>
        </is>
      </c>
      <c r="B2069" s="39" t="inlineStr">
        <is>
          <t>1 уровень</t>
        </is>
      </c>
      <c r="C2069" s="34" t="inlineStr">
        <is>
          <t>Призы не на абонементы</t>
        </is>
      </c>
      <c r="D2069" s="34" t="inlineStr">
        <is>
          <t>Скидка 15% на второй абонемент для подруги</t>
        </is>
      </c>
      <c r="E2069" s="34" t="inlineStr">
        <is>
          <t>При покупке второго абонемента для подруги</t>
        </is>
      </c>
      <c r="F2069" s="147" t="inlineStr">
        <is>
          <t>FW-L1-5N6QP-KR4NE</t>
        </is>
      </c>
      <c r="G2069" s="39" t="inlineStr">
        <is>
          <t>Не использован</t>
        </is>
      </c>
      <c r="H2069" s="148" t="n"/>
      <c r="I2069" s="34" t="str"/>
      <c r="J2069" s="34" t="str"/>
      <c r="K2069" s="130" t="n">
        <v>62</v>
      </c>
      <c r="L2069" s="43">
        <f>IF(COUNTIF($F$5:$F$2407,F2069)=1,"OK","Дубликат")</f>
        <v/>
      </c>
    </row>
    <row r="2070" ht="38" customHeight="1">
      <c r="A2070" s="146" t="inlineStr">
        <is>
          <t>BONUS-L1-FRIEND-15</t>
        </is>
      </c>
      <c r="B2070" s="39" t="inlineStr">
        <is>
          <t>1 уровень</t>
        </is>
      </c>
      <c r="C2070" s="34" t="inlineStr">
        <is>
          <t>Призы не на абонементы</t>
        </is>
      </c>
      <c r="D2070" s="34" t="inlineStr">
        <is>
          <t>Скидка 15% на второй абонемент для подруги</t>
        </is>
      </c>
      <c r="E2070" s="34" t="inlineStr">
        <is>
          <t>При покупке второго абонемента для подруги</t>
        </is>
      </c>
      <c r="F2070" s="147" t="inlineStr">
        <is>
          <t>FW-L1-ZAAVD-UWCFV</t>
        </is>
      </c>
      <c r="G2070" s="39" t="inlineStr">
        <is>
          <t>Не использован</t>
        </is>
      </c>
      <c r="H2070" s="148" t="n"/>
      <c r="I2070" s="34" t="str"/>
      <c r="J2070" s="34" t="str"/>
      <c r="K2070" s="130" t="n">
        <v>63</v>
      </c>
      <c r="L2070" s="43">
        <f>IF(COUNTIF($F$5:$F$2407,F2070)=1,"OK","Дубликат")</f>
        <v/>
      </c>
    </row>
    <row r="2071" ht="38" customHeight="1">
      <c r="A2071" s="146" t="inlineStr">
        <is>
          <t>BONUS-L1-FRIEND-15</t>
        </is>
      </c>
      <c r="B2071" s="39" t="inlineStr">
        <is>
          <t>1 уровень</t>
        </is>
      </c>
      <c r="C2071" s="34" t="inlineStr">
        <is>
          <t>Призы не на абонементы</t>
        </is>
      </c>
      <c r="D2071" s="34" t="inlineStr">
        <is>
          <t>Скидка 15% на второй абонемент для подруги</t>
        </is>
      </c>
      <c r="E2071" s="34" t="inlineStr">
        <is>
          <t>При покупке второго абонемента для подруги</t>
        </is>
      </c>
      <c r="F2071" s="147" t="inlineStr">
        <is>
          <t>FW-L1-LWY44-QT568</t>
        </is>
      </c>
      <c r="G2071" s="39" t="inlineStr">
        <is>
          <t>Не использован</t>
        </is>
      </c>
      <c r="H2071" s="148" t="n"/>
      <c r="I2071" s="34" t="str"/>
      <c r="J2071" s="34" t="str"/>
      <c r="K2071" s="130" t="n">
        <v>64</v>
      </c>
      <c r="L2071" s="43">
        <f>IF(COUNTIF($F$5:$F$2407,F2071)=1,"OK","Дубликат")</f>
        <v/>
      </c>
    </row>
    <row r="2072" ht="38" customHeight="1">
      <c r="A2072" s="146" t="inlineStr">
        <is>
          <t>BONUS-L1-FRIEND-15</t>
        </is>
      </c>
      <c r="B2072" s="39" t="inlineStr">
        <is>
          <t>1 уровень</t>
        </is>
      </c>
      <c r="C2072" s="34" t="inlineStr">
        <is>
          <t>Призы не на абонементы</t>
        </is>
      </c>
      <c r="D2072" s="34" t="inlineStr">
        <is>
          <t>Скидка 15% на второй абонемент для подруги</t>
        </is>
      </c>
      <c r="E2072" s="34" t="inlineStr">
        <is>
          <t>При покупке второго абонемента для подруги</t>
        </is>
      </c>
      <c r="F2072" s="147" t="inlineStr">
        <is>
          <t>FW-L1-7PGA7-MAEQC</t>
        </is>
      </c>
      <c r="G2072" s="39" t="inlineStr">
        <is>
          <t>Не использован</t>
        </is>
      </c>
      <c r="H2072" s="148" t="n"/>
      <c r="I2072" s="34" t="str"/>
      <c r="J2072" s="34" t="str"/>
      <c r="K2072" s="130" t="n">
        <v>65</v>
      </c>
      <c r="L2072" s="43">
        <f>IF(COUNTIF($F$5:$F$2407,F2072)=1,"OK","Дубликат")</f>
        <v/>
      </c>
    </row>
    <row r="2073" ht="38" customHeight="1">
      <c r="A2073" s="146" t="inlineStr">
        <is>
          <t>BONUS-L1-FRIEND-15</t>
        </is>
      </c>
      <c r="B2073" s="39" t="inlineStr">
        <is>
          <t>1 уровень</t>
        </is>
      </c>
      <c r="C2073" s="34" t="inlineStr">
        <is>
          <t>Призы не на абонементы</t>
        </is>
      </c>
      <c r="D2073" s="34" t="inlineStr">
        <is>
          <t>Скидка 15% на второй абонемент для подруги</t>
        </is>
      </c>
      <c r="E2073" s="34" t="inlineStr">
        <is>
          <t>При покупке второго абонемента для подруги</t>
        </is>
      </c>
      <c r="F2073" s="147" t="inlineStr">
        <is>
          <t>FW-L1-6JHY9-LBT2X</t>
        </is>
      </c>
      <c r="G2073" s="39" t="inlineStr">
        <is>
          <t>Не использован</t>
        </is>
      </c>
      <c r="H2073" s="148" t="n"/>
      <c r="I2073" s="34" t="str"/>
      <c r="J2073" s="34" t="str"/>
      <c r="K2073" s="130" t="n">
        <v>66</v>
      </c>
      <c r="L2073" s="43">
        <f>IF(COUNTIF($F$5:$F$2407,F2073)=1,"OK","Дубликат")</f>
        <v/>
      </c>
    </row>
    <row r="2074" ht="38" customHeight="1">
      <c r="A2074" s="146" t="inlineStr">
        <is>
          <t>BONUS-L1-FRIEND-15</t>
        </is>
      </c>
      <c r="B2074" s="39" t="inlineStr">
        <is>
          <t>1 уровень</t>
        </is>
      </c>
      <c r="C2074" s="34" t="inlineStr">
        <is>
          <t>Призы не на абонементы</t>
        </is>
      </c>
      <c r="D2074" s="34" t="inlineStr">
        <is>
          <t>Скидка 15% на второй абонемент для подруги</t>
        </is>
      </c>
      <c r="E2074" s="34" t="inlineStr">
        <is>
          <t>При покупке второго абонемента для подруги</t>
        </is>
      </c>
      <c r="F2074" s="147" t="inlineStr">
        <is>
          <t>FW-L1-XLL7N-7NZ5Q</t>
        </is>
      </c>
      <c r="G2074" s="39" t="inlineStr">
        <is>
          <t>Не использован</t>
        </is>
      </c>
      <c r="H2074" s="148" t="n"/>
      <c r="I2074" s="34" t="str"/>
      <c r="J2074" s="34" t="str"/>
      <c r="K2074" s="130" t="n">
        <v>67</v>
      </c>
      <c r="L2074" s="43">
        <f>IF(COUNTIF($F$5:$F$2407,F2074)=1,"OK","Дубликат")</f>
        <v/>
      </c>
    </row>
    <row r="2075" ht="38" customHeight="1">
      <c r="A2075" s="146" t="inlineStr">
        <is>
          <t>BONUS-L1-FRIEND-15</t>
        </is>
      </c>
      <c r="B2075" s="39" t="inlineStr">
        <is>
          <t>1 уровень</t>
        </is>
      </c>
      <c r="C2075" s="34" t="inlineStr">
        <is>
          <t>Призы не на абонементы</t>
        </is>
      </c>
      <c r="D2075" s="34" t="inlineStr">
        <is>
          <t>Скидка 15% на второй абонемент для подруги</t>
        </is>
      </c>
      <c r="E2075" s="34" t="inlineStr">
        <is>
          <t>При покупке второго абонемента для подруги</t>
        </is>
      </c>
      <c r="F2075" s="147" t="inlineStr">
        <is>
          <t>FW-L1-VQHLY-GYUJG</t>
        </is>
      </c>
      <c r="G2075" s="39" t="inlineStr">
        <is>
          <t>Не использован</t>
        </is>
      </c>
      <c r="H2075" s="148" t="n"/>
      <c r="I2075" s="34" t="str"/>
      <c r="J2075" s="34" t="str"/>
      <c r="K2075" s="130" t="n">
        <v>68</v>
      </c>
      <c r="L2075" s="43">
        <f>IF(COUNTIF($F$5:$F$2407,F2075)=1,"OK","Дубликат")</f>
        <v/>
      </c>
    </row>
    <row r="2076" ht="38" customHeight="1">
      <c r="A2076" s="146" t="inlineStr">
        <is>
          <t>BONUS-L1-FRIEND-15</t>
        </is>
      </c>
      <c r="B2076" s="39" t="inlineStr">
        <is>
          <t>1 уровень</t>
        </is>
      </c>
      <c r="C2076" s="34" t="inlineStr">
        <is>
          <t>Призы не на абонементы</t>
        </is>
      </c>
      <c r="D2076" s="34" t="inlineStr">
        <is>
          <t>Скидка 15% на второй абонемент для подруги</t>
        </is>
      </c>
      <c r="E2076" s="34" t="inlineStr">
        <is>
          <t>При покупке второго абонемента для подруги</t>
        </is>
      </c>
      <c r="F2076" s="147" t="inlineStr">
        <is>
          <t>FW-L1-2JF88-XWB39</t>
        </is>
      </c>
      <c r="G2076" s="39" t="inlineStr">
        <is>
          <t>Не использован</t>
        </is>
      </c>
      <c r="H2076" s="148" t="n"/>
      <c r="I2076" s="34" t="str"/>
      <c r="J2076" s="34" t="str"/>
      <c r="K2076" s="130" t="n">
        <v>69</v>
      </c>
      <c r="L2076" s="43">
        <f>IF(COUNTIF($F$5:$F$2407,F2076)=1,"OK","Дубликат")</f>
        <v/>
      </c>
    </row>
    <row r="2077" ht="38" customHeight="1">
      <c r="A2077" s="146" t="inlineStr">
        <is>
          <t>BONUS-L1-FRIEND-15</t>
        </is>
      </c>
      <c r="B2077" s="39" t="inlineStr">
        <is>
          <t>1 уровень</t>
        </is>
      </c>
      <c r="C2077" s="34" t="inlineStr">
        <is>
          <t>Призы не на абонементы</t>
        </is>
      </c>
      <c r="D2077" s="34" t="inlineStr">
        <is>
          <t>Скидка 15% на второй абонемент для подруги</t>
        </is>
      </c>
      <c r="E2077" s="34" t="inlineStr">
        <is>
          <t>При покупке второго абонемента для подруги</t>
        </is>
      </c>
      <c r="F2077" s="147" t="inlineStr">
        <is>
          <t>FW-L1-DK9CP-5YV38</t>
        </is>
      </c>
      <c r="G2077" s="39" t="inlineStr">
        <is>
          <t>Не использован</t>
        </is>
      </c>
      <c r="H2077" s="148" t="n"/>
      <c r="I2077" s="34" t="str"/>
      <c r="J2077" s="34" t="str"/>
      <c r="K2077" s="130" t="n">
        <v>70</v>
      </c>
      <c r="L2077" s="43">
        <f>IF(COUNTIF($F$5:$F$2407,F2077)=1,"OK","Дубликат")</f>
        <v/>
      </c>
    </row>
    <row r="2078" ht="38" customHeight="1">
      <c r="A2078" s="146" t="inlineStr">
        <is>
          <t>BONUS-L1-FRIEND-15</t>
        </is>
      </c>
      <c r="B2078" s="39" t="inlineStr">
        <is>
          <t>1 уровень</t>
        </is>
      </c>
      <c r="C2078" s="34" t="inlineStr">
        <is>
          <t>Призы не на абонементы</t>
        </is>
      </c>
      <c r="D2078" s="34" t="inlineStr">
        <is>
          <t>Скидка 15% на второй абонемент для подруги</t>
        </is>
      </c>
      <c r="E2078" s="34" t="inlineStr">
        <is>
          <t>При покупке второго абонемента для подруги</t>
        </is>
      </c>
      <c r="F2078" s="147" t="inlineStr">
        <is>
          <t>FW-L1-UPYP9-7LDTM</t>
        </is>
      </c>
      <c r="G2078" s="39" t="inlineStr">
        <is>
          <t>Не использован</t>
        </is>
      </c>
      <c r="H2078" s="148" t="n"/>
      <c r="I2078" s="34" t="str"/>
      <c r="J2078" s="34" t="str"/>
      <c r="K2078" s="130" t="n">
        <v>71</v>
      </c>
      <c r="L2078" s="43">
        <f>IF(COUNTIF($F$5:$F$2407,F2078)=1,"OK","Дубликат")</f>
        <v/>
      </c>
    </row>
    <row r="2079" ht="38" customHeight="1">
      <c r="A2079" s="146" t="inlineStr">
        <is>
          <t>BONUS-L1-FRIEND-15</t>
        </is>
      </c>
      <c r="B2079" s="39" t="inlineStr">
        <is>
          <t>1 уровень</t>
        </is>
      </c>
      <c r="C2079" s="34" t="inlineStr">
        <is>
          <t>Призы не на абонементы</t>
        </is>
      </c>
      <c r="D2079" s="34" t="inlineStr">
        <is>
          <t>Скидка 15% на второй абонемент для подруги</t>
        </is>
      </c>
      <c r="E2079" s="34" t="inlineStr">
        <is>
          <t>При покупке второго абонемента для подруги</t>
        </is>
      </c>
      <c r="F2079" s="147" t="inlineStr">
        <is>
          <t>FW-L1-SDNSA-ZMXE8</t>
        </is>
      </c>
      <c r="G2079" s="39" t="inlineStr">
        <is>
          <t>Не использован</t>
        </is>
      </c>
      <c r="H2079" s="148" t="n"/>
      <c r="I2079" s="34" t="str"/>
      <c r="J2079" s="34" t="str"/>
      <c r="K2079" s="130" t="n">
        <v>72</v>
      </c>
      <c r="L2079" s="43">
        <f>IF(COUNTIF($F$5:$F$2407,F2079)=1,"OK","Дубликат")</f>
        <v/>
      </c>
    </row>
    <row r="2080" ht="38" customHeight="1">
      <c r="A2080" s="146" t="inlineStr">
        <is>
          <t>BONUS-L1-FRIEND-15</t>
        </is>
      </c>
      <c r="B2080" s="39" t="inlineStr">
        <is>
          <t>1 уровень</t>
        </is>
      </c>
      <c r="C2080" s="34" t="inlineStr">
        <is>
          <t>Призы не на абонементы</t>
        </is>
      </c>
      <c r="D2080" s="34" t="inlineStr">
        <is>
          <t>Скидка 15% на второй абонемент для подруги</t>
        </is>
      </c>
      <c r="E2080" s="34" t="inlineStr">
        <is>
          <t>При покупке второго абонемента для подруги</t>
        </is>
      </c>
      <c r="F2080" s="147" t="inlineStr">
        <is>
          <t>FW-L1-ZG28V-2RMZ2</t>
        </is>
      </c>
      <c r="G2080" s="39" t="inlineStr">
        <is>
          <t>Не использован</t>
        </is>
      </c>
      <c r="H2080" s="148" t="n"/>
      <c r="I2080" s="34" t="str"/>
      <c r="J2080" s="34" t="str"/>
      <c r="K2080" s="130" t="n">
        <v>73</v>
      </c>
      <c r="L2080" s="43">
        <f>IF(COUNTIF($F$5:$F$2407,F2080)=1,"OK","Дубликат")</f>
        <v/>
      </c>
    </row>
    <row r="2081" ht="38" customHeight="1">
      <c r="A2081" s="146" t="inlineStr">
        <is>
          <t>BONUS-L1-FRIEND-15</t>
        </is>
      </c>
      <c r="B2081" s="39" t="inlineStr">
        <is>
          <t>1 уровень</t>
        </is>
      </c>
      <c r="C2081" s="34" t="inlineStr">
        <is>
          <t>Призы не на абонементы</t>
        </is>
      </c>
      <c r="D2081" s="34" t="inlineStr">
        <is>
          <t>Скидка 15% на второй абонемент для подруги</t>
        </is>
      </c>
      <c r="E2081" s="34" t="inlineStr">
        <is>
          <t>При покупке второго абонемента для подруги</t>
        </is>
      </c>
      <c r="F2081" s="147" t="inlineStr">
        <is>
          <t>FW-L1-NMCUG-T6L3N</t>
        </is>
      </c>
      <c r="G2081" s="39" t="inlineStr">
        <is>
          <t>Не использован</t>
        </is>
      </c>
      <c r="H2081" s="148" t="n"/>
      <c r="I2081" s="34" t="str"/>
      <c r="J2081" s="34" t="str"/>
      <c r="K2081" s="130" t="n">
        <v>74</v>
      </c>
      <c r="L2081" s="43">
        <f>IF(COUNTIF($F$5:$F$2407,F2081)=1,"OK","Дубликат")</f>
        <v/>
      </c>
    </row>
    <row r="2082" ht="38" customHeight="1">
      <c r="A2082" s="146" t="inlineStr">
        <is>
          <t>BONUS-L1-FRIEND-15</t>
        </is>
      </c>
      <c r="B2082" s="39" t="inlineStr">
        <is>
          <t>1 уровень</t>
        </is>
      </c>
      <c r="C2082" s="34" t="inlineStr">
        <is>
          <t>Призы не на абонементы</t>
        </is>
      </c>
      <c r="D2082" s="34" t="inlineStr">
        <is>
          <t>Скидка 15% на второй абонемент для подруги</t>
        </is>
      </c>
      <c r="E2082" s="34" t="inlineStr">
        <is>
          <t>При покупке второго абонемента для подруги</t>
        </is>
      </c>
      <c r="F2082" s="147" t="inlineStr">
        <is>
          <t>FW-L1-Z354N-NEBUF</t>
        </is>
      </c>
      <c r="G2082" s="39" t="inlineStr">
        <is>
          <t>Не использован</t>
        </is>
      </c>
      <c r="H2082" s="148" t="n"/>
      <c r="I2082" s="34" t="str"/>
      <c r="J2082" s="34" t="str"/>
      <c r="K2082" s="130" t="n">
        <v>75</v>
      </c>
      <c r="L2082" s="43">
        <f>IF(COUNTIF($F$5:$F$2407,F2082)=1,"OK","Дубликат")</f>
        <v/>
      </c>
    </row>
    <row r="2083" ht="38" customHeight="1">
      <c r="A2083" s="146" t="inlineStr">
        <is>
          <t>BONUS-L1-FRIEND-15</t>
        </is>
      </c>
      <c r="B2083" s="39" t="inlineStr">
        <is>
          <t>1 уровень</t>
        </is>
      </c>
      <c r="C2083" s="34" t="inlineStr">
        <is>
          <t>Призы не на абонементы</t>
        </is>
      </c>
      <c r="D2083" s="34" t="inlineStr">
        <is>
          <t>Скидка 15% на второй абонемент для подруги</t>
        </is>
      </c>
      <c r="E2083" s="34" t="inlineStr">
        <is>
          <t>При покупке второго абонемента для подруги</t>
        </is>
      </c>
      <c r="F2083" s="147" t="inlineStr">
        <is>
          <t>FW-L1-FQGAX-AXJL5</t>
        </is>
      </c>
      <c r="G2083" s="39" t="inlineStr">
        <is>
          <t>Не использован</t>
        </is>
      </c>
      <c r="H2083" s="148" t="n"/>
      <c r="I2083" s="34" t="str"/>
      <c r="J2083" s="34" t="str"/>
      <c r="K2083" s="130" t="n">
        <v>76</v>
      </c>
      <c r="L2083" s="43">
        <f>IF(COUNTIF($F$5:$F$2407,F2083)=1,"OK","Дубликат")</f>
        <v/>
      </c>
    </row>
    <row r="2084" ht="38" customHeight="1">
      <c r="A2084" s="146" t="inlineStr">
        <is>
          <t>BONUS-L1-FRIEND-15</t>
        </is>
      </c>
      <c r="B2084" s="39" t="inlineStr">
        <is>
          <t>1 уровень</t>
        </is>
      </c>
      <c r="C2084" s="34" t="inlineStr">
        <is>
          <t>Призы не на абонементы</t>
        </is>
      </c>
      <c r="D2084" s="34" t="inlineStr">
        <is>
          <t>Скидка 15% на второй абонемент для подруги</t>
        </is>
      </c>
      <c r="E2084" s="34" t="inlineStr">
        <is>
          <t>При покупке второго абонемента для подруги</t>
        </is>
      </c>
      <c r="F2084" s="147" t="inlineStr">
        <is>
          <t>FW-L1-RPSQN-3DX8A</t>
        </is>
      </c>
      <c r="G2084" s="39" t="inlineStr">
        <is>
          <t>Не использован</t>
        </is>
      </c>
      <c r="H2084" s="148" t="n"/>
      <c r="I2084" s="34" t="str"/>
      <c r="J2084" s="34" t="str"/>
      <c r="K2084" s="130" t="n">
        <v>77</v>
      </c>
      <c r="L2084" s="43">
        <f>IF(COUNTIF($F$5:$F$2407,F2084)=1,"OK","Дубликат")</f>
        <v/>
      </c>
    </row>
    <row r="2085" ht="38" customHeight="1">
      <c r="A2085" s="146" t="inlineStr">
        <is>
          <t>BONUS-L1-FRIEND-15</t>
        </is>
      </c>
      <c r="B2085" s="39" t="inlineStr">
        <is>
          <t>1 уровень</t>
        </is>
      </c>
      <c r="C2085" s="34" t="inlineStr">
        <is>
          <t>Призы не на абонементы</t>
        </is>
      </c>
      <c r="D2085" s="34" t="inlineStr">
        <is>
          <t>Скидка 15% на второй абонемент для подруги</t>
        </is>
      </c>
      <c r="E2085" s="34" t="inlineStr">
        <is>
          <t>При покупке второго абонемента для подруги</t>
        </is>
      </c>
      <c r="F2085" s="147" t="inlineStr">
        <is>
          <t>FW-L1-A4G4U-QWLWP</t>
        </is>
      </c>
      <c r="G2085" s="39" t="inlineStr">
        <is>
          <t>Не использован</t>
        </is>
      </c>
      <c r="H2085" s="148" t="n"/>
      <c r="I2085" s="34" t="str"/>
      <c r="J2085" s="34" t="str"/>
      <c r="K2085" s="130" t="n">
        <v>78</v>
      </c>
      <c r="L2085" s="43">
        <f>IF(COUNTIF($F$5:$F$2407,F2085)=1,"OK","Дубликат")</f>
        <v/>
      </c>
    </row>
    <row r="2086" ht="38" customHeight="1">
      <c r="A2086" s="146" t="inlineStr">
        <is>
          <t>BONUS-L1-FRIEND-15</t>
        </is>
      </c>
      <c r="B2086" s="39" t="inlineStr">
        <is>
          <t>1 уровень</t>
        </is>
      </c>
      <c r="C2086" s="34" t="inlineStr">
        <is>
          <t>Призы не на абонементы</t>
        </is>
      </c>
      <c r="D2086" s="34" t="inlineStr">
        <is>
          <t>Скидка 15% на второй абонемент для подруги</t>
        </is>
      </c>
      <c r="E2086" s="34" t="inlineStr">
        <is>
          <t>При покупке второго абонемента для подруги</t>
        </is>
      </c>
      <c r="F2086" s="147" t="inlineStr">
        <is>
          <t>FW-L1-EYNN9-UUZUJ</t>
        </is>
      </c>
      <c r="G2086" s="39" t="inlineStr">
        <is>
          <t>Не использован</t>
        </is>
      </c>
      <c r="H2086" s="148" t="n"/>
      <c r="I2086" s="34" t="str"/>
      <c r="J2086" s="34" t="str"/>
      <c r="K2086" s="130" t="n">
        <v>79</v>
      </c>
      <c r="L2086" s="43">
        <f>IF(COUNTIF($F$5:$F$2407,F2086)=1,"OK","Дубликат")</f>
        <v/>
      </c>
    </row>
    <row r="2087" ht="38" customHeight="1">
      <c r="A2087" s="146" t="inlineStr">
        <is>
          <t>BONUS-L1-FRIEND-15</t>
        </is>
      </c>
      <c r="B2087" s="39" t="inlineStr">
        <is>
          <t>1 уровень</t>
        </is>
      </c>
      <c r="C2087" s="34" t="inlineStr">
        <is>
          <t>Призы не на абонементы</t>
        </is>
      </c>
      <c r="D2087" s="34" t="inlineStr">
        <is>
          <t>Скидка 15% на второй абонемент для подруги</t>
        </is>
      </c>
      <c r="E2087" s="34" t="inlineStr">
        <is>
          <t>При покупке второго абонемента для подруги</t>
        </is>
      </c>
      <c r="F2087" s="147" t="inlineStr">
        <is>
          <t>FW-L1-VPR7N-UB5KB</t>
        </is>
      </c>
      <c r="G2087" s="39" t="inlineStr">
        <is>
          <t>Не использован</t>
        </is>
      </c>
      <c r="H2087" s="148" t="n"/>
      <c r="I2087" s="34" t="str"/>
      <c r="J2087" s="34" t="str"/>
      <c r="K2087" s="130" t="n">
        <v>80</v>
      </c>
      <c r="L2087" s="43">
        <f>IF(COUNTIF($F$5:$F$2407,F2087)=1,"OK","Дубликат")</f>
        <v/>
      </c>
    </row>
    <row r="2088" ht="38" customHeight="1">
      <c r="A2088" s="146" t="inlineStr">
        <is>
          <t>BONUS-L1-FRIEND-15</t>
        </is>
      </c>
      <c r="B2088" s="39" t="inlineStr">
        <is>
          <t>1 уровень</t>
        </is>
      </c>
      <c r="C2088" s="34" t="inlineStr">
        <is>
          <t>Призы не на абонементы</t>
        </is>
      </c>
      <c r="D2088" s="34" t="inlineStr">
        <is>
          <t>Скидка 15% на второй абонемент для подруги</t>
        </is>
      </c>
      <c r="E2088" s="34" t="inlineStr">
        <is>
          <t>При покупке второго абонемента для подруги</t>
        </is>
      </c>
      <c r="F2088" s="147" t="inlineStr">
        <is>
          <t>FW-L1-HANCC-AWCPR</t>
        </is>
      </c>
      <c r="G2088" s="39" t="inlineStr">
        <is>
          <t>Не использован</t>
        </is>
      </c>
      <c r="H2088" s="148" t="n"/>
      <c r="I2088" s="34" t="str"/>
      <c r="J2088" s="34" t="str"/>
      <c r="K2088" s="130" t="n">
        <v>81</v>
      </c>
      <c r="L2088" s="43">
        <f>IF(COUNTIF($F$5:$F$2407,F2088)=1,"OK","Дубликат")</f>
        <v/>
      </c>
    </row>
    <row r="2089" ht="38" customHeight="1">
      <c r="A2089" s="146" t="inlineStr">
        <is>
          <t>BONUS-L1-FRIEND-15</t>
        </is>
      </c>
      <c r="B2089" s="39" t="inlineStr">
        <is>
          <t>1 уровень</t>
        </is>
      </c>
      <c r="C2089" s="34" t="inlineStr">
        <is>
          <t>Призы не на абонементы</t>
        </is>
      </c>
      <c r="D2089" s="34" t="inlineStr">
        <is>
          <t>Скидка 15% на второй абонемент для подруги</t>
        </is>
      </c>
      <c r="E2089" s="34" t="inlineStr">
        <is>
          <t>При покупке второго абонемента для подруги</t>
        </is>
      </c>
      <c r="F2089" s="147" t="inlineStr">
        <is>
          <t>FW-L1-4SN4C-2HQGB</t>
        </is>
      </c>
      <c r="G2089" s="39" t="inlineStr">
        <is>
          <t>Не использован</t>
        </is>
      </c>
      <c r="H2089" s="148" t="n"/>
      <c r="I2089" s="34" t="str"/>
      <c r="J2089" s="34" t="str"/>
      <c r="K2089" s="130" t="n">
        <v>82</v>
      </c>
      <c r="L2089" s="43">
        <f>IF(COUNTIF($F$5:$F$2407,F2089)=1,"OK","Дубликат")</f>
        <v/>
      </c>
    </row>
    <row r="2090" ht="38" customHeight="1">
      <c r="A2090" s="146" t="inlineStr">
        <is>
          <t>BONUS-L1-FRIEND-15</t>
        </is>
      </c>
      <c r="B2090" s="39" t="inlineStr">
        <is>
          <t>1 уровень</t>
        </is>
      </c>
      <c r="C2090" s="34" t="inlineStr">
        <is>
          <t>Призы не на абонементы</t>
        </is>
      </c>
      <c r="D2090" s="34" t="inlineStr">
        <is>
          <t>Скидка 15% на второй абонемент для подруги</t>
        </is>
      </c>
      <c r="E2090" s="34" t="inlineStr">
        <is>
          <t>При покупке второго абонемента для подруги</t>
        </is>
      </c>
      <c r="F2090" s="147" t="inlineStr">
        <is>
          <t>FW-L1-TLZLJ-VHP9G</t>
        </is>
      </c>
      <c r="G2090" s="39" t="inlineStr">
        <is>
          <t>Не использован</t>
        </is>
      </c>
      <c r="H2090" s="148" t="n"/>
      <c r="I2090" s="34" t="str"/>
      <c r="J2090" s="34" t="str"/>
      <c r="K2090" s="130" t="n">
        <v>83</v>
      </c>
      <c r="L2090" s="43">
        <f>IF(COUNTIF($F$5:$F$2407,F2090)=1,"OK","Дубликат")</f>
        <v/>
      </c>
    </row>
    <row r="2091" ht="38" customHeight="1">
      <c r="A2091" s="146" t="inlineStr">
        <is>
          <t>BONUS-L1-FRIEND-15</t>
        </is>
      </c>
      <c r="B2091" s="39" t="inlineStr">
        <is>
          <t>1 уровень</t>
        </is>
      </c>
      <c r="C2091" s="34" t="inlineStr">
        <is>
          <t>Призы не на абонементы</t>
        </is>
      </c>
      <c r="D2091" s="34" t="inlineStr">
        <is>
          <t>Скидка 15% на второй абонемент для подруги</t>
        </is>
      </c>
      <c r="E2091" s="34" t="inlineStr">
        <is>
          <t>При покупке второго абонемента для подруги</t>
        </is>
      </c>
      <c r="F2091" s="147" t="inlineStr">
        <is>
          <t>FW-L1-SDHZ7-EASSG</t>
        </is>
      </c>
      <c r="G2091" s="39" t="inlineStr">
        <is>
          <t>Не использован</t>
        </is>
      </c>
      <c r="H2091" s="148" t="n"/>
      <c r="I2091" s="34" t="str"/>
      <c r="J2091" s="34" t="str"/>
      <c r="K2091" s="130" t="n">
        <v>84</v>
      </c>
      <c r="L2091" s="43">
        <f>IF(COUNTIF($F$5:$F$2407,F2091)=1,"OK","Дубликат")</f>
        <v/>
      </c>
    </row>
    <row r="2092" ht="38" customHeight="1">
      <c r="A2092" s="146" t="inlineStr">
        <is>
          <t>BONUS-L1-FRIEND-15</t>
        </is>
      </c>
      <c r="B2092" s="39" t="inlineStr">
        <is>
          <t>1 уровень</t>
        </is>
      </c>
      <c r="C2092" s="34" t="inlineStr">
        <is>
          <t>Призы не на абонементы</t>
        </is>
      </c>
      <c r="D2092" s="34" t="inlineStr">
        <is>
          <t>Скидка 15% на второй абонемент для подруги</t>
        </is>
      </c>
      <c r="E2092" s="34" t="inlineStr">
        <is>
          <t>При покупке второго абонемента для подруги</t>
        </is>
      </c>
      <c r="F2092" s="147" t="inlineStr">
        <is>
          <t>FW-L1-8N3AK-GSXBA</t>
        </is>
      </c>
      <c r="G2092" s="39" t="inlineStr">
        <is>
          <t>Не использован</t>
        </is>
      </c>
      <c r="H2092" s="148" t="n"/>
      <c r="I2092" s="34" t="str"/>
      <c r="J2092" s="34" t="str"/>
      <c r="K2092" s="130" t="n">
        <v>85</v>
      </c>
      <c r="L2092" s="43">
        <f>IF(COUNTIF($F$5:$F$2407,F2092)=1,"OK","Дубликат")</f>
        <v/>
      </c>
    </row>
    <row r="2093" ht="38" customHeight="1">
      <c r="A2093" s="146" t="inlineStr">
        <is>
          <t>BONUS-L1-FRIEND-15</t>
        </is>
      </c>
      <c r="B2093" s="39" t="inlineStr">
        <is>
          <t>1 уровень</t>
        </is>
      </c>
      <c r="C2093" s="34" t="inlineStr">
        <is>
          <t>Призы не на абонементы</t>
        </is>
      </c>
      <c r="D2093" s="34" t="inlineStr">
        <is>
          <t>Скидка 15% на второй абонемент для подруги</t>
        </is>
      </c>
      <c r="E2093" s="34" t="inlineStr">
        <is>
          <t>При покупке второго абонемента для подруги</t>
        </is>
      </c>
      <c r="F2093" s="147" t="inlineStr">
        <is>
          <t>FW-L1-G43HE-FQCVS</t>
        </is>
      </c>
      <c r="G2093" s="39" t="inlineStr">
        <is>
          <t>Не использован</t>
        </is>
      </c>
      <c r="H2093" s="148" t="n"/>
      <c r="I2093" s="34" t="str"/>
      <c r="J2093" s="34" t="str"/>
      <c r="K2093" s="130" t="n">
        <v>86</v>
      </c>
      <c r="L2093" s="43">
        <f>IF(COUNTIF($F$5:$F$2407,F2093)=1,"OK","Дубликат")</f>
        <v/>
      </c>
    </row>
    <row r="2094" ht="38" customHeight="1">
      <c r="A2094" s="146" t="inlineStr">
        <is>
          <t>BONUS-L1-FRIEND-15</t>
        </is>
      </c>
      <c r="B2094" s="39" t="inlineStr">
        <is>
          <t>1 уровень</t>
        </is>
      </c>
      <c r="C2094" s="34" t="inlineStr">
        <is>
          <t>Призы не на абонементы</t>
        </is>
      </c>
      <c r="D2094" s="34" t="inlineStr">
        <is>
          <t>Скидка 15% на второй абонемент для подруги</t>
        </is>
      </c>
      <c r="E2094" s="34" t="inlineStr">
        <is>
          <t>При покупке второго абонемента для подруги</t>
        </is>
      </c>
      <c r="F2094" s="147" t="inlineStr">
        <is>
          <t>FW-L1-5WBVS-W4FTB</t>
        </is>
      </c>
      <c r="G2094" s="39" t="inlineStr">
        <is>
          <t>Не использован</t>
        </is>
      </c>
      <c r="H2094" s="148" t="n"/>
      <c r="I2094" s="34" t="str"/>
      <c r="J2094" s="34" t="str"/>
      <c r="K2094" s="130" t="n">
        <v>87</v>
      </c>
      <c r="L2094" s="43">
        <f>IF(COUNTIF($F$5:$F$2407,F2094)=1,"OK","Дубликат")</f>
        <v/>
      </c>
    </row>
    <row r="2095" ht="38" customHeight="1">
      <c r="A2095" s="146" t="inlineStr">
        <is>
          <t>BONUS-L1-FRIEND-15</t>
        </is>
      </c>
      <c r="B2095" s="39" t="inlineStr">
        <is>
          <t>1 уровень</t>
        </is>
      </c>
      <c r="C2095" s="34" t="inlineStr">
        <is>
          <t>Призы не на абонементы</t>
        </is>
      </c>
      <c r="D2095" s="34" t="inlineStr">
        <is>
          <t>Скидка 15% на второй абонемент для подруги</t>
        </is>
      </c>
      <c r="E2095" s="34" t="inlineStr">
        <is>
          <t>При покупке второго абонемента для подруги</t>
        </is>
      </c>
      <c r="F2095" s="147" t="inlineStr">
        <is>
          <t>FW-L1-7N9EZ-XJV4L</t>
        </is>
      </c>
      <c r="G2095" s="39" t="inlineStr">
        <is>
          <t>Не использован</t>
        </is>
      </c>
      <c r="H2095" s="148" t="n"/>
      <c r="I2095" s="34" t="str"/>
      <c r="J2095" s="34" t="str"/>
      <c r="K2095" s="130" t="n">
        <v>88</v>
      </c>
      <c r="L2095" s="43">
        <f>IF(COUNTIF($F$5:$F$2407,F2095)=1,"OK","Дубликат")</f>
        <v/>
      </c>
    </row>
    <row r="2096" ht="38" customHeight="1">
      <c r="A2096" s="146" t="inlineStr">
        <is>
          <t>BONUS-L1-FRIEND-15</t>
        </is>
      </c>
      <c r="B2096" s="39" t="inlineStr">
        <is>
          <t>1 уровень</t>
        </is>
      </c>
      <c r="C2096" s="34" t="inlineStr">
        <is>
          <t>Призы не на абонементы</t>
        </is>
      </c>
      <c r="D2096" s="34" t="inlineStr">
        <is>
          <t>Скидка 15% на второй абонемент для подруги</t>
        </is>
      </c>
      <c r="E2096" s="34" t="inlineStr">
        <is>
          <t>При покупке второго абонемента для подруги</t>
        </is>
      </c>
      <c r="F2096" s="147" t="inlineStr">
        <is>
          <t>FW-L1-3H5HB-Z28K6</t>
        </is>
      </c>
      <c r="G2096" s="39" t="inlineStr">
        <is>
          <t>Не использован</t>
        </is>
      </c>
      <c r="H2096" s="148" t="n"/>
      <c r="I2096" s="34" t="str"/>
      <c r="J2096" s="34" t="str"/>
      <c r="K2096" s="130" t="n">
        <v>89</v>
      </c>
      <c r="L2096" s="43">
        <f>IF(COUNTIF($F$5:$F$2407,F2096)=1,"OK","Дубликат")</f>
        <v/>
      </c>
    </row>
    <row r="2097" ht="38" customHeight="1">
      <c r="A2097" s="146" t="inlineStr">
        <is>
          <t>BONUS-L1-FRIEND-15</t>
        </is>
      </c>
      <c r="B2097" s="39" t="inlineStr">
        <is>
          <t>1 уровень</t>
        </is>
      </c>
      <c r="C2097" s="34" t="inlineStr">
        <is>
          <t>Призы не на абонементы</t>
        </is>
      </c>
      <c r="D2097" s="34" t="inlineStr">
        <is>
          <t>Скидка 15% на второй абонемент для подруги</t>
        </is>
      </c>
      <c r="E2097" s="34" t="inlineStr">
        <is>
          <t>При покупке второго абонемента для подруги</t>
        </is>
      </c>
      <c r="F2097" s="147" t="inlineStr">
        <is>
          <t>FW-L1-S6GS3-PLZZU</t>
        </is>
      </c>
      <c r="G2097" s="39" t="inlineStr">
        <is>
          <t>Не использован</t>
        </is>
      </c>
      <c r="H2097" s="148" t="n"/>
      <c r="I2097" s="34" t="str"/>
      <c r="J2097" s="34" t="str"/>
      <c r="K2097" s="130" t="n">
        <v>90</v>
      </c>
      <c r="L2097" s="43">
        <f>IF(COUNTIF($F$5:$F$2407,F2097)=1,"OK","Дубликат")</f>
        <v/>
      </c>
    </row>
    <row r="2098" ht="38" customHeight="1">
      <c r="A2098" s="146" t="inlineStr">
        <is>
          <t>BONUS-L1-FRIEND-15</t>
        </is>
      </c>
      <c r="B2098" s="39" t="inlineStr">
        <is>
          <t>1 уровень</t>
        </is>
      </c>
      <c r="C2098" s="34" t="inlineStr">
        <is>
          <t>Призы не на абонементы</t>
        </is>
      </c>
      <c r="D2098" s="34" t="inlineStr">
        <is>
          <t>Скидка 15% на второй абонемент для подруги</t>
        </is>
      </c>
      <c r="E2098" s="34" t="inlineStr">
        <is>
          <t>При покупке второго абонемента для подруги</t>
        </is>
      </c>
      <c r="F2098" s="147" t="inlineStr">
        <is>
          <t>FW-L1-VNGU7-EBX4S</t>
        </is>
      </c>
      <c r="G2098" s="39" t="inlineStr">
        <is>
          <t>Не использован</t>
        </is>
      </c>
      <c r="H2098" s="148" t="n"/>
      <c r="I2098" s="34" t="str"/>
      <c r="J2098" s="34" t="str"/>
      <c r="K2098" s="130" t="n">
        <v>91</v>
      </c>
      <c r="L2098" s="43">
        <f>IF(COUNTIF($F$5:$F$2407,F2098)=1,"OK","Дубликат")</f>
        <v/>
      </c>
    </row>
    <row r="2099" ht="38" customHeight="1">
      <c r="A2099" s="146" t="inlineStr">
        <is>
          <t>BONUS-L1-FRIEND-15</t>
        </is>
      </c>
      <c r="B2099" s="39" t="inlineStr">
        <is>
          <t>1 уровень</t>
        </is>
      </c>
      <c r="C2099" s="34" t="inlineStr">
        <is>
          <t>Призы не на абонементы</t>
        </is>
      </c>
      <c r="D2099" s="34" t="inlineStr">
        <is>
          <t>Скидка 15% на второй абонемент для подруги</t>
        </is>
      </c>
      <c r="E2099" s="34" t="inlineStr">
        <is>
          <t>При покупке второго абонемента для подруги</t>
        </is>
      </c>
      <c r="F2099" s="147" t="inlineStr">
        <is>
          <t>FW-L1-WRD9R-UX9J5</t>
        </is>
      </c>
      <c r="G2099" s="39" t="inlineStr">
        <is>
          <t>Не использован</t>
        </is>
      </c>
      <c r="H2099" s="148" t="n"/>
      <c r="I2099" s="34" t="str"/>
      <c r="J2099" s="34" t="str"/>
      <c r="K2099" s="130" t="n">
        <v>92</v>
      </c>
      <c r="L2099" s="43">
        <f>IF(COUNTIF($F$5:$F$2407,F2099)=1,"OK","Дубликат")</f>
        <v/>
      </c>
    </row>
    <row r="2100" ht="38" customHeight="1">
      <c r="A2100" s="146" t="inlineStr">
        <is>
          <t>BONUS-L1-FRIEND-15</t>
        </is>
      </c>
      <c r="B2100" s="39" t="inlineStr">
        <is>
          <t>1 уровень</t>
        </is>
      </c>
      <c r="C2100" s="34" t="inlineStr">
        <is>
          <t>Призы не на абонементы</t>
        </is>
      </c>
      <c r="D2100" s="34" t="inlineStr">
        <is>
          <t>Скидка 15% на второй абонемент для подруги</t>
        </is>
      </c>
      <c r="E2100" s="34" t="inlineStr">
        <is>
          <t>При покупке второго абонемента для подруги</t>
        </is>
      </c>
      <c r="F2100" s="147" t="inlineStr">
        <is>
          <t>FW-L1-5DBBW-2AMQ4</t>
        </is>
      </c>
      <c r="G2100" s="39" t="inlineStr">
        <is>
          <t>Не использован</t>
        </is>
      </c>
      <c r="H2100" s="148" t="n"/>
      <c r="I2100" s="34" t="str"/>
      <c r="J2100" s="34" t="str"/>
      <c r="K2100" s="130" t="n">
        <v>93</v>
      </c>
      <c r="L2100" s="43">
        <f>IF(COUNTIF($F$5:$F$2407,F2100)=1,"OK","Дубликат")</f>
        <v/>
      </c>
    </row>
    <row r="2101" ht="38" customHeight="1">
      <c r="A2101" s="146" t="inlineStr">
        <is>
          <t>BONUS-L1-FRIEND-15</t>
        </is>
      </c>
      <c r="B2101" s="39" t="inlineStr">
        <is>
          <t>1 уровень</t>
        </is>
      </c>
      <c r="C2101" s="34" t="inlineStr">
        <is>
          <t>Призы не на абонементы</t>
        </is>
      </c>
      <c r="D2101" s="34" t="inlineStr">
        <is>
          <t>Скидка 15% на второй абонемент для подруги</t>
        </is>
      </c>
      <c r="E2101" s="34" t="inlineStr">
        <is>
          <t>При покупке второго абонемента для подруги</t>
        </is>
      </c>
      <c r="F2101" s="147" t="inlineStr">
        <is>
          <t>FW-L1-DT4JB-LKFG8</t>
        </is>
      </c>
      <c r="G2101" s="39" t="inlineStr">
        <is>
          <t>Не использован</t>
        </is>
      </c>
      <c r="H2101" s="148" t="n"/>
      <c r="I2101" s="34" t="str"/>
      <c r="J2101" s="34" t="str"/>
      <c r="K2101" s="130" t="n">
        <v>94</v>
      </c>
      <c r="L2101" s="43">
        <f>IF(COUNTIF($F$5:$F$2407,F2101)=1,"OK","Дубликат")</f>
        <v/>
      </c>
    </row>
    <row r="2102" ht="38" customHeight="1">
      <c r="A2102" s="146" t="inlineStr">
        <is>
          <t>BONUS-L1-FRIEND-15</t>
        </is>
      </c>
      <c r="B2102" s="39" t="inlineStr">
        <is>
          <t>1 уровень</t>
        </is>
      </c>
      <c r="C2102" s="34" t="inlineStr">
        <is>
          <t>Призы не на абонементы</t>
        </is>
      </c>
      <c r="D2102" s="34" t="inlineStr">
        <is>
          <t>Скидка 15% на второй абонемент для подруги</t>
        </is>
      </c>
      <c r="E2102" s="34" t="inlineStr">
        <is>
          <t>При покупке второго абонемента для подруги</t>
        </is>
      </c>
      <c r="F2102" s="147" t="inlineStr">
        <is>
          <t>FW-L1-7YUAR-SG2ZK</t>
        </is>
      </c>
      <c r="G2102" s="39" t="inlineStr">
        <is>
          <t>Не использован</t>
        </is>
      </c>
      <c r="H2102" s="148" t="n"/>
      <c r="I2102" s="34" t="str"/>
      <c r="J2102" s="34" t="str"/>
      <c r="K2102" s="130" t="n">
        <v>95</v>
      </c>
      <c r="L2102" s="43">
        <f>IF(COUNTIF($F$5:$F$2407,F2102)=1,"OK","Дубликат")</f>
        <v/>
      </c>
    </row>
    <row r="2103" ht="38" customHeight="1">
      <c r="A2103" s="146" t="inlineStr">
        <is>
          <t>BONUS-L1-FRIEND-15</t>
        </is>
      </c>
      <c r="B2103" s="39" t="inlineStr">
        <is>
          <t>1 уровень</t>
        </is>
      </c>
      <c r="C2103" s="34" t="inlineStr">
        <is>
          <t>Призы не на абонементы</t>
        </is>
      </c>
      <c r="D2103" s="34" t="inlineStr">
        <is>
          <t>Скидка 15% на второй абонемент для подруги</t>
        </is>
      </c>
      <c r="E2103" s="34" t="inlineStr">
        <is>
          <t>При покупке второго абонемента для подруги</t>
        </is>
      </c>
      <c r="F2103" s="147" t="inlineStr">
        <is>
          <t>FW-L1-8YG4P-9PXJ8</t>
        </is>
      </c>
      <c r="G2103" s="39" t="inlineStr">
        <is>
          <t>Не использован</t>
        </is>
      </c>
      <c r="H2103" s="148" t="n"/>
      <c r="I2103" s="34" t="str"/>
      <c r="J2103" s="34" t="str"/>
      <c r="K2103" s="130" t="n">
        <v>96</v>
      </c>
      <c r="L2103" s="43">
        <f>IF(COUNTIF($F$5:$F$2407,F2103)=1,"OK","Дубликат")</f>
        <v/>
      </c>
    </row>
    <row r="2104" ht="38" customHeight="1">
      <c r="A2104" s="146" t="inlineStr">
        <is>
          <t>BONUS-L1-FRIEND-15</t>
        </is>
      </c>
      <c r="B2104" s="39" t="inlineStr">
        <is>
          <t>1 уровень</t>
        </is>
      </c>
      <c r="C2104" s="34" t="inlineStr">
        <is>
          <t>Призы не на абонементы</t>
        </is>
      </c>
      <c r="D2104" s="34" t="inlineStr">
        <is>
          <t>Скидка 15% на второй абонемент для подруги</t>
        </is>
      </c>
      <c r="E2104" s="34" t="inlineStr">
        <is>
          <t>При покупке второго абонемента для подруги</t>
        </is>
      </c>
      <c r="F2104" s="147" t="inlineStr">
        <is>
          <t>FW-L1-JJHRC-86QY2</t>
        </is>
      </c>
      <c r="G2104" s="39" t="inlineStr">
        <is>
          <t>Не использован</t>
        </is>
      </c>
      <c r="H2104" s="148" t="n"/>
      <c r="I2104" s="34" t="str"/>
      <c r="J2104" s="34" t="str"/>
      <c r="K2104" s="130" t="n">
        <v>97</v>
      </c>
      <c r="L2104" s="43">
        <f>IF(COUNTIF($F$5:$F$2407,F2104)=1,"OK","Дубликат")</f>
        <v/>
      </c>
    </row>
    <row r="2105" ht="38" customHeight="1">
      <c r="A2105" s="146" t="inlineStr">
        <is>
          <t>BONUS-L1-FRIEND-15</t>
        </is>
      </c>
      <c r="B2105" s="39" t="inlineStr">
        <is>
          <t>1 уровень</t>
        </is>
      </c>
      <c r="C2105" s="34" t="inlineStr">
        <is>
          <t>Призы не на абонементы</t>
        </is>
      </c>
      <c r="D2105" s="34" t="inlineStr">
        <is>
          <t>Скидка 15% на второй абонемент для подруги</t>
        </is>
      </c>
      <c r="E2105" s="34" t="inlineStr">
        <is>
          <t>При покупке второго абонемента для подруги</t>
        </is>
      </c>
      <c r="F2105" s="147" t="inlineStr">
        <is>
          <t>FW-L1-JTSVD-3THXB</t>
        </is>
      </c>
      <c r="G2105" s="39" t="inlineStr">
        <is>
          <t>Не использован</t>
        </is>
      </c>
      <c r="H2105" s="148" t="n"/>
      <c r="I2105" s="34" t="str"/>
      <c r="J2105" s="34" t="str"/>
      <c r="K2105" s="130" t="n">
        <v>98</v>
      </c>
      <c r="L2105" s="43">
        <f>IF(COUNTIF($F$5:$F$2407,F2105)=1,"OK","Дубликат")</f>
        <v/>
      </c>
    </row>
    <row r="2106" ht="38" customHeight="1">
      <c r="A2106" s="146" t="inlineStr">
        <is>
          <t>BONUS-L1-FRIEND-15</t>
        </is>
      </c>
      <c r="B2106" s="39" t="inlineStr">
        <is>
          <t>1 уровень</t>
        </is>
      </c>
      <c r="C2106" s="34" t="inlineStr">
        <is>
          <t>Призы не на абонементы</t>
        </is>
      </c>
      <c r="D2106" s="34" t="inlineStr">
        <is>
          <t>Скидка 15% на второй абонемент для подруги</t>
        </is>
      </c>
      <c r="E2106" s="34" t="inlineStr">
        <is>
          <t>При покупке второго абонемента для подруги</t>
        </is>
      </c>
      <c r="F2106" s="147" t="inlineStr">
        <is>
          <t>FW-L1-HV26F-WJSCX</t>
        </is>
      </c>
      <c r="G2106" s="39" t="inlineStr">
        <is>
          <t>Не использован</t>
        </is>
      </c>
      <c r="H2106" s="148" t="n"/>
      <c r="I2106" s="34" t="str"/>
      <c r="J2106" s="34" t="str"/>
      <c r="K2106" s="130" t="n">
        <v>99</v>
      </c>
      <c r="L2106" s="43">
        <f>IF(COUNTIF($F$5:$F$2407,F2106)=1,"OK","Дубликат")</f>
        <v/>
      </c>
    </row>
    <row r="2107" ht="38" customHeight="1">
      <c r="A2107" s="146" t="inlineStr">
        <is>
          <t>BONUS-L1-FRIEND-15</t>
        </is>
      </c>
      <c r="B2107" s="39" t="inlineStr">
        <is>
          <t>1 уровень</t>
        </is>
      </c>
      <c r="C2107" s="34" t="inlineStr">
        <is>
          <t>Призы не на абонементы</t>
        </is>
      </c>
      <c r="D2107" s="34" t="inlineStr">
        <is>
          <t>Скидка 15% на второй абонемент для подруги</t>
        </is>
      </c>
      <c r="E2107" s="34" t="inlineStr">
        <is>
          <t>При покупке второго абонемента для подруги</t>
        </is>
      </c>
      <c r="F2107" s="147" t="inlineStr">
        <is>
          <t>FW-L1-R2ZK7-DWJNJ</t>
        </is>
      </c>
      <c r="G2107" s="39" t="inlineStr">
        <is>
          <t>Не использован</t>
        </is>
      </c>
      <c r="H2107" s="148" t="n"/>
      <c r="I2107" s="34" t="str"/>
      <c r="J2107" s="34" t="str"/>
      <c r="K2107" s="130" t="n">
        <v>100</v>
      </c>
      <c r="L2107" s="43">
        <f>IF(COUNTIF($F$5:$F$2407,F2107)=1,"OK","Дубликат")</f>
        <v/>
      </c>
    </row>
    <row r="2108" ht="38" customHeight="1">
      <c r="A2108" s="146" t="inlineStr">
        <is>
          <t>BONUS-L1-FRIEND-15</t>
        </is>
      </c>
      <c r="B2108" s="39" t="inlineStr">
        <is>
          <t>1 уровень</t>
        </is>
      </c>
      <c r="C2108" s="34" t="inlineStr">
        <is>
          <t>Призы не на абонементы</t>
        </is>
      </c>
      <c r="D2108" s="34" t="inlineStr">
        <is>
          <t>Скидка 15% на второй абонемент для подруги</t>
        </is>
      </c>
      <c r="E2108" s="34" t="inlineStr">
        <is>
          <t>При покупке второго абонемента для подруги</t>
        </is>
      </c>
      <c r="F2108" s="147" t="inlineStr">
        <is>
          <t>FW-L1-D2BUZ-ECE2M</t>
        </is>
      </c>
      <c r="G2108" s="39" t="inlineStr">
        <is>
          <t>Не использован</t>
        </is>
      </c>
      <c r="H2108" s="148" t="n"/>
      <c r="I2108" s="34" t="str"/>
      <c r="J2108" s="34" t="str"/>
      <c r="K2108" s="130" t="n">
        <v>101</v>
      </c>
      <c r="L2108" s="43">
        <f>IF(COUNTIF($F$5:$F$2407,F2108)=1,"OK","Дубликат")</f>
        <v/>
      </c>
    </row>
    <row r="2109" ht="38" customHeight="1">
      <c r="A2109" s="146" t="inlineStr">
        <is>
          <t>BONUS-L1-FRIEND-15</t>
        </is>
      </c>
      <c r="B2109" s="39" t="inlineStr">
        <is>
          <t>1 уровень</t>
        </is>
      </c>
      <c r="C2109" s="34" t="inlineStr">
        <is>
          <t>Призы не на абонементы</t>
        </is>
      </c>
      <c r="D2109" s="34" t="inlineStr">
        <is>
          <t>Скидка 15% на второй абонемент для подруги</t>
        </is>
      </c>
      <c r="E2109" s="34" t="inlineStr">
        <is>
          <t>При покупке второго абонемента для подруги</t>
        </is>
      </c>
      <c r="F2109" s="147" t="inlineStr">
        <is>
          <t>FW-L1-JHBN4-PFFHY</t>
        </is>
      </c>
      <c r="G2109" s="39" t="inlineStr">
        <is>
          <t>Не использован</t>
        </is>
      </c>
      <c r="H2109" s="148" t="n"/>
      <c r="I2109" s="34" t="str"/>
      <c r="J2109" s="34" t="str"/>
      <c r="K2109" s="130" t="n">
        <v>102</v>
      </c>
      <c r="L2109" s="43">
        <f>IF(COUNTIF($F$5:$F$2407,F2109)=1,"OK","Дубликат")</f>
        <v/>
      </c>
    </row>
    <row r="2110" ht="38" customHeight="1">
      <c r="A2110" s="146" t="inlineStr">
        <is>
          <t>BONUS-L1-FRIEND-15</t>
        </is>
      </c>
      <c r="B2110" s="39" t="inlineStr">
        <is>
          <t>1 уровень</t>
        </is>
      </c>
      <c r="C2110" s="34" t="inlineStr">
        <is>
          <t>Призы не на абонементы</t>
        </is>
      </c>
      <c r="D2110" s="34" t="inlineStr">
        <is>
          <t>Скидка 15% на второй абонемент для подруги</t>
        </is>
      </c>
      <c r="E2110" s="34" t="inlineStr">
        <is>
          <t>При покупке второго абонемента для подруги</t>
        </is>
      </c>
      <c r="F2110" s="147" t="inlineStr">
        <is>
          <t>FW-L1-WZES3-T9TN6</t>
        </is>
      </c>
      <c r="G2110" s="39" t="inlineStr">
        <is>
          <t>Не использован</t>
        </is>
      </c>
      <c r="H2110" s="148" t="n"/>
      <c r="I2110" s="34" t="str"/>
      <c r="J2110" s="34" t="str"/>
      <c r="K2110" s="130" t="n">
        <v>103</v>
      </c>
      <c r="L2110" s="43">
        <f>IF(COUNTIF($F$5:$F$2407,F2110)=1,"OK","Дубликат")</f>
        <v/>
      </c>
    </row>
    <row r="2111" ht="38" customHeight="1">
      <c r="A2111" s="146" t="inlineStr">
        <is>
          <t>BONUS-L1-FRIEND-15</t>
        </is>
      </c>
      <c r="B2111" s="39" t="inlineStr">
        <is>
          <t>1 уровень</t>
        </is>
      </c>
      <c r="C2111" s="34" t="inlineStr">
        <is>
          <t>Призы не на абонементы</t>
        </is>
      </c>
      <c r="D2111" s="34" t="inlineStr">
        <is>
          <t>Скидка 15% на второй абонемент для подруги</t>
        </is>
      </c>
      <c r="E2111" s="34" t="inlineStr">
        <is>
          <t>При покупке второго абонемента для подруги</t>
        </is>
      </c>
      <c r="F2111" s="147" t="inlineStr">
        <is>
          <t>FW-L1-GSN6L-JP8LD</t>
        </is>
      </c>
      <c r="G2111" s="39" t="inlineStr">
        <is>
          <t>Не использован</t>
        </is>
      </c>
      <c r="H2111" s="148" t="n"/>
      <c r="I2111" s="34" t="str"/>
      <c r="J2111" s="34" t="str"/>
      <c r="K2111" s="130" t="n">
        <v>104</v>
      </c>
      <c r="L2111" s="43">
        <f>IF(COUNTIF($F$5:$F$2407,F2111)=1,"OK","Дубликат")</f>
        <v/>
      </c>
    </row>
    <row r="2112" ht="38" customHeight="1">
      <c r="A2112" s="146" t="inlineStr">
        <is>
          <t>BONUS-L1-FRIEND-15</t>
        </is>
      </c>
      <c r="B2112" s="39" t="inlineStr">
        <is>
          <t>1 уровень</t>
        </is>
      </c>
      <c r="C2112" s="34" t="inlineStr">
        <is>
          <t>Призы не на абонементы</t>
        </is>
      </c>
      <c r="D2112" s="34" t="inlineStr">
        <is>
          <t>Скидка 15% на второй абонемент для подруги</t>
        </is>
      </c>
      <c r="E2112" s="34" t="inlineStr">
        <is>
          <t>При покупке второго абонемента для подруги</t>
        </is>
      </c>
      <c r="F2112" s="147" t="inlineStr">
        <is>
          <t>FW-L1-EUBMF-RQSF7</t>
        </is>
      </c>
      <c r="G2112" s="39" t="inlineStr">
        <is>
          <t>Не использован</t>
        </is>
      </c>
      <c r="H2112" s="148" t="n"/>
      <c r="I2112" s="34" t="str"/>
      <c r="J2112" s="34" t="str"/>
      <c r="K2112" s="130" t="n">
        <v>105</v>
      </c>
      <c r="L2112" s="43">
        <f>IF(COUNTIF($F$5:$F$2407,F2112)=1,"OK","Дубликат")</f>
        <v/>
      </c>
    </row>
    <row r="2113" ht="38" customHeight="1">
      <c r="A2113" s="146" t="inlineStr">
        <is>
          <t>BONUS-L1-FRIEND-15</t>
        </is>
      </c>
      <c r="B2113" s="39" t="inlineStr">
        <is>
          <t>1 уровень</t>
        </is>
      </c>
      <c r="C2113" s="34" t="inlineStr">
        <is>
          <t>Призы не на абонементы</t>
        </is>
      </c>
      <c r="D2113" s="34" t="inlineStr">
        <is>
          <t>Скидка 15% на второй абонемент для подруги</t>
        </is>
      </c>
      <c r="E2113" s="34" t="inlineStr">
        <is>
          <t>При покупке второго абонемента для подруги</t>
        </is>
      </c>
      <c r="F2113" s="147" t="inlineStr">
        <is>
          <t>FW-L1-RMUNE-TG5KS</t>
        </is>
      </c>
      <c r="G2113" s="39" t="inlineStr">
        <is>
          <t>Не использован</t>
        </is>
      </c>
      <c r="H2113" s="148" t="n"/>
      <c r="I2113" s="34" t="str"/>
      <c r="J2113" s="34" t="str"/>
      <c r="K2113" s="130" t="n">
        <v>106</v>
      </c>
      <c r="L2113" s="43">
        <f>IF(COUNTIF($F$5:$F$2407,F2113)=1,"OK","Дубликат")</f>
        <v/>
      </c>
    </row>
    <row r="2114" ht="38" customHeight="1">
      <c r="A2114" s="146" t="inlineStr">
        <is>
          <t>BONUS-L1-FRIEND-15</t>
        </is>
      </c>
      <c r="B2114" s="39" t="inlineStr">
        <is>
          <t>1 уровень</t>
        </is>
      </c>
      <c r="C2114" s="34" t="inlineStr">
        <is>
          <t>Призы не на абонементы</t>
        </is>
      </c>
      <c r="D2114" s="34" t="inlineStr">
        <is>
          <t>Скидка 15% на второй абонемент для подруги</t>
        </is>
      </c>
      <c r="E2114" s="34" t="inlineStr">
        <is>
          <t>При покупке второго абонемента для подруги</t>
        </is>
      </c>
      <c r="F2114" s="147" t="inlineStr">
        <is>
          <t>FW-L1-B3VLF-4ZVMT</t>
        </is>
      </c>
      <c r="G2114" s="39" t="inlineStr">
        <is>
          <t>Не использован</t>
        </is>
      </c>
      <c r="H2114" s="148" t="n"/>
      <c r="I2114" s="34" t="str"/>
      <c r="J2114" s="34" t="str"/>
      <c r="K2114" s="130" t="n">
        <v>107</v>
      </c>
      <c r="L2114" s="43">
        <f>IF(COUNTIF($F$5:$F$2407,F2114)=1,"OK","Дубликат")</f>
        <v/>
      </c>
    </row>
    <row r="2115" ht="38" customHeight="1">
      <c r="A2115" s="146" t="inlineStr">
        <is>
          <t>BONUS-L1-FRIEND-15</t>
        </is>
      </c>
      <c r="B2115" s="39" t="inlineStr">
        <is>
          <t>1 уровень</t>
        </is>
      </c>
      <c r="C2115" s="34" t="inlineStr">
        <is>
          <t>Призы не на абонементы</t>
        </is>
      </c>
      <c r="D2115" s="34" t="inlineStr">
        <is>
          <t>Скидка 15% на второй абонемент для подруги</t>
        </is>
      </c>
      <c r="E2115" s="34" t="inlineStr">
        <is>
          <t>При покупке второго абонемента для подруги</t>
        </is>
      </c>
      <c r="F2115" s="147" t="inlineStr">
        <is>
          <t>FW-L1-Y4TV2-65JGH</t>
        </is>
      </c>
      <c r="G2115" s="39" t="inlineStr">
        <is>
          <t>Не использован</t>
        </is>
      </c>
      <c r="H2115" s="148" t="n"/>
      <c r="I2115" s="34" t="str"/>
      <c r="J2115" s="34" t="str"/>
      <c r="K2115" s="130" t="n">
        <v>108</v>
      </c>
      <c r="L2115" s="43">
        <f>IF(COUNTIF($F$5:$F$2407,F2115)=1,"OK","Дубликат")</f>
        <v/>
      </c>
    </row>
    <row r="2116" ht="38" customHeight="1">
      <c r="A2116" s="146" t="inlineStr">
        <is>
          <t>BONUS-L1-FRIEND-15</t>
        </is>
      </c>
      <c r="B2116" s="39" t="inlineStr">
        <is>
          <t>1 уровень</t>
        </is>
      </c>
      <c r="C2116" s="34" t="inlineStr">
        <is>
          <t>Призы не на абонементы</t>
        </is>
      </c>
      <c r="D2116" s="34" t="inlineStr">
        <is>
          <t>Скидка 15% на второй абонемент для подруги</t>
        </is>
      </c>
      <c r="E2116" s="34" t="inlineStr">
        <is>
          <t>При покупке второго абонемента для подруги</t>
        </is>
      </c>
      <c r="F2116" s="147" t="inlineStr">
        <is>
          <t>FW-L1-KAVT8-84725</t>
        </is>
      </c>
      <c r="G2116" s="39" t="inlineStr">
        <is>
          <t>Не использован</t>
        </is>
      </c>
      <c r="H2116" s="148" t="n"/>
      <c r="I2116" s="34" t="str"/>
      <c r="J2116" s="34" t="str"/>
      <c r="K2116" s="130" t="n">
        <v>109</v>
      </c>
      <c r="L2116" s="43">
        <f>IF(COUNTIF($F$5:$F$2407,F2116)=1,"OK","Дубликат")</f>
        <v/>
      </c>
    </row>
    <row r="2117" ht="38" customHeight="1">
      <c r="A2117" s="146" t="inlineStr">
        <is>
          <t>BONUS-L1-FRIEND-15</t>
        </is>
      </c>
      <c r="B2117" s="39" t="inlineStr">
        <is>
          <t>1 уровень</t>
        </is>
      </c>
      <c r="C2117" s="34" t="inlineStr">
        <is>
          <t>Призы не на абонементы</t>
        </is>
      </c>
      <c r="D2117" s="34" t="inlineStr">
        <is>
          <t>Скидка 15% на второй абонемент для подруги</t>
        </is>
      </c>
      <c r="E2117" s="34" t="inlineStr">
        <is>
          <t>При покупке второго абонемента для подруги</t>
        </is>
      </c>
      <c r="F2117" s="147" t="inlineStr">
        <is>
          <t>FW-L1-8K5MF-8CWX9</t>
        </is>
      </c>
      <c r="G2117" s="39" t="inlineStr">
        <is>
          <t>Не использован</t>
        </is>
      </c>
      <c r="H2117" s="148" t="n"/>
      <c r="I2117" s="34" t="str"/>
      <c r="J2117" s="34" t="str"/>
      <c r="K2117" s="130" t="n">
        <v>110</v>
      </c>
      <c r="L2117" s="43">
        <f>IF(COUNTIF($F$5:$F$2407,F2117)=1,"OK","Дубликат")</f>
        <v/>
      </c>
    </row>
    <row r="2118" ht="38" customHeight="1">
      <c r="A2118" s="146" t="inlineStr">
        <is>
          <t>BONUS-L1-FRIEND-15</t>
        </is>
      </c>
      <c r="B2118" s="39" t="inlineStr">
        <is>
          <t>1 уровень</t>
        </is>
      </c>
      <c r="C2118" s="34" t="inlineStr">
        <is>
          <t>Призы не на абонементы</t>
        </is>
      </c>
      <c r="D2118" s="34" t="inlineStr">
        <is>
          <t>Скидка 15% на второй абонемент для подруги</t>
        </is>
      </c>
      <c r="E2118" s="34" t="inlineStr">
        <is>
          <t>При покупке второго абонемента для подруги</t>
        </is>
      </c>
      <c r="F2118" s="147" t="inlineStr">
        <is>
          <t>FW-L1-Z523S-LDPMD</t>
        </is>
      </c>
      <c r="G2118" s="39" t="inlineStr">
        <is>
          <t>Не использован</t>
        </is>
      </c>
      <c r="H2118" s="148" t="n"/>
      <c r="I2118" s="34" t="str"/>
      <c r="J2118" s="34" t="str"/>
      <c r="K2118" s="130" t="n">
        <v>111</v>
      </c>
      <c r="L2118" s="43">
        <f>IF(COUNTIF($F$5:$F$2407,F2118)=1,"OK","Дубликат")</f>
        <v/>
      </c>
    </row>
    <row r="2119" ht="38" customHeight="1">
      <c r="A2119" s="146" t="inlineStr">
        <is>
          <t>BONUS-L1-FRIEND-15</t>
        </is>
      </c>
      <c r="B2119" s="39" t="inlineStr">
        <is>
          <t>1 уровень</t>
        </is>
      </c>
      <c r="C2119" s="34" t="inlineStr">
        <is>
          <t>Призы не на абонементы</t>
        </is>
      </c>
      <c r="D2119" s="34" t="inlineStr">
        <is>
          <t>Скидка 15% на второй абонемент для подруги</t>
        </is>
      </c>
      <c r="E2119" s="34" t="inlineStr">
        <is>
          <t>При покупке второго абонемента для подруги</t>
        </is>
      </c>
      <c r="F2119" s="147" t="inlineStr">
        <is>
          <t>FW-L1-RDN38-X37Q7</t>
        </is>
      </c>
      <c r="G2119" s="39" t="inlineStr">
        <is>
          <t>Не использован</t>
        </is>
      </c>
      <c r="H2119" s="148" t="n"/>
      <c r="I2119" s="34" t="str"/>
      <c r="J2119" s="34" t="str"/>
      <c r="K2119" s="130" t="n">
        <v>112</v>
      </c>
      <c r="L2119" s="43">
        <f>IF(COUNTIF($F$5:$F$2407,F2119)=1,"OK","Дубликат")</f>
        <v/>
      </c>
    </row>
    <row r="2120" ht="38" customHeight="1">
      <c r="A2120" s="146" t="inlineStr">
        <is>
          <t>BONUS-L1-FRIEND-15</t>
        </is>
      </c>
      <c r="B2120" s="39" t="inlineStr">
        <is>
          <t>1 уровень</t>
        </is>
      </c>
      <c r="C2120" s="34" t="inlineStr">
        <is>
          <t>Призы не на абонементы</t>
        </is>
      </c>
      <c r="D2120" s="34" t="inlineStr">
        <is>
          <t>Скидка 15% на второй абонемент для подруги</t>
        </is>
      </c>
      <c r="E2120" s="34" t="inlineStr">
        <is>
          <t>При покупке второго абонемента для подруги</t>
        </is>
      </c>
      <c r="F2120" s="147" t="inlineStr">
        <is>
          <t>FW-L1-MYWAT-JX39H</t>
        </is>
      </c>
      <c r="G2120" s="39" t="inlineStr">
        <is>
          <t>Не использован</t>
        </is>
      </c>
      <c r="H2120" s="148" t="n"/>
      <c r="I2120" s="34" t="str"/>
      <c r="J2120" s="34" t="str"/>
      <c r="K2120" s="130" t="n">
        <v>113</v>
      </c>
      <c r="L2120" s="43">
        <f>IF(COUNTIF($F$5:$F$2407,F2120)=1,"OK","Дубликат")</f>
        <v/>
      </c>
    </row>
    <row r="2121" ht="38" customHeight="1">
      <c r="A2121" s="146" t="inlineStr">
        <is>
          <t>BONUS-L1-FRIEND-15</t>
        </is>
      </c>
      <c r="B2121" s="39" t="inlineStr">
        <is>
          <t>1 уровень</t>
        </is>
      </c>
      <c r="C2121" s="34" t="inlineStr">
        <is>
          <t>Призы не на абонементы</t>
        </is>
      </c>
      <c r="D2121" s="34" t="inlineStr">
        <is>
          <t>Скидка 15% на второй абонемент для подруги</t>
        </is>
      </c>
      <c r="E2121" s="34" t="inlineStr">
        <is>
          <t>При покупке второго абонемента для подруги</t>
        </is>
      </c>
      <c r="F2121" s="147" t="inlineStr">
        <is>
          <t>FW-L1-ALJE2-SZDAZ</t>
        </is>
      </c>
      <c r="G2121" s="39" t="inlineStr">
        <is>
          <t>Не использован</t>
        </is>
      </c>
      <c r="H2121" s="148" t="n"/>
      <c r="I2121" s="34" t="str"/>
      <c r="J2121" s="34" t="str"/>
      <c r="K2121" s="130" t="n">
        <v>114</v>
      </c>
      <c r="L2121" s="43">
        <f>IF(COUNTIF($F$5:$F$2407,F2121)=1,"OK","Дубликат")</f>
        <v/>
      </c>
    </row>
    <row r="2122" ht="38" customHeight="1">
      <c r="A2122" s="146" t="inlineStr">
        <is>
          <t>BONUS-L1-FRIEND-15</t>
        </is>
      </c>
      <c r="B2122" s="39" t="inlineStr">
        <is>
          <t>1 уровень</t>
        </is>
      </c>
      <c r="C2122" s="34" t="inlineStr">
        <is>
          <t>Призы не на абонементы</t>
        </is>
      </c>
      <c r="D2122" s="34" t="inlineStr">
        <is>
          <t>Скидка 15% на второй абонемент для подруги</t>
        </is>
      </c>
      <c r="E2122" s="34" t="inlineStr">
        <is>
          <t>При покупке второго абонемента для подруги</t>
        </is>
      </c>
      <c r="F2122" s="147" t="inlineStr">
        <is>
          <t>FW-L1-XJ9QP-LY5WJ</t>
        </is>
      </c>
      <c r="G2122" s="39" t="inlineStr">
        <is>
          <t>Не использован</t>
        </is>
      </c>
      <c r="H2122" s="148" t="n"/>
      <c r="I2122" s="34" t="str"/>
      <c r="J2122" s="34" t="str"/>
      <c r="K2122" s="130" t="n">
        <v>115</v>
      </c>
      <c r="L2122" s="43">
        <f>IF(COUNTIF($F$5:$F$2407,F2122)=1,"OK","Дубликат")</f>
        <v/>
      </c>
    </row>
    <row r="2123" ht="38" customHeight="1">
      <c r="A2123" s="146" t="inlineStr">
        <is>
          <t>BONUS-L1-FRIEND-15</t>
        </is>
      </c>
      <c r="B2123" s="39" t="inlineStr">
        <is>
          <t>1 уровень</t>
        </is>
      </c>
      <c r="C2123" s="34" t="inlineStr">
        <is>
          <t>Призы не на абонементы</t>
        </is>
      </c>
      <c r="D2123" s="34" t="inlineStr">
        <is>
          <t>Скидка 15% на второй абонемент для подруги</t>
        </is>
      </c>
      <c r="E2123" s="34" t="inlineStr">
        <is>
          <t>При покупке второго абонемента для подруги</t>
        </is>
      </c>
      <c r="F2123" s="147" t="inlineStr">
        <is>
          <t>FW-L1-9DGUU-W257F</t>
        </is>
      </c>
      <c r="G2123" s="39" t="inlineStr">
        <is>
          <t>Не использован</t>
        </is>
      </c>
      <c r="H2123" s="148" t="n"/>
      <c r="I2123" s="34" t="str"/>
      <c r="J2123" s="34" t="str"/>
      <c r="K2123" s="130" t="n">
        <v>116</v>
      </c>
      <c r="L2123" s="43">
        <f>IF(COUNTIF($F$5:$F$2407,F2123)=1,"OK","Дубликат")</f>
        <v/>
      </c>
    </row>
    <row r="2124" ht="38" customHeight="1">
      <c r="A2124" s="146" t="inlineStr">
        <is>
          <t>BONUS-L1-FRIEND-15</t>
        </is>
      </c>
      <c r="B2124" s="39" t="inlineStr">
        <is>
          <t>1 уровень</t>
        </is>
      </c>
      <c r="C2124" s="34" t="inlineStr">
        <is>
          <t>Призы не на абонементы</t>
        </is>
      </c>
      <c r="D2124" s="34" t="inlineStr">
        <is>
          <t>Скидка 15% на второй абонемент для подруги</t>
        </is>
      </c>
      <c r="E2124" s="34" t="inlineStr">
        <is>
          <t>При покупке второго абонемента для подруги</t>
        </is>
      </c>
      <c r="F2124" s="147" t="inlineStr">
        <is>
          <t>FW-L1-MYMNB-2BN9T</t>
        </is>
      </c>
      <c r="G2124" s="39" t="inlineStr">
        <is>
          <t>Не использован</t>
        </is>
      </c>
      <c r="H2124" s="148" t="n"/>
      <c r="I2124" s="34" t="str"/>
      <c r="J2124" s="34" t="str"/>
      <c r="K2124" s="130" t="n">
        <v>117</v>
      </c>
      <c r="L2124" s="43">
        <f>IF(COUNTIF($F$5:$F$2407,F2124)=1,"OK","Дубликат")</f>
        <v/>
      </c>
    </row>
    <row r="2125" ht="38" customHeight="1">
      <c r="A2125" s="146" t="inlineStr">
        <is>
          <t>BONUS-L1-FRIEND-15</t>
        </is>
      </c>
      <c r="B2125" s="39" t="inlineStr">
        <is>
          <t>1 уровень</t>
        </is>
      </c>
      <c r="C2125" s="34" t="inlineStr">
        <is>
          <t>Призы не на абонементы</t>
        </is>
      </c>
      <c r="D2125" s="34" t="inlineStr">
        <is>
          <t>Скидка 15% на второй абонемент для подруги</t>
        </is>
      </c>
      <c r="E2125" s="34" t="inlineStr">
        <is>
          <t>При покупке второго абонемента для подруги</t>
        </is>
      </c>
      <c r="F2125" s="147" t="inlineStr">
        <is>
          <t>FW-L1-84JKB-B536P</t>
        </is>
      </c>
      <c r="G2125" s="39" t="inlineStr">
        <is>
          <t>Не использован</t>
        </is>
      </c>
      <c r="H2125" s="148" t="n"/>
      <c r="I2125" s="34" t="str"/>
      <c r="J2125" s="34" t="str"/>
      <c r="K2125" s="130" t="n">
        <v>118</v>
      </c>
      <c r="L2125" s="43">
        <f>IF(COUNTIF($F$5:$F$2407,F2125)=1,"OK","Дубликат")</f>
        <v/>
      </c>
    </row>
    <row r="2126" ht="38" customHeight="1">
      <c r="A2126" s="146" t="inlineStr">
        <is>
          <t>BONUS-L1-FRIEND-15</t>
        </is>
      </c>
      <c r="B2126" s="39" t="inlineStr">
        <is>
          <t>1 уровень</t>
        </is>
      </c>
      <c r="C2126" s="34" t="inlineStr">
        <is>
          <t>Призы не на абонементы</t>
        </is>
      </c>
      <c r="D2126" s="34" t="inlineStr">
        <is>
          <t>Скидка 15% на второй абонемент для подруги</t>
        </is>
      </c>
      <c r="E2126" s="34" t="inlineStr">
        <is>
          <t>При покупке второго абонемента для подруги</t>
        </is>
      </c>
      <c r="F2126" s="147" t="inlineStr">
        <is>
          <t>FW-L1-UA9F5-7XYCJ</t>
        </is>
      </c>
      <c r="G2126" s="39" t="inlineStr">
        <is>
          <t>Не использован</t>
        </is>
      </c>
      <c r="H2126" s="148" t="n"/>
      <c r="I2126" s="34" t="str"/>
      <c r="J2126" s="34" t="str"/>
      <c r="K2126" s="130" t="n">
        <v>119</v>
      </c>
      <c r="L2126" s="43">
        <f>IF(COUNTIF($F$5:$F$2407,F2126)=1,"OK","Дубликат")</f>
        <v/>
      </c>
    </row>
    <row r="2127" ht="38" customHeight="1">
      <c r="A2127" s="146" t="inlineStr">
        <is>
          <t>BONUS-L1-FRIEND-15</t>
        </is>
      </c>
      <c r="B2127" s="39" t="inlineStr">
        <is>
          <t>1 уровень</t>
        </is>
      </c>
      <c r="C2127" s="34" t="inlineStr">
        <is>
          <t>Призы не на абонементы</t>
        </is>
      </c>
      <c r="D2127" s="34" t="inlineStr">
        <is>
          <t>Скидка 15% на второй абонемент для подруги</t>
        </is>
      </c>
      <c r="E2127" s="34" t="inlineStr">
        <is>
          <t>При покупке второго абонемента для подруги</t>
        </is>
      </c>
      <c r="F2127" s="147" t="inlineStr">
        <is>
          <t>FW-L1-KVU4W-UX7AW</t>
        </is>
      </c>
      <c r="G2127" s="39" t="inlineStr">
        <is>
          <t>Не использован</t>
        </is>
      </c>
      <c r="H2127" s="148" t="n"/>
      <c r="I2127" s="34" t="str"/>
      <c r="J2127" s="34" t="str"/>
      <c r="K2127" s="130" t="n">
        <v>120</v>
      </c>
      <c r="L2127" s="43">
        <f>IF(COUNTIF($F$5:$F$2407,F2127)=1,"OK","Дубликат")</f>
        <v/>
      </c>
    </row>
    <row r="2128" ht="38" customHeight="1">
      <c r="A2128" s="146" t="inlineStr">
        <is>
          <t>BONUS-L1-FRIEND-15</t>
        </is>
      </c>
      <c r="B2128" s="39" t="inlineStr">
        <is>
          <t>1 уровень</t>
        </is>
      </c>
      <c r="C2128" s="34" t="inlineStr">
        <is>
          <t>Призы не на абонементы</t>
        </is>
      </c>
      <c r="D2128" s="34" t="inlineStr">
        <is>
          <t>Скидка 15% на второй абонемент для подруги</t>
        </is>
      </c>
      <c r="E2128" s="34" t="inlineStr">
        <is>
          <t>При покупке второго абонемента для подруги</t>
        </is>
      </c>
      <c r="F2128" s="147" t="inlineStr">
        <is>
          <t>FW-L1-CRHBV-Y7G64</t>
        </is>
      </c>
      <c r="G2128" s="39" t="inlineStr">
        <is>
          <t>Не использован</t>
        </is>
      </c>
      <c r="H2128" s="148" t="n"/>
      <c r="I2128" s="34" t="str"/>
      <c r="J2128" s="34" t="str"/>
      <c r="K2128" s="130" t="n">
        <v>121</v>
      </c>
      <c r="L2128" s="43">
        <f>IF(COUNTIF($F$5:$F$2407,F2128)=1,"OK","Дубликат")</f>
        <v/>
      </c>
    </row>
    <row r="2129" ht="38" customHeight="1">
      <c r="A2129" s="146" t="inlineStr">
        <is>
          <t>BONUS-L1-FRIEND-15</t>
        </is>
      </c>
      <c r="B2129" s="39" t="inlineStr">
        <is>
          <t>1 уровень</t>
        </is>
      </c>
      <c r="C2129" s="34" t="inlineStr">
        <is>
          <t>Призы не на абонементы</t>
        </is>
      </c>
      <c r="D2129" s="34" t="inlineStr">
        <is>
          <t>Скидка 15% на второй абонемент для подруги</t>
        </is>
      </c>
      <c r="E2129" s="34" t="inlineStr">
        <is>
          <t>При покупке второго абонемента для подруги</t>
        </is>
      </c>
      <c r="F2129" s="147" t="inlineStr">
        <is>
          <t>FW-L1-G6S4S-TT9HR</t>
        </is>
      </c>
      <c r="G2129" s="39" t="inlineStr">
        <is>
          <t>Не использован</t>
        </is>
      </c>
      <c r="H2129" s="148" t="n"/>
      <c r="I2129" s="34" t="str"/>
      <c r="J2129" s="34" t="str"/>
      <c r="K2129" s="130" t="n">
        <v>122</v>
      </c>
      <c r="L2129" s="43">
        <f>IF(COUNTIF($F$5:$F$2407,F2129)=1,"OK","Дубликат")</f>
        <v/>
      </c>
    </row>
    <row r="2130" ht="38" customHeight="1">
      <c r="A2130" s="146" t="inlineStr">
        <is>
          <t>BONUS-L1-FRIEND-15</t>
        </is>
      </c>
      <c r="B2130" s="39" t="inlineStr">
        <is>
          <t>1 уровень</t>
        </is>
      </c>
      <c r="C2130" s="34" t="inlineStr">
        <is>
          <t>Призы не на абонементы</t>
        </is>
      </c>
      <c r="D2130" s="34" t="inlineStr">
        <is>
          <t>Скидка 15% на второй абонемент для подруги</t>
        </is>
      </c>
      <c r="E2130" s="34" t="inlineStr">
        <is>
          <t>При покупке второго абонемента для подруги</t>
        </is>
      </c>
      <c r="F2130" s="147" t="inlineStr">
        <is>
          <t>FW-L1-TDY2K-U2EZV</t>
        </is>
      </c>
      <c r="G2130" s="39" t="inlineStr">
        <is>
          <t>Не использован</t>
        </is>
      </c>
      <c r="H2130" s="148" t="n"/>
      <c r="I2130" s="34" t="str"/>
      <c r="J2130" s="34" t="str"/>
      <c r="K2130" s="130" t="n">
        <v>123</v>
      </c>
      <c r="L2130" s="43">
        <f>IF(COUNTIF($F$5:$F$2407,F2130)=1,"OK","Дубликат")</f>
        <v/>
      </c>
    </row>
    <row r="2131" ht="38" customHeight="1">
      <c r="A2131" s="146" t="inlineStr">
        <is>
          <t>BONUS-L1-FRIEND-15</t>
        </is>
      </c>
      <c r="B2131" s="39" t="inlineStr">
        <is>
          <t>1 уровень</t>
        </is>
      </c>
      <c r="C2131" s="34" t="inlineStr">
        <is>
          <t>Призы не на абонементы</t>
        </is>
      </c>
      <c r="D2131" s="34" t="inlineStr">
        <is>
          <t>Скидка 15% на второй абонемент для подруги</t>
        </is>
      </c>
      <c r="E2131" s="34" t="inlineStr">
        <is>
          <t>При покупке второго абонемента для подруги</t>
        </is>
      </c>
      <c r="F2131" s="147" t="inlineStr">
        <is>
          <t>FW-L1-6W8Q9-BR7S9</t>
        </is>
      </c>
      <c r="G2131" s="39" t="inlineStr">
        <is>
          <t>Не использован</t>
        </is>
      </c>
      <c r="H2131" s="148" t="n"/>
      <c r="I2131" s="34" t="str"/>
      <c r="J2131" s="34" t="str"/>
      <c r="K2131" s="130" t="n">
        <v>124</v>
      </c>
      <c r="L2131" s="43">
        <f>IF(COUNTIF($F$5:$F$2407,F2131)=1,"OK","Дубликат")</f>
        <v/>
      </c>
    </row>
    <row r="2132" ht="38" customHeight="1">
      <c r="A2132" s="146" t="inlineStr">
        <is>
          <t>BONUS-L1-FRIEND-15</t>
        </is>
      </c>
      <c r="B2132" s="39" t="inlineStr">
        <is>
          <t>1 уровень</t>
        </is>
      </c>
      <c r="C2132" s="34" t="inlineStr">
        <is>
          <t>Призы не на абонементы</t>
        </is>
      </c>
      <c r="D2132" s="34" t="inlineStr">
        <is>
          <t>Скидка 15% на второй абонемент для подруги</t>
        </is>
      </c>
      <c r="E2132" s="34" t="inlineStr">
        <is>
          <t>При покупке второго абонемента для подруги</t>
        </is>
      </c>
      <c r="F2132" s="147" t="inlineStr">
        <is>
          <t>FW-L1-Y9J7J-GBU95</t>
        </is>
      </c>
      <c r="G2132" s="39" t="inlineStr">
        <is>
          <t>Не использован</t>
        </is>
      </c>
      <c r="H2132" s="148" t="n"/>
      <c r="I2132" s="34" t="str"/>
      <c r="J2132" s="34" t="str"/>
      <c r="K2132" s="130" t="n">
        <v>125</v>
      </c>
      <c r="L2132" s="43">
        <f>IF(COUNTIF($F$5:$F$2407,F2132)=1,"OK","Дубликат")</f>
        <v/>
      </c>
    </row>
    <row r="2133" ht="38" customHeight="1">
      <c r="A2133" s="146" t="inlineStr">
        <is>
          <t>BONUS-L1-FRIEND-15</t>
        </is>
      </c>
      <c r="B2133" s="39" t="inlineStr">
        <is>
          <t>1 уровень</t>
        </is>
      </c>
      <c r="C2133" s="34" t="inlineStr">
        <is>
          <t>Призы не на абонементы</t>
        </is>
      </c>
      <c r="D2133" s="34" t="inlineStr">
        <is>
          <t>Скидка 15% на второй абонемент для подруги</t>
        </is>
      </c>
      <c r="E2133" s="34" t="inlineStr">
        <is>
          <t>При покупке второго абонемента для подруги</t>
        </is>
      </c>
      <c r="F2133" s="147" t="inlineStr">
        <is>
          <t>FW-L1-G2WUQ-LQUG9</t>
        </is>
      </c>
      <c r="G2133" s="39" t="inlineStr">
        <is>
          <t>Не использован</t>
        </is>
      </c>
      <c r="H2133" s="148" t="n"/>
      <c r="I2133" s="34" t="str"/>
      <c r="J2133" s="34" t="str"/>
      <c r="K2133" s="130" t="n">
        <v>126</v>
      </c>
      <c r="L2133" s="43">
        <f>IF(COUNTIF($F$5:$F$2407,F2133)=1,"OK","Дубликат")</f>
        <v/>
      </c>
    </row>
    <row r="2134" ht="38" customHeight="1">
      <c r="A2134" s="146" t="inlineStr">
        <is>
          <t>BONUS-L1-FRIEND-15</t>
        </is>
      </c>
      <c r="B2134" s="39" t="inlineStr">
        <is>
          <t>1 уровень</t>
        </is>
      </c>
      <c r="C2134" s="34" t="inlineStr">
        <is>
          <t>Призы не на абонементы</t>
        </is>
      </c>
      <c r="D2134" s="34" t="inlineStr">
        <is>
          <t>Скидка 15% на второй абонемент для подруги</t>
        </is>
      </c>
      <c r="E2134" s="34" t="inlineStr">
        <is>
          <t>При покупке второго абонемента для подруги</t>
        </is>
      </c>
      <c r="F2134" s="147" t="inlineStr">
        <is>
          <t>FW-L1-J62SA-CRUM8</t>
        </is>
      </c>
      <c r="G2134" s="39" t="inlineStr">
        <is>
          <t>Не использован</t>
        </is>
      </c>
      <c r="H2134" s="148" t="n"/>
      <c r="I2134" s="34" t="str"/>
      <c r="J2134" s="34" t="str"/>
      <c r="K2134" s="130" t="n">
        <v>127</v>
      </c>
      <c r="L2134" s="43">
        <f>IF(COUNTIF($F$5:$F$2407,F2134)=1,"OK","Дубликат")</f>
        <v/>
      </c>
    </row>
    <row r="2135" ht="38" customHeight="1">
      <c r="A2135" s="146" t="inlineStr">
        <is>
          <t>BONUS-L1-FRIEND-15</t>
        </is>
      </c>
      <c r="B2135" s="39" t="inlineStr">
        <is>
          <t>1 уровень</t>
        </is>
      </c>
      <c r="C2135" s="34" t="inlineStr">
        <is>
          <t>Призы не на абонементы</t>
        </is>
      </c>
      <c r="D2135" s="34" t="inlineStr">
        <is>
          <t>Скидка 15% на второй абонемент для подруги</t>
        </is>
      </c>
      <c r="E2135" s="34" t="inlineStr">
        <is>
          <t>При покупке второго абонемента для подруги</t>
        </is>
      </c>
      <c r="F2135" s="147" t="inlineStr">
        <is>
          <t>FW-L1-WMX8N-FKDBS</t>
        </is>
      </c>
      <c r="G2135" s="39" t="inlineStr">
        <is>
          <t>Не использован</t>
        </is>
      </c>
      <c r="H2135" s="148" t="n"/>
      <c r="I2135" s="34" t="str"/>
      <c r="J2135" s="34" t="str"/>
      <c r="K2135" s="130" t="n">
        <v>128</v>
      </c>
      <c r="L2135" s="43">
        <f>IF(COUNTIF($F$5:$F$2407,F2135)=1,"OK","Дубликат")</f>
        <v/>
      </c>
    </row>
    <row r="2136" ht="38" customHeight="1">
      <c r="A2136" s="146" t="inlineStr">
        <is>
          <t>BONUS-L1-FRIEND-15</t>
        </is>
      </c>
      <c r="B2136" s="39" t="inlineStr">
        <is>
          <t>1 уровень</t>
        </is>
      </c>
      <c r="C2136" s="34" t="inlineStr">
        <is>
          <t>Призы не на абонементы</t>
        </is>
      </c>
      <c r="D2136" s="34" t="inlineStr">
        <is>
          <t>Скидка 15% на второй абонемент для подруги</t>
        </is>
      </c>
      <c r="E2136" s="34" t="inlineStr">
        <is>
          <t>При покупке второго абонемента для подруги</t>
        </is>
      </c>
      <c r="F2136" s="147" t="inlineStr">
        <is>
          <t>FW-L1-N5XVS-FJPSH</t>
        </is>
      </c>
      <c r="G2136" s="39" t="inlineStr">
        <is>
          <t>Не использован</t>
        </is>
      </c>
      <c r="H2136" s="148" t="n"/>
      <c r="I2136" s="34" t="str"/>
      <c r="J2136" s="34" t="str"/>
      <c r="K2136" s="130" t="n">
        <v>129</v>
      </c>
      <c r="L2136" s="43">
        <f>IF(COUNTIF($F$5:$F$2407,F2136)=1,"OK","Дубликат")</f>
        <v/>
      </c>
    </row>
    <row r="2137" ht="38" customHeight="1">
      <c r="A2137" s="146" t="inlineStr">
        <is>
          <t>BONUS-L1-FRIEND-15</t>
        </is>
      </c>
      <c r="B2137" s="39" t="inlineStr">
        <is>
          <t>1 уровень</t>
        </is>
      </c>
      <c r="C2137" s="34" t="inlineStr">
        <is>
          <t>Призы не на абонементы</t>
        </is>
      </c>
      <c r="D2137" s="34" t="inlineStr">
        <is>
          <t>Скидка 15% на второй абонемент для подруги</t>
        </is>
      </c>
      <c r="E2137" s="34" t="inlineStr">
        <is>
          <t>При покупке второго абонемента для подруги</t>
        </is>
      </c>
      <c r="F2137" s="147" t="inlineStr">
        <is>
          <t>FW-L1-6EN3P-GP54E</t>
        </is>
      </c>
      <c r="G2137" s="39" t="inlineStr">
        <is>
          <t>Не использован</t>
        </is>
      </c>
      <c r="H2137" s="148" t="n"/>
      <c r="I2137" s="34" t="str"/>
      <c r="J2137" s="34" t="str"/>
      <c r="K2137" s="130" t="n">
        <v>130</v>
      </c>
      <c r="L2137" s="43">
        <f>IF(COUNTIF($F$5:$F$2407,F2137)=1,"OK","Дубликат")</f>
        <v/>
      </c>
    </row>
    <row r="2138" ht="38" customHeight="1">
      <c r="A2138" s="146" t="inlineStr">
        <is>
          <t>BONUS-L1-FRIEND-15</t>
        </is>
      </c>
      <c r="B2138" s="39" t="inlineStr">
        <is>
          <t>1 уровень</t>
        </is>
      </c>
      <c r="C2138" s="34" t="inlineStr">
        <is>
          <t>Призы не на абонементы</t>
        </is>
      </c>
      <c r="D2138" s="34" t="inlineStr">
        <is>
          <t>Скидка 15% на второй абонемент для подруги</t>
        </is>
      </c>
      <c r="E2138" s="34" t="inlineStr">
        <is>
          <t>При покупке второго абонемента для подруги</t>
        </is>
      </c>
      <c r="F2138" s="147" t="inlineStr">
        <is>
          <t>FW-L1-D98P4-AXJKB</t>
        </is>
      </c>
      <c r="G2138" s="39" t="inlineStr">
        <is>
          <t>Не использован</t>
        </is>
      </c>
      <c r="H2138" s="148" t="n"/>
      <c r="I2138" s="34" t="str"/>
      <c r="J2138" s="34" t="str"/>
      <c r="K2138" s="130" t="n">
        <v>131</v>
      </c>
      <c r="L2138" s="43">
        <f>IF(COUNTIF($F$5:$F$2407,F2138)=1,"OK","Дубликат")</f>
        <v/>
      </c>
    </row>
    <row r="2139" ht="38" customHeight="1">
      <c r="A2139" s="146" t="inlineStr">
        <is>
          <t>BONUS-L1-FRIEND-15</t>
        </is>
      </c>
      <c r="B2139" s="39" t="inlineStr">
        <is>
          <t>1 уровень</t>
        </is>
      </c>
      <c r="C2139" s="34" t="inlineStr">
        <is>
          <t>Призы не на абонементы</t>
        </is>
      </c>
      <c r="D2139" s="34" t="inlineStr">
        <is>
          <t>Скидка 15% на второй абонемент для подруги</t>
        </is>
      </c>
      <c r="E2139" s="34" t="inlineStr">
        <is>
          <t>При покупке второго абонемента для подруги</t>
        </is>
      </c>
      <c r="F2139" s="147" t="inlineStr">
        <is>
          <t>FW-L1-QZGWY-W3WAF</t>
        </is>
      </c>
      <c r="G2139" s="39" t="inlineStr">
        <is>
          <t>Не использован</t>
        </is>
      </c>
      <c r="H2139" s="148" t="n"/>
      <c r="I2139" s="34" t="str"/>
      <c r="J2139" s="34" t="str"/>
      <c r="K2139" s="130" t="n">
        <v>132</v>
      </c>
      <c r="L2139" s="43">
        <f>IF(COUNTIF($F$5:$F$2407,F2139)=1,"OK","Дубликат")</f>
        <v/>
      </c>
    </row>
    <row r="2140" ht="38" customHeight="1">
      <c r="A2140" s="146" t="inlineStr">
        <is>
          <t>BONUS-L1-FRIEND-15</t>
        </is>
      </c>
      <c r="B2140" s="39" t="inlineStr">
        <is>
          <t>1 уровень</t>
        </is>
      </c>
      <c r="C2140" s="34" t="inlineStr">
        <is>
          <t>Призы не на абонементы</t>
        </is>
      </c>
      <c r="D2140" s="34" t="inlineStr">
        <is>
          <t>Скидка 15% на второй абонемент для подруги</t>
        </is>
      </c>
      <c r="E2140" s="34" t="inlineStr">
        <is>
          <t>При покупке второго абонемента для подруги</t>
        </is>
      </c>
      <c r="F2140" s="147" t="inlineStr">
        <is>
          <t>FW-L1-LHBYF-PAC63</t>
        </is>
      </c>
      <c r="G2140" s="39" t="inlineStr">
        <is>
          <t>Не использован</t>
        </is>
      </c>
      <c r="H2140" s="148" t="n"/>
      <c r="I2140" s="34" t="str"/>
      <c r="J2140" s="34" t="str"/>
      <c r="K2140" s="130" t="n">
        <v>133</v>
      </c>
      <c r="L2140" s="43">
        <f>IF(COUNTIF($F$5:$F$2407,F2140)=1,"OK","Дубликат")</f>
        <v/>
      </c>
    </row>
    <row r="2141" ht="38" customHeight="1">
      <c r="A2141" s="146" t="inlineStr">
        <is>
          <t>BONUS-L1-FRIEND-15</t>
        </is>
      </c>
      <c r="B2141" s="39" t="inlineStr">
        <is>
          <t>1 уровень</t>
        </is>
      </c>
      <c r="C2141" s="34" t="inlineStr">
        <is>
          <t>Призы не на абонементы</t>
        </is>
      </c>
      <c r="D2141" s="34" t="inlineStr">
        <is>
          <t>Скидка 15% на второй абонемент для подруги</t>
        </is>
      </c>
      <c r="E2141" s="34" t="inlineStr">
        <is>
          <t>При покупке второго абонемента для подруги</t>
        </is>
      </c>
      <c r="F2141" s="147" t="inlineStr">
        <is>
          <t>FW-L1-A7UHZ-5ML7C</t>
        </is>
      </c>
      <c r="G2141" s="39" t="inlineStr">
        <is>
          <t>Не использован</t>
        </is>
      </c>
      <c r="H2141" s="148" t="n"/>
      <c r="I2141" s="34" t="str"/>
      <c r="J2141" s="34" t="str"/>
      <c r="K2141" s="130" t="n">
        <v>134</v>
      </c>
      <c r="L2141" s="43">
        <f>IF(COUNTIF($F$5:$F$2407,F2141)=1,"OK","Дубликат")</f>
        <v/>
      </c>
    </row>
    <row r="2142" ht="38" customHeight="1">
      <c r="A2142" s="146" t="inlineStr">
        <is>
          <t>BONUS-L1-FRIEND-15</t>
        </is>
      </c>
      <c r="B2142" s="39" t="inlineStr">
        <is>
          <t>1 уровень</t>
        </is>
      </c>
      <c r="C2142" s="34" t="inlineStr">
        <is>
          <t>Призы не на абонементы</t>
        </is>
      </c>
      <c r="D2142" s="34" t="inlineStr">
        <is>
          <t>Скидка 15% на второй абонемент для подруги</t>
        </is>
      </c>
      <c r="E2142" s="34" t="inlineStr">
        <is>
          <t>При покупке второго абонемента для подруги</t>
        </is>
      </c>
      <c r="F2142" s="147" t="inlineStr">
        <is>
          <t>FW-L1-P9CZ9-PXJ3C</t>
        </is>
      </c>
      <c r="G2142" s="39" t="inlineStr">
        <is>
          <t>Не использован</t>
        </is>
      </c>
      <c r="H2142" s="148" t="n"/>
      <c r="I2142" s="34" t="str"/>
      <c r="J2142" s="34" t="str"/>
      <c r="K2142" s="130" t="n">
        <v>135</v>
      </c>
      <c r="L2142" s="43">
        <f>IF(COUNTIF($F$5:$F$2407,F2142)=1,"OK","Дубликат")</f>
        <v/>
      </c>
    </row>
    <row r="2143" ht="38" customHeight="1">
      <c r="A2143" s="146" t="inlineStr">
        <is>
          <t>BONUS-L1-FRIEND-15</t>
        </is>
      </c>
      <c r="B2143" s="39" t="inlineStr">
        <is>
          <t>1 уровень</t>
        </is>
      </c>
      <c r="C2143" s="34" t="inlineStr">
        <is>
          <t>Призы не на абонементы</t>
        </is>
      </c>
      <c r="D2143" s="34" t="inlineStr">
        <is>
          <t>Скидка 15% на второй абонемент для подруги</t>
        </is>
      </c>
      <c r="E2143" s="34" t="inlineStr">
        <is>
          <t>При покупке второго абонемента для подруги</t>
        </is>
      </c>
      <c r="F2143" s="147" t="inlineStr">
        <is>
          <t>FW-L1-CRBK5-LYS7A</t>
        </is>
      </c>
      <c r="G2143" s="39" t="inlineStr">
        <is>
          <t>Не использован</t>
        </is>
      </c>
      <c r="H2143" s="148" t="n"/>
      <c r="I2143" s="34" t="str"/>
      <c r="J2143" s="34" t="str"/>
      <c r="K2143" s="130" t="n">
        <v>136</v>
      </c>
      <c r="L2143" s="43">
        <f>IF(COUNTIF($F$5:$F$2407,F2143)=1,"OK","Дубликат")</f>
        <v/>
      </c>
    </row>
    <row r="2144" ht="38" customHeight="1">
      <c r="A2144" s="146" t="inlineStr">
        <is>
          <t>BONUS-L1-FRIEND-15</t>
        </is>
      </c>
      <c r="B2144" s="39" t="inlineStr">
        <is>
          <t>1 уровень</t>
        </is>
      </c>
      <c r="C2144" s="34" t="inlineStr">
        <is>
          <t>Призы не на абонементы</t>
        </is>
      </c>
      <c r="D2144" s="34" t="inlineStr">
        <is>
          <t>Скидка 15% на второй абонемент для подруги</t>
        </is>
      </c>
      <c r="E2144" s="34" t="inlineStr">
        <is>
          <t>При покупке второго абонемента для подруги</t>
        </is>
      </c>
      <c r="F2144" s="147" t="inlineStr">
        <is>
          <t>FW-L1-DHFD9-ME49H</t>
        </is>
      </c>
      <c r="G2144" s="39" t="inlineStr">
        <is>
          <t>Не использован</t>
        </is>
      </c>
      <c r="H2144" s="148" t="n"/>
      <c r="I2144" s="34" t="str"/>
      <c r="J2144" s="34" t="str"/>
      <c r="K2144" s="130" t="n">
        <v>137</v>
      </c>
      <c r="L2144" s="43">
        <f>IF(COUNTIF($F$5:$F$2407,F2144)=1,"OK","Дубликат")</f>
        <v/>
      </c>
    </row>
    <row r="2145" ht="38" customHeight="1">
      <c r="A2145" s="146" t="inlineStr">
        <is>
          <t>BONUS-L1-FRIEND-15</t>
        </is>
      </c>
      <c r="B2145" s="39" t="inlineStr">
        <is>
          <t>1 уровень</t>
        </is>
      </c>
      <c r="C2145" s="34" t="inlineStr">
        <is>
          <t>Призы не на абонементы</t>
        </is>
      </c>
      <c r="D2145" s="34" t="inlineStr">
        <is>
          <t>Скидка 15% на второй абонемент для подруги</t>
        </is>
      </c>
      <c r="E2145" s="34" t="inlineStr">
        <is>
          <t>При покупке второго абонемента для подруги</t>
        </is>
      </c>
      <c r="F2145" s="147" t="inlineStr">
        <is>
          <t>FW-L1-WZHHX-3XS9X</t>
        </is>
      </c>
      <c r="G2145" s="39" t="inlineStr">
        <is>
          <t>Не использован</t>
        </is>
      </c>
      <c r="H2145" s="148" t="n"/>
      <c r="I2145" s="34" t="str"/>
      <c r="J2145" s="34" t="str"/>
      <c r="K2145" s="130" t="n">
        <v>138</v>
      </c>
      <c r="L2145" s="43">
        <f>IF(COUNTIF($F$5:$F$2407,F2145)=1,"OK","Дубликат")</f>
        <v/>
      </c>
    </row>
    <row r="2146" ht="38" customHeight="1">
      <c r="A2146" s="146" t="inlineStr">
        <is>
          <t>BONUS-L1-FRIEND-15</t>
        </is>
      </c>
      <c r="B2146" s="39" t="inlineStr">
        <is>
          <t>1 уровень</t>
        </is>
      </c>
      <c r="C2146" s="34" t="inlineStr">
        <is>
          <t>Призы не на абонементы</t>
        </is>
      </c>
      <c r="D2146" s="34" t="inlineStr">
        <is>
          <t>Скидка 15% на второй абонемент для подруги</t>
        </is>
      </c>
      <c r="E2146" s="34" t="inlineStr">
        <is>
          <t>При покупке второго абонемента для подруги</t>
        </is>
      </c>
      <c r="F2146" s="147" t="inlineStr">
        <is>
          <t>FW-L1-V6JJC-GJ6MS</t>
        </is>
      </c>
      <c r="G2146" s="39" t="inlineStr">
        <is>
          <t>Не использован</t>
        </is>
      </c>
      <c r="H2146" s="148" t="n"/>
      <c r="I2146" s="34" t="str"/>
      <c r="J2146" s="34" t="str"/>
      <c r="K2146" s="130" t="n">
        <v>139</v>
      </c>
      <c r="L2146" s="43">
        <f>IF(COUNTIF($F$5:$F$2407,F2146)=1,"OK","Дубликат")</f>
        <v/>
      </c>
    </row>
    <row r="2147" ht="38" customHeight="1">
      <c r="A2147" s="146" t="inlineStr">
        <is>
          <t>BONUS-L1-FRIEND-15</t>
        </is>
      </c>
      <c r="B2147" s="39" t="inlineStr">
        <is>
          <t>1 уровень</t>
        </is>
      </c>
      <c r="C2147" s="34" t="inlineStr">
        <is>
          <t>Призы не на абонементы</t>
        </is>
      </c>
      <c r="D2147" s="34" t="inlineStr">
        <is>
          <t>Скидка 15% на второй абонемент для подруги</t>
        </is>
      </c>
      <c r="E2147" s="34" t="inlineStr">
        <is>
          <t>При покупке второго абонемента для подруги</t>
        </is>
      </c>
      <c r="F2147" s="147" t="inlineStr">
        <is>
          <t>FW-L1-YXFR6-VJ7KU</t>
        </is>
      </c>
      <c r="G2147" s="39" t="inlineStr">
        <is>
          <t>Не использован</t>
        </is>
      </c>
      <c r="H2147" s="148" t="n"/>
      <c r="I2147" s="34" t="str"/>
      <c r="J2147" s="34" t="str"/>
      <c r="K2147" s="130" t="n">
        <v>140</v>
      </c>
      <c r="L2147" s="43">
        <f>IF(COUNTIF($F$5:$F$2407,F2147)=1,"OK","Дубликат")</f>
        <v/>
      </c>
    </row>
    <row r="2148" ht="38" customHeight="1">
      <c r="A2148" s="146" t="inlineStr">
        <is>
          <t>BONUS-L1-FRIEND-15</t>
        </is>
      </c>
      <c r="B2148" s="39" t="inlineStr">
        <is>
          <t>1 уровень</t>
        </is>
      </c>
      <c r="C2148" s="34" t="inlineStr">
        <is>
          <t>Призы не на абонементы</t>
        </is>
      </c>
      <c r="D2148" s="34" t="inlineStr">
        <is>
          <t>Скидка 15% на второй абонемент для подруги</t>
        </is>
      </c>
      <c r="E2148" s="34" t="inlineStr">
        <is>
          <t>При покупке второго абонемента для подруги</t>
        </is>
      </c>
      <c r="F2148" s="147" t="inlineStr">
        <is>
          <t>FW-L1-BEUA7-KJT7N</t>
        </is>
      </c>
      <c r="G2148" s="39" t="inlineStr">
        <is>
          <t>Не использован</t>
        </is>
      </c>
      <c r="H2148" s="148" t="n"/>
      <c r="I2148" s="34" t="str"/>
      <c r="J2148" s="34" t="str"/>
      <c r="K2148" s="130" t="n">
        <v>141</v>
      </c>
      <c r="L2148" s="43">
        <f>IF(COUNTIF($F$5:$F$2407,F2148)=1,"OK","Дубликат")</f>
        <v/>
      </c>
    </row>
    <row r="2149" ht="38" customHeight="1">
      <c r="A2149" s="146" t="inlineStr">
        <is>
          <t>BONUS-L1-FRIEND-15</t>
        </is>
      </c>
      <c r="B2149" s="39" t="inlineStr">
        <is>
          <t>1 уровень</t>
        </is>
      </c>
      <c r="C2149" s="34" t="inlineStr">
        <is>
          <t>Призы не на абонементы</t>
        </is>
      </c>
      <c r="D2149" s="34" t="inlineStr">
        <is>
          <t>Скидка 15% на второй абонемент для подруги</t>
        </is>
      </c>
      <c r="E2149" s="34" t="inlineStr">
        <is>
          <t>При покупке второго абонемента для подруги</t>
        </is>
      </c>
      <c r="F2149" s="147" t="inlineStr">
        <is>
          <t>FW-L1-HK8YC-BGPWT</t>
        </is>
      </c>
      <c r="G2149" s="39" t="inlineStr">
        <is>
          <t>Не использован</t>
        </is>
      </c>
      <c r="H2149" s="148" t="n"/>
      <c r="I2149" s="34" t="str"/>
      <c r="J2149" s="34" t="str"/>
      <c r="K2149" s="130" t="n">
        <v>142</v>
      </c>
      <c r="L2149" s="43">
        <f>IF(COUNTIF($F$5:$F$2407,F2149)=1,"OK","Дубликат")</f>
        <v/>
      </c>
    </row>
    <row r="2150" ht="38" customHeight="1">
      <c r="A2150" s="146" t="inlineStr">
        <is>
          <t>BONUS-L1-FRIEND-15</t>
        </is>
      </c>
      <c r="B2150" s="39" t="inlineStr">
        <is>
          <t>1 уровень</t>
        </is>
      </c>
      <c r="C2150" s="34" t="inlineStr">
        <is>
          <t>Призы не на абонементы</t>
        </is>
      </c>
      <c r="D2150" s="34" t="inlineStr">
        <is>
          <t>Скидка 15% на второй абонемент для подруги</t>
        </is>
      </c>
      <c r="E2150" s="34" t="inlineStr">
        <is>
          <t>При покупке второго абонемента для подруги</t>
        </is>
      </c>
      <c r="F2150" s="147" t="inlineStr">
        <is>
          <t>FW-L1-EPE88-7X8A3</t>
        </is>
      </c>
      <c r="G2150" s="39" t="inlineStr">
        <is>
          <t>Не использован</t>
        </is>
      </c>
      <c r="H2150" s="148" t="n"/>
      <c r="I2150" s="34" t="str"/>
      <c r="J2150" s="34" t="str"/>
      <c r="K2150" s="130" t="n">
        <v>143</v>
      </c>
      <c r="L2150" s="43">
        <f>IF(COUNTIF($F$5:$F$2407,F2150)=1,"OK","Дубликат")</f>
        <v/>
      </c>
    </row>
    <row r="2151" ht="38" customHeight="1">
      <c r="A2151" s="146" t="inlineStr">
        <is>
          <t>BONUS-L1-FRIEND-15</t>
        </is>
      </c>
      <c r="B2151" s="39" t="inlineStr">
        <is>
          <t>1 уровень</t>
        </is>
      </c>
      <c r="C2151" s="34" t="inlineStr">
        <is>
          <t>Призы не на абонементы</t>
        </is>
      </c>
      <c r="D2151" s="34" t="inlineStr">
        <is>
          <t>Скидка 15% на второй абонемент для подруги</t>
        </is>
      </c>
      <c r="E2151" s="34" t="inlineStr">
        <is>
          <t>При покупке второго абонемента для подруги</t>
        </is>
      </c>
      <c r="F2151" s="147" t="inlineStr">
        <is>
          <t>FW-L1-JYLYE-GDA72</t>
        </is>
      </c>
      <c r="G2151" s="39" t="inlineStr">
        <is>
          <t>Не использован</t>
        </is>
      </c>
      <c r="H2151" s="148" t="n"/>
      <c r="I2151" s="34" t="str"/>
      <c r="J2151" s="34" t="str"/>
      <c r="K2151" s="130" t="n">
        <v>144</v>
      </c>
      <c r="L2151" s="43">
        <f>IF(COUNTIF($F$5:$F$2407,F2151)=1,"OK","Дубликат")</f>
        <v/>
      </c>
    </row>
    <row r="2152" ht="38" customHeight="1">
      <c r="A2152" s="146" t="inlineStr">
        <is>
          <t>BONUS-L1-FRIEND-15</t>
        </is>
      </c>
      <c r="B2152" s="39" t="inlineStr">
        <is>
          <t>1 уровень</t>
        </is>
      </c>
      <c r="C2152" s="34" t="inlineStr">
        <is>
          <t>Призы не на абонементы</t>
        </is>
      </c>
      <c r="D2152" s="34" t="inlineStr">
        <is>
          <t>Скидка 15% на второй абонемент для подруги</t>
        </is>
      </c>
      <c r="E2152" s="34" t="inlineStr">
        <is>
          <t>При покупке второго абонемента для подруги</t>
        </is>
      </c>
      <c r="F2152" s="147" t="inlineStr">
        <is>
          <t>FW-L1-DUZYW-528KY</t>
        </is>
      </c>
      <c r="G2152" s="39" t="inlineStr">
        <is>
          <t>Не использован</t>
        </is>
      </c>
      <c r="H2152" s="148" t="n"/>
      <c r="I2152" s="34" t="str"/>
      <c r="J2152" s="34" t="str"/>
      <c r="K2152" s="130" t="n">
        <v>145</v>
      </c>
      <c r="L2152" s="43">
        <f>IF(COUNTIF($F$5:$F$2407,F2152)=1,"OK","Дубликат")</f>
        <v/>
      </c>
    </row>
    <row r="2153" ht="38" customHeight="1">
      <c r="A2153" s="146" t="inlineStr">
        <is>
          <t>BONUS-L1-FRIEND-15</t>
        </is>
      </c>
      <c r="B2153" s="39" t="inlineStr">
        <is>
          <t>1 уровень</t>
        </is>
      </c>
      <c r="C2153" s="34" t="inlineStr">
        <is>
          <t>Призы не на абонементы</t>
        </is>
      </c>
      <c r="D2153" s="34" t="inlineStr">
        <is>
          <t>Скидка 15% на второй абонемент для подруги</t>
        </is>
      </c>
      <c r="E2153" s="34" t="inlineStr">
        <is>
          <t>При покупке второго абонемента для подруги</t>
        </is>
      </c>
      <c r="F2153" s="147" t="inlineStr">
        <is>
          <t>FW-L1-RXVFX-B3JCM</t>
        </is>
      </c>
      <c r="G2153" s="39" t="inlineStr">
        <is>
          <t>Не использован</t>
        </is>
      </c>
      <c r="H2153" s="148" t="n"/>
      <c r="I2153" s="34" t="str"/>
      <c r="J2153" s="34" t="str"/>
      <c r="K2153" s="130" t="n">
        <v>146</v>
      </c>
      <c r="L2153" s="43">
        <f>IF(COUNTIF($F$5:$F$2407,F2153)=1,"OK","Дубликат")</f>
        <v/>
      </c>
    </row>
    <row r="2154" ht="38" customHeight="1">
      <c r="A2154" s="146" t="inlineStr">
        <is>
          <t>BONUS-L1-FRIEND-15</t>
        </is>
      </c>
      <c r="B2154" s="39" t="inlineStr">
        <is>
          <t>1 уровень</t>
        </is>
      </c>
      <c r="C2154" s="34" t="inlineStr">
        <is>
          <t>Призы не на абонементы</t>
        </is>
      </c>
      <c r="D2154" s="34" t="inlineStr">
        <is>
          <t>Скидка 15% на второй абонемент для подруги</t>
        </is>
      </c>
      <c r="E2154" s="34" t="inlineStr">
        <is>
          <t>При покупке второго абонемента для подруги</t>
        </is>
      </c>
      <c r="F2154" s="147" t="inlineStr">
        <is>
          <t>FW-L1-SHLU2-R39V7</t>
        </is>
      </c>
      <c r="G2154" s="39" t="inlineStr">
        <is>
          <t>Не использован</t>
        </is>
      </c>
      <c r="H2154" s="148" t="n"/>
      <c r="I2154" s="34" t="str"/>
      <c r="J2154" s="34" t="str"/>
      <c r="K2154" s="130" t="n">
        <v>147</v>
      </c>
      <c r="L2154" s="43">
        <f>IF(COUNTIF($F$5:$F$2407,F2154)=1,"OK","Дубликат")</f>
        <v/>
      </c>
    </row>
    <row r="2155" ht="38" customHeight="1">
      <c r="A2155" s="146" t="inlineStr">
        <is>
          <t>BONUS-L1-FRIEND-15</t>
        </is>
      </c>
      <c r="B2155" s="39" t="inlineStr">
        <is>
          <t>1 уровень</t>
        </is>
      </c>
      <c r="C2155" s="34" t="inlineStr">
        <is>
          <t>Призы не на абонементы</t>
        </is>
      </c>
      <c r="D2155" s="34" t="inlineStr">
        <is>
          <t>Скидка 15% на второй абонемент для подруги</t>
        </is>
      </c>
      <c r="E2155" s="34" t="inlineStr">
        <is>
          <t>При покупке второго абонемента для подруги</t>
        </is>
      </c>
      <c r="F2155" s="147" t="inlineStr">
        <is>
          <t>FW-L1-QYWEW-DDUE9</t>
        </is>
      </c>
      <c r="G2155" s="39" t="inlineStr">
        <is>
          <t>Не использован</t>
        </is>
      </c>
      <c r="H2155" s="148" t="n"/>
      <c r="I2155" s="34" t="str"/>
      <c r="J2155" s="34" t="str"/>
      <c r="K2155" s="130" t="n">
        <v>148</v>
      </c>
      <c r="L2155" s="43">
        <f>IF(COUNTIF($F$5:$F$2407,F2155)=1,"OK","Дубликат")</f>
        <v/>
      </c>
    </row>
    <row r="2156" ht="38" customHeight="1">
      <c r="A2156" s="146" t="inlineStr">
        <is>
          <t>BONUS-L1-FRIEND-15</t>
        </is>
      </c>
      <c r="B2156" s="39" t="inlineStr">
        <is>
          <t>1 уровень</t>
        </is>
      </c>
      <c r="C2156" s="34" t="inlineStr">
        <is>
          <t>Призы не на абонементы</t>
        </is>
      </c>
      <c r="D2156" s="34" t="inlineStr">
        <is>
          <t>Скидка 15% на второй абонемент для подруги</t>
        </is>
      </c>
      <c r="E2156" s="34" t="inlineStr">
        <is>
          <t>При покупке второго абонемента для подруги</t>
        </is>
      </c>
      <c r="F2156" s="147" t="inlineStr">
        <is>
          <t>FW-L1-C683W-8XGK2</t>
        </is>
      </c>
      <c r="G2156" s="39" t="inlineStr">
        <is>
          <t>Не использован</t>
        </is>
      </c>
      <c r="H2156" s="148" t="n"/>
      <c r="I2156" s="34" t="str"/>
      <c r="J2156" s="34" t="str"/>
      <c r="K2156" s="130" t="n">
        <v>149</v>
      </c>
      <c r="L2156" s="43">
        <f>IF(COUNTIF($F$5:$F$2407,F2156)=1,"OK","Дубликат")</f>
        <v/>
      </c>
    </row>
    <row r="2157" ht="38" customHeight="1">
      <c r="A2157" s="146" t="inlineStr">
        <is>
          <t>BONUS-L1-FRIEND-15</t>
        </is>
      </c>
      <c r="B2157" s="39" t="inlineStr">
        <is>
          <t>1 уровень</t>
        </is>
      </c>
      <c r="C2157" s="34" t="inlineStr">
        <is>
          <t>Призы не на абонементы</t>
        </is>
      </c>
      <c r="D2157" s="34" t="inlineStr">
        <is>
          <t>Скидка 15% на второй абонемент для подруги</t>
        </is>
      </c>
      <c r="E2157" s="34" t="inlineStr">
        <is>
          <t>При покупке второго абонемента для подруги</t>
        </is>
      </c>
      <c r="F2157" s="147" t="inlineStr">
        <is>
          <t>FW-L1-QFY8Y-CJD77</t>
        </is>
      </c>
      <c r="G2157" s="39" t="inlineStr">
        <is>
          <t>Не использован</t>
        </is>
      </c>
      <c r="H2157" s="148" t="n"/>
      <c r="I2157" s="34" t="str"/>
      <c r="J2157" s="34" t="str"/>
      <c r="K2157" s="130" t="n">
        <v>150</v>
      </c>
      <c r="L2157" s="43">
        <f>IF(COUNTIF($F$5:$F$2407,F2157)=1,"OK","Дубликат")</f>
        <v/>
      </c>
    </row>
    <row r="2158" ht="38" customHeight="1">
      <c r="A2158" s="146" t="inlineStr">
        <is>
          <t>BONUS-L1-FRIEND-15</t>
        </is>
      </c>
      <c r="B2158" s="39" t="inlineStr">
        <is>
          <t>1 уровень</t>
        </is>
      </c>
      <c r="C2158" s="34" t="inlineStr">
        <is>
          <t>Призы не на абонементы</t>
        </is>
      </c>
      <c r="D2158" s="34" t="inlineStr">
        <is>
          <t>Скидка 15% на второй абонемент для подруги</t>
        </is>
      </c>
      <c r="E2158" s="34" t="inlineStr">
        <is>
          <t>При покупке второго абонемента для подруги</t>
        </is>
      </c>
      <c r="F2158" s="147" t="inlineStr">
        <is>
          <t>FW-L1-LRV9Q-36YGF</t>
        </is>
      </c>
      <c r="G2158" s="39" t="inlineStr">
        <is>
          <t>Не использован</t>
        </is>
      </c>
      <c r="H2158" s="148" t="n"/>
      <c r="I2158" s="34" t="str"/>
      <c r="J2158" s="34" t="str"/>
      <c r="K2158" s="130" t="n">
        <v>151</v>
      </c>
      <c r="L2158" s="43">
        <f>IF(COUNTIF($F$5:$F$2407,F2158)=1,"OK","Дубликат")</f>
        <v/>
      </c>
    </row>
    <row r="2159" ht="38" customHeight="1">
      <c r="A2159" s="146" t="inlineStr">
        <is>
          <t>BONUS-L1-FRIEND-15</t>
        </is>
      </c>
      <c r="B2159" s="39" t="inlineStr">
        <is>
          <t>1 уровень</t>
        </is>
      </c>
      <c r="C2159" s="34" t="inlineStr">
        <is>
          <t>Призы не на абонементы</t>
        </is>
      </c>
      <c r="D2159" s="34" t="inlineStr">
        <is>
          <t>Скидка 15% на второй абонемент для подруги</t>
        </is>
      </c>
      <c r="E2159" s="34" t="inlineStr">
        <is>
          <t>При покупке второго абонемента для подруги</t>
        </is>
      </c>
      <c r="F2159" s="147" t="inlineStr">
        <is>
          <t>FW-L1-P3N98-54KEC</t>
        </is>
      </c>
      <c r="G2159" s="39" t="inlineStr">
        <is>
          <t>Не использован</t>
        </is>
      </c>
      <c r="H2159" s="148" t="n"/>
      <c r="I2159" s="34" t="str"/>
      <c r="J2159" s="34" t="str"/>
      <c r="K2159" s="130" t="n">
        <v>152</v>
      </c>
      <c r="L2159" s="43">
        <f>IF(COUNTIF($F$5:$F$2407,F2159)=1,"OK","Дубликат")</f>
        <v/>
      </c>
    </row>
    <row r="2160" ht="38" customHeight="1">
      <c r="A2160" s="146" t="inlineStr">
        <is>
          <t>BONUS-L1-FRIEND-15</t>
        </is>
      </c>
      <c r="B2160" s="39" t="inlineStr">
        <is>
          <t>1 уровень</t>
        </is>
      </c>
      <c r="C2160" s="34" t="inlineStr">
        <is>
          <t>Призы не на абонементы</t>
        </is>
      </c>
      <c r="D2160" s="34" t="inlineStr">
        <is>
          <t>Скидка 15% на второй абонемент для подруги</t>
        </is>
      </c>
      <c r="E2160" s="34" t="inlineStr">
        <is>
          <t>При покупке второго абонемента для подруги</t>
        </is>
      </c>
      <c r="F2160" s="147" t="inlineStr">
        <is>
          <t>FW-L1-EG98B-P47M6</t>
        </is>
      </c>
      <c r="G2160" s="39" t="inlineStr">
        <is>
          <t>Не использован</t>
        </is>
      </c>
      <c r="H2160" s="148" t="n"/>
      <c r="I2160" s="34" t="str"/>
      <c r="J2160" s="34" t="str"/>
      <c r="K2160" s="130" t="n">
        <v>153</v>
      </c>
      <c r="L2160" s="43">
        <f>IF(COUNTIF($F$5:$F$2407,F2160)=1,"OK","Дубликат")</f>
        <v/>
      </c>
    </row>
    <row r="2161" ht="38" customHeight="1">
      <c r="A2161" s="146" t="inlineStr">
        <is>
          <t>BONUS-L1-FRIEND-15</t>
        </is>
      </c>
      <c r="B2161" s="39" t="inlineStr">
        <is>
          <t>1 уровень</t>
        </is>
      </c>
      <c r="C2161" s="34" t="inlineStr">
        <is>
          <t>Призы не на абонементы</t>
        </is>
      </c>
      <c r="D2161" s="34" t="inlineStr">
        <is>
          <t>Скидка 15% на второй абонемент для подруги</t>
        </is>
      </c>
      <c r="E2161" s="34" t="inlineStr">
        <is>
          <t>При покупке второго абонемента для подруги</t>
        </is>
      </c>
      <c r="F2161" s="147" t="inlineStr">
        <is>
          <t>FW-L1-RYUTH-Q5GAL</t>
        </is>
      </c>
      <c r="G2161" s="39" t="inlineStr">
        <is>
          <t>Не использован</t>
        </is>
      </c>
      <c r="H2161" s="148" t="n"/>
      <c r="I2161" s="34" t="str"/>
      <c r="J2161" s="34" t="str"/>
      <c r="K2161" s="130" t="n">
        <v>154</v>
      </c>
      <c r="L2161" s="43">
        <f>IF(COUNTIF($F$5:$F$2407,F2161)=1,"OK","Дубликат")</f>
        <v/>
      </c>
    </row>
    <row r="2162" ht="38" customHeight="1">
      <c r="A2162" s="146" t="inlineStr">
        <is>
          <t>BONUS-L1-FRIEND-15</t>
        </is>
      </c>
      <c r="B2162" s="39" t="inlineStr">
        <is>
          <t>1 уровень</t>
        </is>
      </c>
      <c r="C2162" s="34" t="inlineStr">
        <is>
          <t>Призы не на абонементы</t>
        </is>
      </c>
      <c r="D2162" s="34" t="inlineStr">
        <is>
          <t>Скидка 15% на второй абонемент для подруги</t>
        </is>
      </c>
      <c r="E2162" s="34" t="inlineStr">
        <is>
          <t>При покупке второго абонемента для подруги</t>
        </is>
      </c>
      <c r="F2162" s="147" t="inlineStr">
        <is>
          <t>FW-L1-LCFYC-UYDF7</t>
        </is>
      </c>
      <c r="G2162" s="39" t="inlineStr">
        <is>
          <t>Не использован</t>
        </is>
      </c>
      <c r="H2162" s="148" t="n"/>
      <c r="I2162" s="34" t="str"/>
      <c r="J2162" s="34" t="str"/>
      <c r="K2162" s="130" t="n">
        <v>155</v>
      </c>
      <c r="L2162" s="43">
        <f>IF(COUNTIF($F$5:$F$2407,F2162)=1,"OK","Дубликат")</f>
        <v/>
      </c>
    </row>
    <row r="2163" ht="38" customHeight="1">
      <c r="A2163" s="146" t="inlineStr">
        <is>
          <t>BONUS-L1-FRIEND-15</t>
        </is>
      </c>
      <c r="B2163" s="39" t="inlineStr">
        <is>
          <t>1 уровень</t>
        </is>
      </c>
      <c r="C2163" s="34" t="inlineStr">
        <is>
          <t>Призы не на абонементы</t>
        </is>
      </c>
      <c r="D2163" s="34" t="inlineStr">
        <is>
          <t>Скидка 15% на второй абонемент для подруги</t>
        </is>
      </c>
      <c r="E2163" s="34" t="inlineStr">
        <is>
          <t>При покупке второго абонемента для подруги</t>
        </is>
      </c>
      <c r="F2163" s="147" t="inlineStr">
        <is>
          <t>FW-L1-5UCDE-AA3D5</t>
        </is>
      </c>
      <c r="G2163" s="39" t="inlineStr">
        <is>
          <t>Не использован</t>
        </is>
      </c>
      <c r="H2163" s="148" t="n"/>
      <c r="I2163" s="34" t="str"/>
      <c r="J2163" s="34" t="str"/>
      <c r="K2163" s="130" t="n">
        <v>156</v>
      </c>
      <c r="L2163" s="43">
        <f>IF(COUNTIF($F$5:$F$2407,F2163)=1,"OK","Дубликат")</f>
        <v/>
      </c>
    </row>
    <row r="2164" ht="38" customHeight="1">
      <c r="A2164" s="146" t="inlineStr">
        <is>
          <t>BONUS-L1-FRIEND-15</t>
        </is>
      </c>
      <c r="B2164" s="39" t="inlineStr">
        <is>
          <t>1 уровень</t>
        </is>
      </c>
      <c r="C2164" s="34" t="inlineStr">
        <is>
          <t>Призы не на абонементы</t>
        </is>
      </c>
      <c r="D2164" s="34" t="inlineStr">
        <is>
          <t>Скидка 15% на второй абонемент для подруги</t>
        </is>
      </c>
      <c r="E2164" s="34" t="inlineStr">
        <is>
          <t>При покупке второго абонемента для подруги</t>
        </is>
      </c>
      <c r="F2164" s="147" t="inlineStr">
        <is>
          <t>FW-L1-JZVEU-D4EHE</t>
        </is>
      </c>
      <c r="G2164" s="39" t="inlineStr">
        <is>
          <t>Не использован</t>
        </is>
      </c>
      <c r="H2164" s="148" t="n"/>
      <c r="I2164" s="34" t="str"/>
      <c r="J2164" s="34" t="str"/>
      <c r="K2164" s="130" t="n">
        <v>157</v>
      </c>
      <c r="L2164" s="43">
        <f>IF(COUNTIF($F$5:$F$2407,F2164)=1,"OK","Дубликат")</f>
        <v/>
      </c>
    </row>
    <row r="2165" ht="38" customHeight="1">
      <c r="A2165" s="146" t="inlineStr">
        <is>
          <t>BONUS-L1-FRIEND-15</t>
        </is>
      </c>
      <c r="B2165" s="39" t="inlineStr">
        <is>
          <t>1 уровень</t>
        </is>
      </c>
      <c r="C2165" s="34" t="inlineStr">
        <is>
          <t>Призы не на абонементы</t>
        </is>
      </c>
      <c r="D2165" s="34" t="inlineStr">
        <is>
          <t>Скидка 15% на второй абонемент для подруги</t>
        </is>
      </c>
      <c r="E2165" s="34" t="inlineStr">
        <is>
          <t>При покупке второго абонемента для подруги</t>
        </is>
      </c>
      <c r="F2165" s="147" t="inlineStr">
        <is>
          <t>FW-L1-BFDZE-27K3X</t>
        </is>
      </c>
      <c r="G2165" s="39" t="inlineStr">
        <is>
          <t>Не использован</t>
        </is>
      </c>
      <c r="H2165" s="148" t="n"/>
      <c r="I2165" s="34" t="str"/>
      <c r="J2165" s="34" t="str"/>
      <c r="K2165" s="130" t="n">
        <v>158</v>
      </c>
      <c r="L2165" s="43">
        <f>IF(COUNTIF($F$5:$F$2407,F2165)=1,"OK","Дубликат")</f>
        <v/>
      </c>
    </row>
    <row r="2166" ht="38" customHeight="1">
      <c r="A2166" s="146" t="inlineStr">
        <is>
          <t>BONUS-L1-FRIEND-15</t>
        </is>
      </c>
      <c r="B2166" s="39" t="inlineStr">
        <is>
          <t>1 уровень</t>
        </is>
      </c>
      <c r="C2166" s="34" t="inlineStr">
        <is>
          <t>Призы не на абонементы</t>
        </is>
      </c>
      <c r="D2166" s="34" t="inlineStr">
        <is>
          <t>Скидка 15% на второй абонемент для подруги</t>
        </is>
      </c>
      <c r="E2166" s="34" t="inlineStr">
        <is>
          <t>При покупке второго абонемента для подруги</t>
        </is>
      </c>
      <c r="F2166" s="147" t="inlineStr">
        <is>
          <t>FW-L1-55SWQ-VSB84</t>
        </is>
      </c>
      <c r="G2166" s="39" t="inlineStr">
        <is>
          <t>Не использован</t>
        </is>
      </c>
      <c r="H2166" s="148" t="n"/>
      <c r="I2166" s="34" t="str"/>
      <c r="J2166" s="34" t="str"/>
      <c r="K2166" s="130" t="n">
        <v>159</v>
      </c>
      <c r="L2166" s="43">
        <f>IF(COUNTIF($F$5:$F$2407,F2166)=1,"OK","Дубликат")</f>
        <v/>
      </c>
    </row>
    <row r="2167" ht="38" customHeight="1">
      <c r="A2167" s="146" t="inlineStr">
        <is>
          <t>BONUS-L1-FRIEND-15</t>
        </is>
      </c>
      <c r="B2167" s="39" t="inlineStr">
        <is>
          <t>1 уровень</t>
        </is>
      </c>
      <c r="C2167" s="34" t="inlineStr">
        <is>
          <t>Призы не на абонементы</t>
        </is>
      </c>
      <c r="D2167" s="34" t="inlineStr">
        <is>
          <t>Скидка 15% на второй абонемент для подруги</t>
        </is>
      </c>
      <c r="E2167" s="34" t="inlineStr">
        <is>
          <t>При покупке второго абонемента для подруги</t>
        </is>
      </c>
      <c r="F2167" s="147" t="inlineStr">
        <is>
          <t>FW-L1-56C2H-45UZB</t>
        </is>
      </c>
      <c r="G2167" s="39" t="inlineStr">
        <is>
          <t>Не использован</t>
        </is>
      </c>
      <c r="H2167" s="148" t="n"/>
      <c r="I2167" s="34" t="str"/>
      <c r="J2167" s="34" t="str"/>
      <c r="K2167" s="130" t="n">
        <v>160</v>
      </c>
      <c r="L2167" s="43">
        <f>IF(COUNTIF($F$5:$F$2407,F2167)=1,"OK","Дубликат")</f>
        <v/>
      </c>
    </row>
    <row r="2168" ht="38" customHeight="1">
      <c r="A2168" s="146" t="inlineStr">
        <is>
          <t>BONUS-L1-FRIEND-15</t>
        </is>
      </c>
      <c r="B2168" s="39" t="inlineStr">
        <is>
          <t>1 уровень</t>
        </is>
      </c>
      <c r="C2168" s="34" t="inlineStr">
        <is>
          <t>Призы не на абонементы</t>
        </is>
      </c>
      <c r="D2168" s="34" t="inlineStr">
        <is>
          <t>Скидка 15% на второй абонемент для подруги</t>
        </is>
      </c>
      <c r="E2168" s="34" t="inlineStr">
        <is>
          <t>При покупке второго абонемента для подруги</t>
        </is>
      </c>
      <c r="F2168" s="147" t="inlineStr">
        <is>
          <t>FW-L1-S34FU-RUAWS</t>
        </is>
      </c>
      <c r="G2168" s="39" t="inlineStr">
        <is>
          <t>Не использован</t>
        </is>
      </c>
      <c r="H2168" s="148" t="n"/>
      <c r="I2168" s="34" t="str"/>
      <c r="J2168" s="34" t="str"/>
      <c r="K2168" s="130" t="n">
        <v>161</v>
      </c>
      <c r="L2168" s="43">
        <f>IF(COUNTIF($F$5:$F$2407,F2168)=1,"OK","Дубликат")</f>
        <v/>
      </c>
    </row>
    <row r="2169" ht="38" customHeight="1">
      <c r="A2169" s="146" t="inlineStr">
        <is>
          <t>BONUS-L1-FRIEND-15</t>
        </is>
      </c>
      <c r="B2169" s="39" t="inlineStr">
        <is>
          <t>1 уровень</t>
        </is>
      </c>
      <c r="C2169" s="34" t="inlineStr">
        <is>
          <t>Призы не на абонементы</t>
        </is>
      </c>
      <c r="D2169" s="34" t="inlineStr">
        <is>
          <t>Скидка 15% на второй абонемент для подруги</t>
        </is>
      </c>
      <c r="E2169" s="34" t="inlineStr">
        <is>
          <t>При покупке второго абонемента для подруги</t>
        </is>
      </c>
      <c r="F2169" s="147" t="inlineStr">
        <is>
          <t>FW-L1-L3QV7-29NBS</t>
        </is>
      </c>
      <c r="G2169" s="39" t="inlineStr">
        <is>
          <t>Не использован</t>
        </is>
      </c>
      <c r="H2169" s="148" t="n"/>
      <c r="I2169" s="34" t="str"/>
      <c r="J2169" s="34" t="str"/>
      <c r="K2169" s="130" t="n">
        <v>162</v>
      </c>
      <c r="L2169" s="43">
        <f>IF(COUNTIF($F$5:$F$2407,F2169)=1,"OK","Дубликат")</f>
        <v/>
      </c>
    </row>
    <row r="2170" ht="38" customHeight="1">
      <c r="A2170" s="146" t="inlineStr">
        <is>
          <t>BONUS-L1-FRIEND-15</t>
        </is>
      </c>
      <c r="B2170" s="39" t="inlineStr">
        <is>
          <t>1 уровень</t>
        </is>
      </c>
      <c r="C2170" s="34" t="inlineStr">
        <is>
          <t>Призы не на абонементы</t>
        </is>
      </c>
      <c r="D2170" s="34" t="inlineStr">
        <is>
          <t>Скидка 15% на второй абонемент для подруги</t>
        </is>
      </c>
      <c r="E2170" s="34" t="inlineStr">
        <is>
          <t>При покупке второго абонемента для подруги</t>
        </is>
      </c>
      <c r="F2170" s="147" t="inlineStr">
        <is>
          <t>FW-L1-EWFQM-SABET</t>
        </is>
      </c>
      <c r="G2170" s="39" t="inlineStr">
        <is>
          <t>Не использован</t>
        </is>
      </c>
      <c r="H2170" s="148" t="n"/>
      <c r="I2170" s="34" t="str"/>
      <c r="J2170" s="34" t="str"/>
      <c r="K2170" s="130" t="n">
        <v>163</v>
      </c>
      <c r="L2170" s="43">
        <f>IF(COUNTIF($F$5:$F$2407,F2170)=1,"OK","Дубликат")</f>
        <v/>
      </c>
    </row>
    <row r="2171" ht="38" customHeight="1">
      <c r="A2171" s="146" t="inlineStr">
        <is>
          <t>BONUS-L1-FRIEND-15</t>
        </is>
      </c>
      <c r="B2171" s="39" t="inlineStr">
        <is>
          <t>1 уровень</t>
        </is>
      </c>
      <c r="C2171" s="34" t="inlineStr">
        <is>
          <t>Призы не на абонементы</t>
        </is>
      </c>
      <c r="D2171" s="34" t="inlineStr">
        <is>
          <t>Скидка 15% на второй абонемент для подруги</t>
        </is>
      </c>
      <c r="E2171" s="34" t="inlineStr">
        <is>
          <t>При покупке второго абонемента для подруги</t>
        </is>
      </c>
      <c r="F2171" s="147" t="inlineStr">
        <is>
          <t>FW-L1-NU2JH-4JRJ2</t>
        </is>
      </c>
      <c r="G2171" s="39" t="inlineStr">
        <is>
          <t>Не использован</t>
        </is>
      </c>
      <c r="H2171" s="148" t="n"/>
      <c r="I2171" s="34" t="str"/>
      <c r="J2171" s="34" t="str"/>
      <c r="K2171" s="130" t="n">
        <v>164</v>
      </c>
      <c r="L2171" s="43">
        <f>IF(COUNTIF($F$5:$F$2407,F2171)=1,"OK","Дубликат")</f>
        <v/>
      </c>
    </row>
    <row r="2172" ht="38" customHeight="1">
      <c r="A2172" s="146" t="inlineStr">
        <is>
          <t>BONUS-L1-FRIEND-15</t>
        </is>
      </c>
      <c r="B2172" s="39" t="inlineStr">
        <is>
          <t>1 уровень</t>
        </is>
      </c>
      <c r="C2172" s="34" t="inlineStr">
        <is>
          <t>Призы не на абонементы</t>
        </is>
      </c>
      <c r="D2172" s="34" t="inlineStr">
        <is>
          <t>Скидка 15% на второй абонемент для подруги</t>
        </is>
      </c>
      <c r="E2172" s="34" t="inlineStr">
        <is>
          <t>При покупке второго абонемента для подруги</t>
        </is>
      </c>
      <c r="F2172" s="147" t="inlineStr">
        <is>
          <t>FW-L1-T4B7N-JNU32</t>
        </is>
      </c>
      <c r="G2172" s="39" t="inlineStr">
        <is>
          <t>Не использован</t>
        </is>
      </c>
      <c r="H2172" s="148" t="n"/>
      <c r="I2172" s="34" t="str"/>
      <c r="J2172" s="34" t="str"/>
      <c r="K2172" s="130" t="n">
        <v>165</v>
      </c>
      <c r="L2172" s="43">
        <f>IF(COUNTIF($F$5:$F$2407,F2172)=1,"OK","Дубликат")</f>
        <v/>
      </c>
    </row>
    <row r="2173" ht="38" customHeight="1">
      <c r="A2173" s="146" t="inlineStr">
        <is>
          <t>BONUS-L1-FRIEND-15</t>
        </is>
      </c>
      <c r="B2173" s="39" t="inlineStr">
        <is>
          <t>1 уровень</t>
        </is>
      </c>
      <c r="C2173" s="34" t="inlineStr">
        <is>
          <t>Призы не на абонементы</t>
        </is>
      </c>
      <c r="D2173" s="34" t="inlineStr">
        <is>
          <t>Скидка 15% на второй абонемент для подруги</t>
        </is>
      </c>
      <c r="E2173" s="34" t="inlineStr">
        <is>
          <t>При покупке второго абонемента для подруги</t>
        </is>
      </c>
      <c r="F2173" s="147" t="inlineStr">
        <is>
          <t>FW-L1-RC4YH-7L9DN</t>
        </is>
      </c>
      <c r="G2173" s="39" t="inlineStr">
        <is>
          <t>Не использован</t>
        </is>
      </c>
      <c r="H2173" s="148" t="n"/>
      <c r="I2173" s="34" t="str"/>
      <c r="J2173" s="34" t="str"/>
      <c r="K2173" s="130" t="n">
        <v>166</v>
      </c>
      <c r="L2173" s="43">
        <f>IF(COUNTIF($F$5:$F$2407,F2173)=1,"OK","Дубликат")</f>
        <v/>
      </c>
    </row>
    <row r="2174" ht="38" customHeight="1">
      <c r="A2174" s="146" t="inlineStr">
        <is>
          <t>BONUS-L1-FRIEND-15</t>
        </is>
      </c>
      <c r="B2174" s="39" t="inlineStr">
        <is>
          <t>1 уровень</t>
        </is>
      </c>
      <c r="C2174" s="34" t="inlineStr">
        <is>
          <t>Призы не на абонементы</t>
        </is>
      </c>
      <c r="D2174" s="34" t="inlineStr">
        <is>
          <t>Скидка 15% на второй абонемент для подруги</t>
        </is>
      </c>
      <c r="E2174" s="34" t="inlineStr">
        <is>
          <t>При покупке второго абонемента для подруги</t>
        </is>
      </c>
      <c r="F2174" s="147" t="inlineStr">
        <is>
          <t>FW-L1-B8C2U-Q3M9Z</t>
        </is>
      </c>
      <c r="G2174" s="39" t="inlineStr">
        <is>
          <t>Не использован</t>
        </is>
      </c>
      <c r="H2174" s="148" t="n"/>
      <c r="I2174" s="34" t="str"/>
      <c r="J2174" s="34" t="str"/>
      <c r="K2174" s="130" t="n">
        <v>167</v>
      </c>
      <c r="L2174" s="43">
        <f>IF(COUNTIF($F$5:$F$2407,F2174)=1,"OK","Дубликат")</f>
        <v/>
      </c>
    </row>
    <row r="2175" ht="38" customHeight="1">
      <c r="A2175" s="146" t="inlineStr">
        <is>
          <t>BONUS-L1-FRIEND-15</t>
        </is>
      </c>
      <c r="B2175" s="39" t="inlineStr">
        <is>
          <t>1 уровень</t>
        </is>
      </c>
      <c r="C2175" s="34" t="inlineStr">
        <is>
          <t>Призы не на абонементы</t>
        </is>
      </c>
      <c r="D2175" s="34" t="inlineStr">
        <is>
          <t>Скидка 15% на второй абонемент для подруги</t>
        </is>
      </c>
      <c r="E2175" s="34" t="inlineStr">
        <is>
          <t>При покупке второго абонемента для подруги</t>
        </is>
      </c>
      <c r="F2175" s="147" t="inlineStr">
        <is>
          <t>FW-L1-G5QAS-HFLNF</t>
        </is>
      </c>
      <c r="G2175" s="39" t="inlineStr">
        <is>
          <t>Не использован</t>
        </is>
      </c>
      <c r="H2175" s="148" t="n"/>
      <c r="I2175" s="34" t="str"/>
      <c r="J2175" s="34" t="str"/>
      <c r="K2175" s="130" t="n">
        <v>168</v>
      </c>
      <c r="L2175" s="43">
        <f>IF(COUNTIF($F$5:$F$2407,F2175)=1,"OK","Дубликат")</f>
        <v/>
      </c>
    </row>
    <row r="2176" ht="38" customHeight="1">
      <c r="A2176" s="146" t="inlineStr">
        <is>
          <t>BONUS-L1-FRIEND-15</t>
        </is>
      </c>
      <c r="B2176" s="39" t="inlineStr">
        <is>
          <t>1 уровень</t>
        </is>
      </c>
      <c r="C2176" s="34" t="inlineStr">
        <is>
          <t>Призы не на абонементы</t>
        </is>
      </c>
      <c r="D2176" s="34" t="inlineStr">
        <is>
          <t>Скидка 15% на второй абонемент для подруги</t>
        </is>
      </c>
      <c r="E2176" s="34" t="inlineStr">
        <is>
          <t>При покупке второго абонемента для подруги</t>
        </is>
      </c>
      <c r="F2176" s="147" t="inlineStr">
        <is>
          <t>FW-L1-9YNCV-UP3PY</t>
        </is>
      </c>
      <c r="G2176" s="39" t="inlineStr">
        <is>
          <t>Не использован</t>
        </is>
      </c>
      <c r="H2176" s="148" t="n"/>
      <c r="I2176" s="34" t="str"/>
      <c r="J2176" s="34" t="str"/>
      <c r="K2176" s="130" t="n">
        <v>169</v>
      </c>
      <c r="L2176" s="43">
        <f>IF(COUNTIF($F$5:$F$2407,F2176)=1,"OK","Дубликат")</f>
        <v/>
      </c>
    </row>
    <row r="2177" ht="38" customHeight="1">
      <c r="A2177" s="146" t="inlineStr">
        <is>
          <t>BONUS-L1-FRIEND-15</t>
        </is>
      </c>
      <c r="B2177" s="39" t="inlineStr">
        <is>
          <t>1 уровень</t>
        </is>
      </c>
      <c r="C2177" s="34" t="inlineStr">
        <is>
          <t>Призы не на абонементы</t>
        </is>
      </c>
      <c r="D2177" s="34" t="inlineStr">
        <is>
          <t>Скидка 15% на второй абонемент для подруги</t>
        </is>
      </c>
      <c r="E2177" s="34" t="inlineStr">
        <is>
          <t>При покупке второго абонемента для подруги</t>
        </is>
      </c>
      <c r="F2177" s="147" t="inlineStr">
        <is>
          <t>FW-L1-FJ9S2-PAQJR</t>
        </is>
      </c>
      <c r="G2177" s="39" t="inlineStr">
        <is>
          <t>Не использован</t>
        </is>
      </c>
      <c r="H2177" s="148" t="n"/>
      <c r="I2177" s="34" t="str"/>
      <c r="J2177" s="34" t="str"/>
      <c r="K2177" s="130" t="n">
        <v>170</v>
      </c>
      <c r="L2177" s="43">
        <f>IF(COUNTIF($F$5:$F$2407,F2177)=1,"OK","Дубликат")</f>
        <v/>
      </c>
    </row>
    <row r="2178" ht="38" customHeight="1">
      <c r="A2178" s="146" t="inlineStr">
        <is>
          <t>BONUS-L1-FRIEND-15</t>
        </is>
      </c>
      <c r="B2178" s="39" t="inlineStr">
        <is>
          <t>1 уровень</t>
        </is>
      </c>
      <c r="C2178" s="34" t="inlineStr">
        <is>
          <t>Призы не на абонементы</t>
        </is>
      </c>
      <c r="D2178" s="34" t="inlineStr">
        <is>
          <t>Скидка 15% на второй абонемент для подруги</t>
        </is>
      </c>
      <c r="E2178" s="34" t="inlineStr">
        <is>
          <t>При покупке второго абонемента для подруги</t>
        </is>
      </c>
      <c r="F2178" s="147" t="inlineStr">
        <is>
          <t>FW-L1-VGNQ3-CFHZ7</t>
        </is>
      </c>
      <c r="G2178" s="39" t="inlineStr">
        <is>
          <t>Не использован</t>
        </is>
      </c>
      <c r="H2178" s="148" t="n"/>
      <c r="I2178" s="34" t="str"/>
      <c r="J2178" s="34" t="str"/>
      <c r="K2178" s="130" t="n">
        <v>171</v>
      </c>
      <c r="L2178" s="43">
        <f>IF(COUNTIF($F$5:$F$2407,F2178)=1,"OK","Дубликат")</f>
        <v/>
      </c>
    </row>
    <row r="2179" ht="38" customHeight="1">
      <c r="A2179" s="146" t="inlineStr">
        <is>
          <t>BONUS-L1-FRIEND-15</t>
        </is>
      </c>
      <c r="B2179" s="39" t="inlineStr">
        <is>
          <t>1 уровень</t>
        </is>
      </c>
      <c r="C2179" s="34" t="inlineStr">
        <is>
          <t>Призы не на абонементы</t>
        </is>
      </c>
      <c r="D2179" s="34" t="inlineStr">
        <is>
          <t>Скидка 15% на второй абонемент для подруги</t>
        </is>
      </c>
      <c r="E2179" s="34" t="inlineStr">
        <is>
          <t>При покупке второго абонемента для подруги</t>
        </is>
      </c>
      <c r="F2179" s="147" t="inlineStr">
        <is>
          <t>FW-L1-MH5L7-KG39E</t>
        </is>
      </c>
      <c r="G2179" s="39" t="inlineStr">
        <is>
          <t>Не использован</t>
        </is>
      </c>
      <c r="H2179" s="148" t="n"/>
      <c r="I2179" s="34" t="str"/>
      <c r="J2179" s="34" t="str"/>
      <c r="K2179" s="130" t="n">
        <v>172</v>
      </c>
      <c r="L2179" s="43">
        <f>IF(COUNTIF($F$5:$F$2407,F2179)=1,"OK","Дубликат")</f>
        <v/>
      </c>
    </row>
    <row r="2180" ht="38" customHeight="1">
      <c r="A2180" s="146" t="inlineStr">
        <is>
          <t>BONUS-L1-FRIEND-15</t>
        </is>
      </c>
      <c r="B2180" s="39" t="inlineStr">
        <is>
          <t>1 уровень</t>
        </is>
      </c>
      <c r="C2180" s="34" t="inlineStr">
        <is>
          <t>Призы не на абонементы</t>
        </is>
      </c>
      <c r="D2180" s="34" t="inlineStr">
        <is>
          <t>Скидка 15% на второй абонемент для подруги</t>
        </is>
      </c>
      <c r="E2180" s="34" t="inlineStr">
        <is>
          <t>При покупке второго абонемента для подруги</t>
        </is>
      </c>
      <c r="F2180" s="147" t="inlineStr">
        <is>
          <t>FW-L1-XAJP6-WA5D5</t>
        </is>
      </c>
      <c r="G2180" s="39" t="inlineStr">
        <is>
          <t>Не использован</t>
        </is>
      </c>
      <c r="H2180" s="148" t="n"/>
      <c r="I2180" s="34" t="str"/>
      <c r="J2180" s="34" t="str"/>
      <c r="K2180" s="130" t="n">
        <v>173</v>
      </c>
      <c r="L2180" s="43">
        <f>IF(COUNTIF($F$5:$F$2407,F2180)=1,"OK","Дубликат")</f>
        <v/>
      </c>
    </row>
    <row r="2181" ht="38" customHeight="1">
      <c r="A2181" s="146" t="inlineStr">
        <is>
          <t>BONUS-L1-FRIEND-15</t>
        </is>
      </c>
      <c r="B2181" s="39" t="inlineStr">
        <is>
          <t>1 уровень</t>
        </is>
      </c>
      <c r="C2181" s="34" t="inlineStr">
        <is>
          <t>Призы не на абонементы</t>
        </is>
      </c>
      <c r="D2181" s="34" t="inlineStr">
        <is>
          <t>Скидка 15% на второй абонемент для подруги</t>
        </is>
      </c>
      <c r="E2181" s="34" t="inlineStr">
        <is>
          <t>При покупке второго абонемента для подруги</t>
        </is>
      </c>
      <c r="F2181" s="147" t="inlineStr">
        <is>
          <t>FW-L1-SWQ3Y-WCSD2</t>
        </is>
      </c>
      <c r="G2181" s="39" t="inlineStr">
        <is>
          <t>Не использован</t>
        </is>
      </c>
      <c r="H2181" s="148" t="n"/>
      <c r="I2181" s="34" t="str"/>
      <c r="J2181" s="34" t="str"/>
      <c r="K2181" s="130" t="n">
        <v>174</v>
      </c>
      <c r="L2181" s="43">
        <f>IF(COUNTIF($F$5:$F$2407,F2181)=1,"OK","Дубликат")</f>
        <v/>
      </c>
    </row>
    <row r="2182" ht="38" customHeight="1">
      <c r="A2182" s="146" t="inlineStr">
        <is>
          <t>BONUS-L1-FRIEND-15</t>
        </is>
      </c>
      <c r="B2182" s="39" t="inlineStr">
        <is>
          <t>1 уровень</t>
        </is>
      </c>
      <c r="C2182" s="34" t="inlineStr">
        <is>
          <t>Призы не на абонементы</t>
        </is>
      </c>
      <c r="D2182" s="34" t="inlineStr">
        <is>
          <t>Скидка 15% на второй абонемент для подруги</t>
        </is>
      </c>
      <c r="E2182" s="34" t="inlineStr">
        <is>
          <t>При покупке второго абонемента для подруги</t>
        </is>
      </c>
      <c r="F2182" s="147" t="inlineStr">
        <is>
          <t>FW-L1-EAQT9-EHLR7</t>
        </is>
      </c>
      <c r="G2182" s="39" t="inlineStr">
        <is>
          <t>Не использован</t>
        </is>
      </c>
      <c r="H2182" s="148" t="n"/>
      <c r="I2182" s="34" t="str"/>
      <c r="J2182" s="34" t="str"/>
      <c r="K2182" s="130" t="n">
        <v>175</v>
      </c>
      <c r="L2182" s="43">
        <f>IF(COUNTIF($F$5:$F$2407,F2182)=1,"OK","Дубликат")</f>
        <v/>
      </c>
    </row>
    <row r="2183" ht="38" customHeight="1">
      <c r="A2183" s="146" t="inlineStr">
        <is>
          <t>BONUS-L1-FRIEND-15</t>
        </is>
      </c>
      <c r="B2183" s="39" t="inlineStr">
        <is>
          <t>1 уровень</t>
        </is>
      </c>
      <c r="C2183" s="34" t="inlineStr">
        <is>
          <t>Призы не на абонементы</t>
        </is>
      </c>
      <c r="D2183" s="34" t="inlineStr">
        <is>
          <t>Скидка 15% на второй абонемент для подруги</t>
        </is>
      </c>
      <c r="E2183" s="34" t="inlineStr">
        <is>
          <t>При покупке второго абонемента для подруги</t>
        </is>
      </c>
      <c r="F2183" s="147" t="inlineStr">
        <is>
          <t>FW-L1-K6U7L-6Y7VT</t>
        </is>
      </c>
      <c r="G2183" s="39" t="inlineStr">
        <is>
          <t>Не использован</t>
        </is>
      </c>
      <c r="H2183" s="148" t="n"/>
      <c r="I2183" s="34" t="str"/>
      <c r="J2183" s="34" t="str"/>
      <c r="K2183" s="130" t="n">
        <v>176</v>
      </c>
      <c r="L2183" s="43">
        <f>IF(COUNTIF($F$5:$F$2407,F2183)=1,"OK","Дубликат")</f>
        <v/>
      </c>
    </row>
    <row r="2184" ht="38" customHeight="1">
      <c r="A2184" s="146" t="inlineStr">
        <is>
          <t>BONUS-L1-FRIEND-15</t>
        </is>
      </c>
      <c r="B2184" s="39" t="inlineStr">
        <is>
          <t>1 уровень</t>
        </is>
      </c>
      <c r="C2184" s="34" t="inlineStr">
        <is>
          <t>Призы не на абонементы</t>
        </is>
      </c>
      <c r="D2184" s="34" t="inlineStr">
        <is>
          <t>Скидка 15% на второй абонемент для подруги</t>
        </is>
      </c>
      <c r="E2184" s="34" t="inlineStr">
        <is>
          <t>При покупке второго абонемента для подруги</t>
        </is>
      </c>
      <c r="F2184" s="147" t="inlineStr">
        <is>
          <t>FW-L1-D4V4K-76JFU</t>
        </is>
      </c>
      <c r="G2184" s="39" t="inlineStr">
        <is>
          <t>Не использован</t>
        </is>
      </c>
      <c r="H2184" s="148" t="n"/>
      <c r="I2184" s="34" t="str"/>
      <c r="J2184" s="34" t="str"/>
      <c r="K2184" s="130" t="n">
        <v>177</v>
      </c>
      <c r="L2184" s="43">
        <f>IF(COUNTIF($F$5:$F$2407,F2184)=1,"OK","Дубликат")</f>
        <v/>
      </c>
    </row>
    <row r="2185" ht="38" customHeight="1">
      <c r="A2185" s="146" t="inlineStr">
        <is>
          <t>BONUS-L1-FRIEND-15</t>
        </is>
      </c>
      <c r="B2185" s="39" t="inlineStr">
        <is>
          <t>1 уровень</t>
        </is>
      </c>
      <c r="C2185" s="34" t="inlineStr">
        <is>
          <t>Призы не на абонементы</t>
        </is>
      </c>
      <c r="D2185" s="34" t="inlineStr">
        <is>
          <t>Скидка 15% на второй абонемент для подруги</t>
        </is>
      </c>
      <c r="E2185" s="34" t="inlineStr">
        <is>
          <t>При покупке второго абонемента для подруги</t>
        </is>
      </c>
      <c r="F2185" s="147" t="inlineStr">
        <is>
          <t>FW-L1-F663K-YSQWQ</t>
        </is>
      </c>
      <c r="G2185" s="39" t="inlineStr">
        <is>
          <t>Не использован</t>
        </is>
      </c>
      <c r="H2185" s="148" t="n"/>
      <c r="I2185" s="34" t="str"/>
      <c r="J2185" s="34" t="str"/>
      <c r="K2185" s="130" t="n">
        <v>178</v>
      </c>
      <c r="L2185" s="43">
        <f>IF(COUNTIF($F$5:$F$2407,F2185)=1,"OK","Дубликат")</f>
        <v/>
      </c>
    </row>
    <row r="2186" ht="38" customHeight="1">
      <c r="A2186" s="146" t="inlineStr">
        <is>
          <t>BONUS-L1-FRIEND-15</t>
        </is>
      </c>
      <c r="B2186" s="39" t="inlineStr">
        <is>
          <t>1 уровень</t>
        </is>
      </c>
      <c r="C2186" s="34" t="inlineStr">
        <is>
          <t>Призы не на абонементы</t>
        </is>
      </c>
      <c r="D2186" s="34" t="inlineStr">
        <is>
          <t>Скидка 15% на второй абонемент для подруги</t>
        </is>
      </c>
      <c r="E2186" s="34" t="inlineStr">
        <is>
          <t>При покупке второго абонемента для подруги</t>
        </is>
      </c>
      <c r="F2186" s="147" t="inlineStr">
        <is>
          <t>FW-L1-U9UP4-VGFBK</t>
        </is>
      </c>
      <c r="G2186" s="39" t="inlineStr">
        <is>
          <t>Не использован</t>
        </is>
      </c>
      <c r="H2186" s="148" t="n"/>
      <c r="I2186" s="34" t="str"/>
      <c r="J2186" s="34" t="str"/>
      <c r="K2186" s="130" t="n">
        <v>179</v>
      </c>
      <c r="L2186" s="43">
        <f>IF(COUNTIF($F$5:$F$2407,F2186)=1,"OK","Дубликат")</f>
        <v/>
      </c>
    </row>
    <row r="2187" ht="38" customHeight="1">
      <c r="A2187" s="146" t="inlineStr">
        <is>
          <t>BONUS-L1-FRIEND-15</t>
        </is>
      </c>
      <c r="B2187" s="39" t="inlineStr">
        <is>
          <t>1 уровень</t>
        </is>
      </c>
      <c r="C2187" s="34" t="inlineStr">
        <is>
          <t>Призы не на абонементы</t>
        </is>
      </c>
      <c r="D2187" s="34" t="inlineStr">
        <is>
          <t>Скидка 15% на второй абонемент для подруги</t>
        </is>
      </c>
      <c r="E2187" s="34" t="inlineStr">
        <is>
          <t>При покупке второго абонемента для подруги</t>
        </is>
      </c>
      <c r="F2187" s="147" t="inlineStr">
        <is>
          <t>FW-L1-ZAVHX-3D373</t>
        </is>
      </c>
      <c r="G2187" s="39" t="inlineStr">
        <is>
          <t>Не использован</t>
        </is>
      </c>
      <c r="H2187" s="148" t="n"/>
      <c r="I2187" s="34" t="str"/>
      <c r="J2187" s="34" t="str"/>
      <c r="K2187" s="130" t="n">
        <v>180</v>
      </c>
      <c r="L2187" s="43">
        <f>IF(COUNTIF($F$5:$F$2407,F2187)=1,"OK","Дубликат")</f>
        <v/>
      </c>
    </row>
    <row r="2188" ht="38" customHeight="1">
      <c r="A2188" s="146" t="inlineStr">
        <is>
          <t>BONUS-L1-FRIEND-15</t>
        </is>
      </c>
      <c r="B2188" s="39" t="inlineStr">
        <is>
          <t>1 уровень</t>
        </is>
      </c>
      <c r="C2188" s="34" t="inlineStr">
        <is>
          <t>Призы не на абонементы</t>
        </is>
      </c>
      <c r="D2188" s="34" t="inlineStr">
        <is>
          <t>Скидка 15% на второй абонемент для подруги</t>
        </is>
      </c>
      <c r="E2188" s="34" t="inlineStr">
        <is>
          <t>При покупке второго абонемента для подруги</t>
        </is>
      </c>
      <c r="F2188" s="147" t="inlineStr">
        <is>
          <t>FW-L1-UW4H4-VZTTV</t>
        </is>
      </c>
      <c r="G2188" s="39" t="inlineStr">
        <is>
          <t>Не использован</t>
        </is>
      </c>
      <c r="H2188" s="148" t="n"/>
      <c r="I2188" s="34" t="str"/>
      <c r="J2188" s="34" t="str"/>
      <c r="K2188" s="130" t="n">
        <v>181</v>
      </c>
      <c r="L2188" s="43">
        <f>IF(COUNTIF($F$5:$F$2407,F2188)=1,"OK","Дубликат")</f>
        <v/>
      </c>
    </row>
    <row r="2189" ht="38" customHeight="1">
      <c r="A2189" s="146" t="inlineStr">
        <is>
          <t>BONUS-L1-FRIEND-15</t>
        </is>
      </c>
      <c r="B2189" s="39" t="inlineStr">
        <is>
          <t>1 уровень</t>
        </is>
      </c>
      <c r="C2189" s="34" t="inlineStr">
        <is>
          <t>Призы не на абонементы</t>
        </is>
      </c>
      <c r="D2189" s="34" t="inlineStr">
        <is>
          <t>Скидка 15% на второй абонемент для подруги</t>
        </is>
      </c>
      <c r="E2189" s="34" t="inlineStr">
        <is>
          <t>При покупке второго абонемента для подруги</t>
        </is>
      </c>
      <c r="F2189" s="147" t="inlineStr">
        <is>
          <t>FW-L1-JUJWV-Y2HD5</t>
        </is>
      </c>
      <c r="G2189" s="39" t="inlineStr">
        <is>
          <t>Не использован</t>
        </is>
      </c>
      <c r="H2189" s="148" t="n"/>
      <c r="I2189" s="34" t="str"/>
      <c r="J2189" s="34" t="str"/>
      <c r="K2189" s="130" t="n">
        <v>182</v>
      </c>
      <c r="L2189" s="43">
        <f>IF(COUNTIF($F$5:$F$2407,F2189)=1,"OK","Дубликат")</f>
        <v/>
      </c>
    </row>
    <row r="2190" ht="38" customHeight="1">
      <c r="A2190" s="146" t="inlineStr">
        <is>
          <t>BONUS-L1-FRIEND-15</t>
        </is>
      </c>
      <c r="B2190" s="39" t="inlineStr">
        <is>
          <t>1 уровень</t>
        </is>
      </c>
      <c r="C2190" s="34" t="inlineStr">
        <is>
          <t>Призы не на абонементы</t>
        </is>
      </c>
      <c r="D2190" s="34" t="inlineStr">
        <is>
          <t>Скидка 15% на второй абонемент для подруги</t>
        </is>
      </c>
      <c r="E2190" s="34" t="inlineStr">
        <is>
          <t>При покупке второго абонемента для подруги</t>
        </is>
      </c>
      <c r="F2190" s="147" t="inlineStr">
        <is>
          <t>FW-L1-CFJ62-KJL5M</t>
        </is>
      </c>
      <c r="G2190" s="39" t="inlineStr">
        <is>
          <t>Не использован</t>
        </is>
      </c>
      <c r="H2190" s="148" t="n"/>
      <c r="I2190" s="34" t="str"/>
      <c r="J2190" s="34" t="str"/>
      <c r="K2190" s="130" t="n">
        <v>183</v>
      </c>
      <c r="L2190" s="43">
        <f>IF(COUNTIF($F$5:$F$2407,F2190)=1,"OK","Дубликат")</f>
        <v/>
      </c>
    </row>
    <row r="2191" ht="38" customHeight="1">
      <c r="A2191" s="146" t="inlineStr">
        <is>
          <t>BONUS-L1-FRIEND-15</t>
        </is>
      </c>
      <c r="B2191" s="39" t="inlineStr">
        <is>
          <t>1 уровень</t>
        </is>
      </c>
      <c r="C2191" s="34" t="inlineStr">
        <is>
          <t>Призы не на абонементы</t>
        </is>
      </c>
      <c r="D2191" s="34" t="inlineStr">
        <is>
          <t>Скидка 15% на второй абонемент для подруги</t>
        </is>
      </c>
      <c r="E2191" s="34" t="inlineStr">
        <is>
          <t>При покупке второго абонемента для подруги</t>
        </is>
      </c>
      <c r="F2191" s="147" t="inlineStr">
        <is>
          <t>FW-L1-TH8ZP-XJLN7</t>
        </is>
      </c>
      <c r="G2191" s="39" t="inlineStr">
        <is>
          <t>Не использован</t>
        </is>
      </c>
      <c r="H2191" s="148" t="n"/>
      <c r="I2191" s="34" t="str"/>
      <c r="J2191" s="34" t="str"/>
      <c r="K2191" s="130" t="n">
        <v>184</v>
      </c>
      <c r="L2191" s="43">
        <f>IF(COUNTIF($F$5:$F$2407,F2191)=1,"OK","Дубликат")</f>
        <v/>
      </c>
    </row>
    <row r="2192" ht="38" customHeight="1">
      <c r="A2192" s="146" t="inlineStr">
        <is>
          <t>BONUS-L1-FRIEND-15</t>
        </is>
      </c>
      <c r="B2192" s="39" t="inlineStr">
        <is>
          <t>1 уровень</t>
        </is>
      </c>
      <c r="C2192" s="34" t="inlineStr">
        <is>
          <t>Призы не на абонементы</t>
        </is>
      </c>
      <c r="D2192" s="34" t="inlineStr">
        <is>
          <t>Скидка 15% на второй абонемент для подруги</t>
        </is>
      </c>
      <c r="E2192" s="34" t="inlineStr">
        <is>
          <t>При покупке второго абонемента для подруги</t>
        </is>
      </c>
      <c r="F2192" s="147" t="inlineStr">
        <is>
          <t>FW-L1-XMN84-6GEAG</t>
        </is>
      </c>
      <c r="G2192" s="39" t="inlineStr">
        <is>
          <t>Не использован</t>
        </is>
      </c>
      <c r="H2192" s="148" t="n"/>
      <c r="I2192" s="34" t="str"/>
      <c r="J2192" s="34" t="str"/>
      <c r="K2192" s="130" t="n">
        <v>185</v>
      </c>
      <c r="L2192" s="43">
        <f>IF(COUNTIF($F$5:$F$2407,F2192)=1,"OK","Дубликат")</f>
        <v/>
      </c>
    </row>
    <row r="2193" ht="38" customHeight="1">
      <c r="A2193" s="146" t="inlineStr">
        <is>
          <t>BONUS-L1-FRIEND-15</t>
        </is>
      </c>
      <c r="B2193" s="39" t="inlineStr">
        <is>
          <t>1 уровень</t>
        </is>
      </c>
      <c r="C2193" s="34" t="inlineStr">
        <is>
          <t>Призы не на абонементы</t>
        </is>
      </c>
      <c r="D2193" s="34" t="inlineStr">
        <is>
          <t>Скидка 15% на второй абонемент для подруги</t>
        </is>
      </c>
      <c r="E2193" s="34" t="inlineStr">
        <is>
          <t>При покупке второго абонемента для подруги</t>
        </is>
      </c>
      <c r="F2193" s="147" t="inlineStr">
        <is>
          <t>FW-L1-CK6A9-HDWHN</t>
        </is>
      </c>
      <c r="G2193" s="39" t="inlineStr">
        <is>
          <t>Не использован</t>
        </is>
      </c>
      <c r="H2193" s="148" t="n"/>
      <c r="I2193" s="34" t="str"/>
      <c r="J2193" s="34" t="str"/>
      <c r="K2193" s="130" t="n">
        <v>186</v>
      </c>
      <c r="L2193" s="43">
        <f>IF(COUNTIF($F$5:$F$2407,F2193)=1,"OK","Дубликат")</f>
        <v/>
      </c>
    </row>
    <row r="2194" ht="38" customHeight="1">
      <c r="A2194" s="146" t="inlineStr">
        <is>
          <t>BONUS-L1-FRIEND-15</t>
        </is>
      </c>
      <c r="B2194" s="39" t="inlineStr">
        <is>
          <t>1 уровень</t>
        </is>
      </c>
      <c r="C2194" s="34" t="inlineStr">
        <is>
          <t>Призы не на абонементы</t>
        </is>
      </c>
      <c r="D2194" s="34" t="inlineStr">
        <is>
          <t>Скидка 15% на второй абонемент для подруги</t>
        </is>
      </c>
      <c r="E2194" s="34" t="inlineStr">
        <is>
          <t>При покупке второго абонемента для подруги</t>
        </is>
      </c>
      <c r="F2194" s="147" t="inlineStr">
        <is>
          <t>FW-L1-NHT2P-3SDC2</t>
        </is>
      </c>
      <c r="G2194" s="39" t="inlineStr">
        <is>
          <t>Не использован</t>
        </is>
      </c>
      <c r="H2194" s="148" t="n"/>
      <c r="I2194" s="34" t="str"/>
      <c r="J2194" s="34" t="str"/>
      <c r="K2194" s="130" t="n">
        <v>187</v>
      </c>
      <c r="L2194" s="43">
        <f>IF(COUNTIF($F$5:$F$2407,F2194)=1,"OK","Дубликат")</f>
        <v/>
      </c>
    </row>
    <row r="2195" ht="38" customHeight="1">
      <c r="A2195" s="146" t="inlineStr">
        <is>
          <t>BONUS-L1-FRIEND-15</t>
        </is>
      </c>
      <c r="B2195" s="39" t="inlineStr">
        <is>
          <t>1 уровень</t>
        </is>
      </c>
      <c r="C2195" s="34" t="inlineStr">
        <is>
          <t>Призы не на абонементы</t>
        </is>
      </c>
      <c r="D2195" s="34" t="inlineStr">
        <is>
          <t>Скидка 15% на второй абонемент для подруги</t>
        </is>
      </c>
      <c r="E2195" s="34" t="inlineStr">
        <is>
          <t>При покупке второго абонемента для подруги</t>
        </is>
      </c>
      <c r="F2195" s="147" t="inlineStr">
        <is>
          <t>FW-L1-D45LJ-99W6F</t>
        </is>
      </c>
      <c r="G2195" s="39" t="inlineStr">
        <is>
          <t>Не использован</t>
        </is>
      </c>
      <c r="H2195" s="148" t="n"/>
      <c r="I2195" s="34" t="str"/>
      <c r="J2195" s="34" t="str"/>
      <c r="K2195" s="130" t="n">
        <v>188</v>
      </c>
      <c r="L2195" s="43">
        <f>IF(COUNTIF($F$5:$F$2407,F2195)=1,"OK","Дубликат")</f>
        <v/>
      </c>
    </row>
    <row r="2196" ht="38" customHeight="1">
      <c r="A2196" s="146" t="inlineStr">
        <is>
          <t>BONUS-L1-FRIEND-15</t>
        </is>
      </c>
      <c r="B2196" s="39" t="inlineStr">
        <is>
          <t>1 уровень</t>
        </is>
      </c>
      <c r="C2196" s="34" t="inlineStr">
        <is>
          <t>Призы не на абонементы</t>
        </is>
      </c>
      <c r="D2196" s="34" t="inlineStr">
        <is>
          <t>Скидка 15% на второй абонемент для подруги</t>
        </is>
      </c>
      <c r="E2196" s="34" t="inlineStr">
        <is>
          <t>При покупке второго абонемента для подруги</t>
        </is>
      </c>
      <c r="F2196" s="147" t="inlineStr">
        <is>
          <t>FW-L1-XGW43-UDSSP</t>
        </is>
      </c>
      <c r="G2196" s="39" t="inlineStr">
        <is>
          <t>Не использован</t>
        </is>
      </c>
      <c r="H2196" s="148" t="n"/>
      <c r="I2196" s="34" t="str"/>
      <c r="J2196" s="34" t="str"/>
      <c r="K2196" s="130" t="n">
        <v>189</v>
      </c>
      <c r="L2196" s="43">
        <f>IF(COUNTIF($F$5:$F$2407,F2196)=1,"OK","Дубликат")</f>
        <v/>
      </c>
    </row>
    <row r="2197" ht="38" customHeight="1">
      <c r="A2197" s="146" t="inlineStr">
        <is>
          <t>BONUS-L1-FRIEND-15</t>
        </is>
      </c>
      <c r="B2197" s="39" t="inlineStr">
        <is>
          <t>1 уровень</t>
        </is>
      </c>
      <c r="C2197" s="34" t="inlineStr">
        <is>
          <t>Призы не на абонементы</t>
        </is>
      </c>
      <c r="D2197" s="34" t="inlineStr">
        <is>
          <t>Скидка 15% на второй абонемент для подруги</t>
        </is>
      </c>
      <c r="E2197" s="34" t="inlineStr">
        <is>
          <t>При покупке второго абонемента для подруги</t>
        </is>
      </c>
      <c r="F2197" s="147" t="inlineStr">
        <is>
          <t>FW-L1-UAE6R-Z3QSZ</t>
        </is>
      </c>
      <c r="G2197" s="39" t="inlineStr">
        <is>
          <t>Не использован</t>
        </is>
      </c>
      <c r="H2197" s="148" t="n"/>
      <c r="I2197" s="34" t="str"/>
      <c r="J2197" s="34" t="str"/>
      <c r="K2197" s="130" t="n">
        <v>190</v>
      </c>
      <c r="L2197" s="43">
        <f>IF(COUNTIF($F$5:$F$2407,F2197)=1,"OK","Дубликат")</f>
        <v/>
      </c>
    </row>
    <row r="2198" ht="38" customHeight="1">
      <c r="A2198" s="146" t="inlineStr">
        <is>
          <t>BONUS-L1-FRIEND-15</t>
        </is>
      </c>
      <c r="B2198" s="39" t="inlineStr">
        <is>
          <t>1 уровень</t>
        </is>
      </c>
      <c r="C2198" s="34" t="inlineStr">
        <is>
          <t>Призы не на абонементы</t>
        </is>
      </c>
      <c r="D2198" s="34" t="inlineStr">
        <is>
          <t>Скидка 15% на второй абонемент для подруги</t>
        </is>
      </c>
      <c r="E2198" s="34" t="inlineStr">
        <is>
          <t>При покупке второго абонемента для подруги</t>
        </is>
      </c>
      <c r="F2198" s="147" t="inlineStr">
        <is>
          <t>FW-L1-NEWEK-J37S2</t>
        </is>
      </c>
      <c r="G2198" s="39" t="inlineStr">
        <is>
          <t>Не использован</t>
        </is>
      </c>
      <c r="H2198" s="148" t="n"/>
      <c r="I2198" s="34" t="str"/>
      <c r="J2198" s="34" t="str"/>
      <c r="K2198" s="130" t="n">
        <v>191</v>
      </c>
      <c r="L2198" s="43">
        <f>IF(COUNTIF($F$5:$F$2407,F2198)=1,"OK","Дубликат")</f>
        <v/>
      </c>
    </row>
    <row r="2199" ht="38" customHeight="1">
      <c r="A2199" s="146" t="inlineStr">
        <is>
          <t>BONUS-L1-FRIEND-15</t>
        </is>
      </c>
      <c r="B2199" s="39" t="inlineStr">
        <is>
          <t>1 уровень</t>
        </is>
      </c>
      <c r="C2199" s="34" t="inlineStr">
        <is>
          <t>Призы не на абонементы</t>
        </is>
      </c>
      <c r="D2199" s="34" t="inlineStr">
        <is>
          <t>Скидка 15% на второй абонемент для подруги</t>
        </is>
      </c>
      <c r="E2199" s="34" t="inlineStr">
        <is>
          <t>При покупке второго абонемента для подруги</t>
        </is>
      </c>
      <c r="F2199" s="147" t="inlineStr">
        <is>
          <t>FW-L1-SU9GB-WG7MW</t>
        </is>
      </c>
      <c r="G2199" s="39" t="inlineStr">
        <is>
          <t>Не использован</t>
        </is>
      </c>
      <c r="H2199" s="148" t="n"/>
      <c r="I2199" s="34" t="str"/>
      <c r="J2199" s="34" t="str"/>
      <c r="K2199" s="130" t="n">
        <v>192</v>
      </c>
      <c r="L2199" s="43">
        <f>IF(COUNTIF($F$5:$F$2407,F2199)=1,"OK","Дубликат")</f>
        <v/>
      </c>
    </row>
    <row r="2200" ht="38" customHeight="1">
      <c r="A2200" s="146" t="inlineStr">
        <is>
          <t>BONUS-L1-FRIEND-15</t>
        </is>
      </c>
      <c r="B2200" s="39" t="inlineStr">
        <is>
          <t>1 уровень</t>
        </is>
      </c>
      <c r="C2200" s="34" t="inlineStr">
        <is>
          <t>Призы не на абонементы</t>
        </is>
      </c>
      <c r="D2200" s="34" t="inlineStr">
        <is>
          <t>Скидка 15% на второй абонемент для подруги</t>
        </is>
      </c>
      <c r="E2200" s="34" t="inlineStr">
        <is>
          <t>При покупке второго абонемента для подруги</t>
        </is>
      </c>
      <c r="F2200" s="147" t="inlineStr">
        <is>
          <t>FW-L1-HU52R-9WNQN</t>
        </is>
      </c>
      <c r="G2200" s="39" t="inlineStr">
        <is>
          <t>Не использован</t>
        </is>
      </c>
      <c r="H2200" s="148" t="n"/>
      <c r="I2200" s="34" t="str"/>
      <c r="J2200" s="34" t="str"/>
      <c r="K2200" s="130" t="n">
        <v>193</v>
      </c>
      <c r="L2200" s="43">
        <f>IF(COUNTIF($F$5:$F$2407,F2200)=1,"OK","Дубликат")</f>
        <v/>
      </c>
    </row>
    <row r="2201" ht="38" customHeight="1">
      <c r="A2201" s="146" t="inlineStr">
        <is>
          <t>BONUS-L1-FRIEND-15</t>
        </is>
      </c>
      <c r="B2201" s="39" t="inlineStr">
        <is>
          <t>1 уровень</t>
        </is>
      </c>
      <c r="C2201" s="34" t="inlineStr">
        <is>
          <t>Призы не на абонементы</t>
        </is>
      </c>
      <c r="D2201" s="34" t="inlineStr">
        <is>
          <t>Скидка 15% на второй абонемент для подруги</t>
        </is>
      </c>
      <c r="E2201" s="34" t="inlineStr">
        <is>
          <t>При покупке второго абонемента для подруги</t>
        </is>
      </c>
      <c r="F2201" s="147" t="inlineStr">
        <is>
          <t>FW-L1-AA3D6-QARKD</t>
        </is>
      </c>
      <c r="G2201" s="39" t="inlineStr">
        <is>
          <t>Не использован</t>
        </is>
      </c>
      <c r="H2201" s="148" t="n"/>
      <c r="I2201" s="34" t="str"/>
      <c r="J2201" s="34" t="str"/>
      <c r="K2201" s="130" t="n">
        <v>194</v>
      </c>
      <c r="L2201" s="43">
        <f>IF(COUNTIF($F$5:$F$2407,F2201)=1,"OK","Дубликат")</f>
        <v/>
      </c>
    </row>
    <row r="2202" ht="38" customHeight="1">
      <c r="A2202" s="146" t="inlineStr">
        <is>
          <t>BONUS-L1-FRIEND-15</t>
        </is>
      </c>
      <c r="B2202" s="39" t="inlineStr">
        <is>
          <t>1 уровень</t>
        </is>
      </c>
      <c r="C2202" s="34" t="inlineStr">
        <is>
          <t>Призы не на абонементы</t>
        </is>
      </c>
      <c r="D2202" s="34" t="inlineStr">
        <is>
          <t>Скидка 15% на второй абонемент для подруги</t>
        </is>
      </c>
      <c r="E2202" s="34" t="inlineStr">
        <is>
          <t>При покупке второго абонемента для подруги</t>
        </is>
      </c>
      <c r="F2202" s="147" t="inlineStr">
        <is>
          <t>FW-L1-DW5VW-GXYQ3</t>
        </is>
      </c>
      <c r="G2202" s="39" t="inlineStr">
        <is>
          <t>Не использован</t>
        </is>
      </c>
      <c r="H2202" s="148" t="n"/>
      <c r="I2202" s="34" t="str"/>
      <c r="J2202" s="34" t="str"/>
      <c r="K2202" s="130" t="n">
        <v>195</v>
      </c>
      <c r="L2202" s="43">
        <f>IF(COUNTIF($F$5:$F$2407,F2202)=1,"OK","Дубликат")</f>
        <v/>
      </c>
    </row>
    <row r="2203" ht="38" customHeight="1">
      <c r="A2203" s="146" t="inlineStr">
        <is>
          <t>BONUS-L1-FRIEND-15</t>
        </is>
      </c>
      <c r="B2203" s="39" t="inlineStr">
        <is>
          <t>1 уровень</t>
        </is>
      </c>
      <c r="C2203" s="34" t="inlineStr">
        <is>
          <t>Призы не на абонементы</t>
        </is>
      </c>
      <c r="D2203" s="34" t="inlineStr">
        <is>
          <t>Скидка 15% на второй абонемент для подруги</t>
        </is>
      </c>
      <c r="E2203" s="34" t="inlineStr">
        <is>
          <t>При покупке второго абонемента для подруги</t>
        </is>
      </c>
      <c r="F2203" s="147" t="inlineStr">
        <is>
          <t>FW-L1-HQTDM-SQCU5</t>
        </is>
      </c>
      <c r="G2203" s="39" t="inlineStr">
        <is>
          <t>Не использован</t>
        </is>
      </c>
      <c r="H2203" s="148" t="n"/>
      <c r="I2203" s="34" t="str"/>
      <c r="J2203" s="34" t="str"/>
      <c r="K2203" s="130" t="n">
        <v>196</v>
      </c>
      <c r="L2203" s="43">
        <f>IF(COUNTIF($F$5:$F$2407,F2203)=1,"OK","Дубликат")</f>
        <v/>
      </c>
    </row>
    <row r="2204" ht="38" customHeight="1">
      <c r="A2204" s="146" t="inlineStr">
        <is>
          <t>BONUS-L1-FRIEND-15</t>
        </is>
      </c>
      <c r="B2204" s="39" t="inlineStr">
        <is>
          <t>1 уровень</t>
        </is>
      </c>
      <c r="C2204" s="34" t="inlineStr">
        <is>
          <t>Призы не на абонементы</t>
        </is>
      </c>
      <c r="D2204" s="34" t="inlineStr">
        <is>
          <t>Скидка 15% на второй абонемент для подруги</t>
        </is>
      </c>
      <c r="E2204" s="34" t="inlineStr">
        <is>
          <t>При покупке второго абонемента для подруги</t>
        </is>
      </c>
      <c r="F2204" s="147" t="inlineStr">
        <is>
          <t>FW-L1-8SSH2-3MZ3L</t>
        </is>
      </c>
      <c r="G2204" s="39" t="inlineStr">
        <is>
          <t>Не использован</t>
        </is>
      </c>
      <c r="H2204" s="148" t="n"/>
      <c r="I2204" s="34" t="str"/>
      <c r="J2204" s="34" t="str"/>
      <c r="K2204" s="130" t="n">
        <v>197</v>
      </c>
      <c r="L2204" s="43">
        <f>IF(COUNTIF($F$5:$F$2407,F2204)=1,"OK","Дубликат")</f>
        <v/>
      </c>
    </row>
    <row r="2205" ht="38" customHeight="1">
      <c r="A2205" s="146" t="inlineStr">
        <is>
          <t>BONUS-L1-FRIEND-15</t>
        </is>
      </c>
      <c r="B2205" s="39" t="inlineStr">
        <is>
          <t>1 уровень</t>
        </is>
      </c>
      <c r="C2205" s="34" t="inlineStr">
        <is>
          <t>Призы не на абонементы</t>
        </is>
      </c>
      <c r="D2205" s="34" t="inlineStr">
        <is>
          <t>Скидка 15% на второй абонемент для подруги</t>
        </is>
      </c>
      <c r="E2205" s="34" t="inlineStr">
        <is>
          <t>При покупке второго абонемента для подруги</t>
        </is>
      </c>
      <c r="F2205" s="147" t="inlineStr">
        <is>
          <t>FW-L1-AJX4T-4DHZK</t>
        </is>
      </c>
      <c r="G2205" s="39" t="inlineStr">
        <is>
          <t>Не использован</t>
        </is>
      </c>
      <c r="H2205" s="148" t="n"/>
      <c r="I2205" s="34" t="str"/>
      <c r="J2205" s="34" t="str"/>
      <c r="K2205" s="130" t="n">
        <v>198</v>
      </c>
      <c r="L2205" s="43">
        <f>IF(COUNTIF($F$5:$F$2407,F2205)=1,"OK","Дубликат")</f>
        <v/>
      </c>
    </row>
    <row r="2206" ht="38" customHeight="1">
      <c r="A2206" s="146" t="inlineStr">
        <is>
          <t>BONUS-L1-FRIEND-15</t>
        </is>
      </c>
      <c r="B2206" s="39" t="inlineStr">
        <is>
          <t>1 уровень</t>
        </is>
      </c>
      <c r="C2206" s="34" t="inlineStr">
        <is>
          <t>Призы не на абонементы</t>
        </is>
      </c>
      <c r="D2206" s="34" t="inlineStr">
        <is>
          <t>Скидка 15% на второй абонемент для подруги</t>
        </is>
      </c>
      <c r="E2206" s="34" t="inlineStr">
        <is>
          <t>При покупке второго абонемента для подруги</t>
        </is>
      </c>
      <c r="F2206" s="147" t="inlineStr">
        <is>
          <t>FW-L1-LUXHX-2VBMN</t>
        </is>
      </c>
      <c r="G2206" s="39" t="inlineStr">
        <is>
          <t>Не использован</t>
        </is>
      </c>
      <c r="H2206" s="148" t="n"/>
      <c r="I2206" s="34" t="str"/>
      <c r="J2206" s="34" t="str"/>
      <c r="K2206" s="130" t="n">
        <v>199</v>
      </c>
      <c r="L2206" s="43">
        <f>IF(COUNTIF($F$5:$F$2407,F2206)=1,"OK","Дубликат")</f>
        <v/>
      </c>
    </row>
    <row r="2207" ht="38" customHeight="1">
      <c r="A2207" s="146" t="inlineStr">
        <is>
          <t>BONUS-L1-FRIEND-15</t>
        </is>
      </c>
      <c r="B2207" s="39" t="inlineStr">
        <is>
          <t>1 уровень</t>
        </is>
      </c>
      <c r="C2207" s="34" t="inlineStr">
        <is>
          <t>Призы не на абонементы</t>
        </is>
      </c>
      <c r="D2207" s="34" t="inlineStr">
        <is>
          <t>Скидка 15% на второй абонемент для подруги</t>
        </is>
      </c>
      <c r="E2207" s="34" t="inlineStr">
        <is>
          <t>При покупке второго абонемента для подруги</t>
        </is>
      </c>
      <c r="F2207" s="147" t="inlineStr">
        <is>
          <t>FW-L1-H4G7L-5RXFL</t>
        </is>
      </c>
      <c r="G2207" s="39" t="inlineStr">
        <is>
          <t>Не использован</t>
        </is>
      </c>
      <c r="H2207" s="148" t="n"/>
      <c r="I2207" s="34" t="str"/>
      <c r="J2207" s="34" t="str"/>
      <c r="K2207" s="130" t="n">
        <v>200</v>
      </c>
      <c r="L2207" s="43">
        <f>IF(COUNTIF($F$5:$F$2407,F2207)=1,"OK","Дубликат")</f>
        <v/>
      </c>
    </row>
    <row r="2208" ht="38" customHeight="1">
      <c r="A2208" s="146" t="inlineStr">
        <is>
          <t>BONUS-L2-PAIR</t>
        </is>
      </c>
      <c r="B2208" s="39" t="inlineStr">
        <is>
          <t>2 уровень</t>
        </is>
      </c>
      <c r="C2208" s="34" t="inlineStr">
        <is>
          <t>Призы не на абонементы</t>
        </is>
      </c>
      <c r="D2208" s="34" t="inlineStr">
        <is>
          <t>Парный старт: закрытая цена на 2 абонемента</t>
        </is>
      </c>
      <c r="E2208" s="34" t="inlineStr">
        <is>
          <t>Покупка двух абонементов при совместном старте с подругой</t>
        </is>
      </c>
      <c r="F2208" s="147" t="inlineStr">
        <is>
          <t>FW-L2-YTZS8-S2VN9</t>
        </is>
      </c>
      <c r="G2208" s="39" t="inlineStr">
        <is>
          <t>Использован</t>
        </is>
      </c>
      <c r="H2208" s="149" t="n">
        <v>46249.24844907408</v>
      </c>
      <c r="I2208" s="34" t="inlineStr">
        <is>
          <t>Роман Михайлов, @RRedactor, +79035782777</t>
        </is>
      </c>
      <c r="J2208" s="34" t="inlineStr">
        <is>
          <t>Выдан Telegram-ботом; Роман Михайлов, @RRedactor, +79035782777; сессия: session_a3d6310423b3</t>
        </is>
      </c>
      <c r="K2208" s="130" t="n">
        <v>1</v>
      </c>
      <c r="L2208" s="43">
        <f>IF(COUNTIF($F$5:$F$2407,F2208)=1,"OK","Дубликат")</f>
        <v/>
      </c>
    </row>
    <row r="2209" ht="38" customHeight="1">
      <c r="A2209" s="146" t="inlineStr">
        <is>
          <t>BONUS-L2-PAIR</t>
        </is>
      </c>
      <c r="B2209" s="39" t="inlineStr">
        <is>
          <t>2 уровень</t>
        </is>
      </c>
      <c r="C2209" s="34" t="inlineStr">
        <is>
          <t>Призы не на абонементы</t>
        </is>
      </c>
      <c r="D2209" s="34" t="inlineStr">
        <is>
          <t>Парный старт: закрытая цена на 2 абонемента</t>
        </is>
      </c>
      <c r="E2209" s="34" t="inlineStr">
        <is>
          <t>Покупка двух абонементов при совместном старте с подругой</t>
        </is>
      </c>
      <c r="F2209" s="147" t="inlineStr">
        <is>
          <t>FW-L2-8AFXF-S4GFK</t>
        </is>
      </c>
      <c r="G2209" s="39" t="inlineStr">
        <is>
          <t>Использован</t>
        </is>
      </c>
      <c r="H2209" s="149" t="n">
        <v>46249.30319444444</v>
      </c>
      <c r="I2209" s="34" t="inlineStr">
        <is>
          <t>Роман Михайлов, @RRedactor, +79035782777</t>
        </is>
      </c>
      <c r="J2209" s="34" t="inlineStr">
        <is>
          <t>Выдан Telegram-ботом; Роман Михайлов, @RRedactor, +79035782777; сессия: session_cb9958d00971</t>
        </is>
      </c>
      <c r="K2209" s="130" t="n">
        <v>2</v>
      </c>
      <c r="L2209" s="43">
        <f>IF(COUNTIF($F$5:$F$2407,F2209)=1,"OK","Дубликат")</f>
        <v/>
      </c>
    </row>
    <row r="2210" ht="38" customHeight="1">
      <c r="A2210" s="146" t="inlineStr">
        <is>
          <t>BONUS-L2-PAIR</t>
        </is>
      </c>
      <c r="B2210" s="39" t="inlineStr">
        <is>
          <t>2 уровень</t>
        </is>
      </c>
      <c r="C2210" s="34" t="inlineStr">
        <is>
          <t>Призы не на абонементы</t>
        </is>
      </c>
      <c r="D2210" s="34" t="inlineStr">
        <is>
          <t>Парный старт: закрытая цена на 2 абонемента</t>
        </is>
      </c>
      <c r="E2210" s="34" t="inlineStr">
        <is>
          <t>Покупка двух абонементов при совместном старте с подругой</t>
        </is>
      </c>
      <c r="F2210" s="147" t="inlineStr">
        <is>
          <t>FW-L2-ZH2NL-W68CE</t>
        </is>
      </c>
      <c r="G2210" s="39" t="inlineStr">
        <is>
          <t>Использован</t>
        </is>
      </c>
      <c r="H2210" s="149" t="n">
        <v>46249.3087962963</v>
      </c>
      <c r="I2210" s="34" t="inlineStr">
        <is>
          <t>Роман Михайлов, @RRedactor, +79035782777</t>
        </is>
      </c>
      <c r="J2210" s="34" t="inlineStr">
        <is>
          <t>Выдан Telegram-ботом; Роман Михайлов, @RRedactor, +79035782777; сессия: session_ebb7049ff715</t>
        </is>
      </c>
      <c r="K2210" s="130" t="n">
        <v>3</v>
      </c>
      <c r="L2210" s="43">
        <f>IF(COUNTIF($F$5:$F$2407,F2210)=1,"OK","Дубликат")</f>
        <v/>
      </c>
    </row>
    <row r="2211" ht="38" customHeight="1">
      <c r="A2211" s="146" t="inlineStr">
        <is>
          <t>BONUS-L2-PAIR</t>
        </is>
      </c>
      <c r="B2211" s="39" t="inlineStr">
        <is>
          <t>2 уровень</t>
        </is>
      </c>
      <c r="C2211" s="34" t="inlineStr">
        <is>
          <t>Призы не на абонементы</t>
        </is>
      </c>
      <c r="D2211" s="34" t="inlineStr">
        <is>
          <t>Парный старт: закрытая цена на 2 абонемента</t>
        </is>
      </c>
      <c r="E2211" s="34" t="inlineStr">
        <is>
          <t>Покупка двух абонементов при совместном старте с подругой</t>
        </is>
      </c>
      <c r="F2211" s="147" t="inlineStr">
        <is>
          <t>FW-L2-9HPFX-D4N4R</t>
        </is>
      </c>
      <c r="G2211" s="39" t="inlineStr">
        <is>
          <t>Не использован</t>
        </is>
      </c>
      <c r="H2211" s="148" t="n"/>
      <c r="I2211" s="34" t="str"/>
      <c r="J2211" s="34" t="str"/>
      <c r="K2211" s="130" t="n">
        <v>4</v>
      </c>
      <c r="L2211" s="43">
        <f>IF(COUNTIF($F$5:$F$2407,F2211)=1,"OK","Дубликат")</f>
        <v/>
      </c>
    </row>
    <row r="2212" ht="38" customHeight="1">
      <c r="A2212" s="146" t="inlineStr">
        <is>
          <t>BONUS-L2-PAIR</t>
        </is>
      </c>
      <c r="B2212" s="39" t="inlineStr">
        <is>
          <t>2 уровень</t>
        </is>
      </c>
      <c r="C2212" s="34" t="inlineStr">
        <is>
          <t>Призы не на абонементы</t>
        </is>
      </c>
      <c r="D2212" s="34" t="inlineStr">
        <is>
          <t>Парный старт: закрытая цена на 2 абонемента</t>
        </is>
      </c>
      <c r="E2212" s="34" t="inlineStr">
        <is>
          <t>Покупка двух абонементов при совместном старте с подругой</t>
        </is>
      </c>
      <c r="F2212" s="147" t="inlineStr">
        <is>
          <t>FW-L2-55FN6-JGEWR</t>
        </is>
      </c>
      <c r="G2212" s="39" t="inlineStr">
        <is>
          <t>Не использован</t>
        </is>
      </c>
      <c r="H2212" s="148" t="n"/>
      <c r="I2212" s="34" t="str"/>
      <c r="J2212" s="34" t="str"/>
      <c r="K2212" s="130" t="n">
        <v>5</v>
      </c>
      <c r="L2212" s="43">
        <f>IF(COUNTIF($F$5:$F$2407,F2212)=1,"OK","Дубликат")</f>
        <v/>
      </c>
    </row>
    <row r="2213" ht="38" customHeight="1">
      <c r="A2213" s="146" t="inlineStr">
        <is>
          <t>BONUS-L2-PAIR</t>
        </is>
      </c>
      <c r="B2213" s="39" t="inlineStr">
        <is>
          <t>2 уровень</t>
        </is>
      </c>
      <c r="C2213" s="34" t="inlineStr">
        <is>
          <t>Призы не на абонементы</t>
        </is>
      </c>
      <c r="D2213" s="34" t="inlineStr">
        <is>
          <t>Парный старт: закрытая цена на 2 абонемента</t>
        </is>
      </c>
      <c r="E2213" s="34" t="inlineStr">
        <is>
          <t>Покупка двух абонементов при совместном старте с подругой</t>
        </is>
      </c>
      <c r="F2213" s="147" t="inlineStr">
        <is>
          <t>FW-L2-AF83V-GX4LN</t>
        </is>
      </c>
      <c r="G2213" s="39" t="inlineStr">
        <is>
          <t>Не использован</t>
        </is>
      </c>
      <c r="H2213" s="148" t="n"/>
      <c r="I2213" s="34" t="str"/>
      <c r="J2213" s="34" t="str"/>
      <c r="K2213" s="130" t="n">
        <v>6</v>
      </c>
      <c r="L2213" s="43">
        <f>IF(COUNTIF($F$5:$F$2407,F2213)=1,"OK","Дубликат")</f>
        <v/>
      </c>
    </row>
    <row r="2214" ht="38" customHeight="1">
      <c r="A2214" s="146" t="inlineStr">
        <is>
          <t>BONUS-L2-PAIR</t>
        </is>
      </c>
      <c r="B2214" s="39" t="inlineStr">
        <is>
          <t>2 уровень</t>
        </is>
      </c>
      <c r="C2214" s="34" t="inlineStr">
        <is>
          <t>Призы не на абонементы</t>
        </is>
      </c>
      <c r="D2214" s="34" t="inlineStr">
        <is>
          <t>Парный старт: закрытая цена на 2 абонемента</t>
        </is>
      </c>
      <c r="E2214" s="34" t="inlineStr">
        <is>
          <t>Покупка двух абонементов при совместном старте с подругой</t>
        </is>
      </c>
      <c r="F2214" s="147" t="inlineStr">
        <is>
          <t>FW-L2-ZVFD5-XN3BA</t>
        </is>
      </c>
      <c r="G2214" s="39" t="inlineStr">
        <is>
          <t>Не использован</t>
        </is>
      </c>
      <c r="H2214" s="148" t="n"/>
      <c r="I2214" s="34" t="str"/>
      <c r="J2214" s="34" t="str"/>
      <c r="K2214" s="130" t="n">
        <v>7</v>
      </c>
      <c r="L2214" s="43">
        <f>IF(COUNTIF($F$5:$F$2407,F2214)=1,"OK","Дубликат")</f>
        <v/>
      </c>
    </row>
    <row r="2215" ht="38" customHeight="1">
      <c r="A2215" s="146" t="inlineStr">
        <is>
          <t>BONUS-L2-PAIR</t>
        </is>
      </c>
      <c r="B2215" s="39" t="inlineStr">
        <is>
          <t>2 уровень</t>
        </is>
      </c>
      <c r="C2215" s="34" t="inlineStr">
        <is>
          <t>Призы не на абонементы</t>
        </is>
      </c>
      <c r="D2215" s="34" t="inlineStr">
        <is>
          <t>Парный старт: закрытая цена на 2 абонемента</t>
        </is>
      </c>
      <c r="E2215" s="34" t="inlineStr">
        <is>
          <t>Покупка двух абонементов при совместном старте с подругой</t>
        </is>
      </c>
      <c r="F2215" s="147" t="inlineStr">
        <is>
          <t>FW-L2-SHXY5-MU49F</t>
        </is>
      </c>
      <c r="G2215" s="39" t="inlineStr">
        <is>
          <t>Не использован</t>
        </is>
      </c>
      <c r="H2215" s="148" t="n"/>
      <c r="I2215" s="34" t="str"/>
      <c r="J2215" s="34" t="str"/>
      <c r="K2215" s="130" t="n">
        <v>8</v>
      </c>
      <c r="L2215" s="43">
        <f>IF(COUNTIF($F$5:$F$2407,F2215)=1,"OK","Дубликат")</f>
        <v/>
      </c>
    </row>
    <row r="2216" ht="38" customHeight="1">
      <c r="A2216" s="146" t="inlineStr">
        <is>
          <t>BONUS-L2-PAIR</t>
        </is>
      </c>
      <c r="B2216" s="39" t="inlineStr">
        <is>
          <t>2 уровень</t>
        </is>
      </c>
      <c r="C2216" s="34" t="inlineStr">
        <is>
          <t>Призы не на абонементы</t>
        </is>
      </c>
      <c r="D2216" s="34" t="inlineStr">
        <is>
          <t>Парный старт: закрытая цена на 2 абонемента</t>
        </is>
      </c>
      <c r="E2216" s="34" t="inlineStr">
        <is>
          <t>Покупка двух абонементов при совместном старте с подругой</t>
        </is>
      </c>
      <c r="F2216" s="147" t="inlineStr">
        <is>
          <t>FW-L2-EVG8R-ZLZ8E</t>
        </is>
      </c>
      <c r="G2216" s="39" t="inlineStr">
        <is>
          <t>Не использован</t>
        </is>
      </c>
      <c r="H2216" s="148" t="n"/>
      <c r="I2216" s="34" t="str"/>
      <c r="J2216" s="34" t="str"/>
      <c r="K2216" s="130" t="n">
        <v>9</v>
      </c>
      <c r="L2216" s="43">
        <f>IF(COUNTIF($F$5:$F$2407,F2216)=1,"OK","Дубликат")</f>
        <v/>
      </c>
    </row>
    <row r="2217" ht="38" customHeight="1">
      <c r="A2217" s="146" t="inlineStr">
        <is>
          <t>BONUS-L2-PAIR</t>
        </is>
      </c>
      <c r="B2217" s="39" t="inlineStr">
        <is>
          <t>2 уровень</t>
        </is>
      </c>
      <c r="C2217" s="34" t="inlineStr">
        <is>
          <t>Призы не на абонементы</t>
        </is>
      </c>
      <c r="D2217" s="34" t="inlineStr">
        <is>
          <t>Парный старт: закрытая цена на 2 абонемента</t>
        </is>
      </c>
      <c r="E2217" s="34" t="inlineStr">
        <is>
          <t>Покупка двух абонементов при совместном старте с подругой</t>
        </is>
      </c>
      <c r="F2217" s="147" t="inlineStr">
        <is>
          <t>FW-L2-S3NWG-XJRDL</t>
        </is>
      </c>
      <c r="G2217" s="39" t="inlineStr">
        <is>
          <t>Не использован</t>
        </is>
      </c>
      <c r="H2217" s="148" t="n"/>
      <c r="I2217" s="34" t="str"/>
      <c r="J2217" s="34" t="str"/>
      <c r="K2217" s="130" t="n">
        <v>10</v>
      </c>
      <c r="L2217" s="43">
        <f>IF(COUNTIF($F$5:$F$2407,F2217)=1,"OK","Дубликат")</f>
        <v/>
      </c>
    </row>
    <row r="2218" ht="38" customHeight="1">
      <c r="A2218" s="146" t="inlineStr">
        <is>
          <t>BONUS-L2-PAIR</t>
        </is>
      </c>
      <c r="B2218" s="39" t="inlineStr">
        <is>
          <t>2 уровень</t>
        </is>
      </c>
      <c r="C2218" s="34" t="inlineStr">
        <is>
          <t>Призы не на абонементы</t>
        </is>
      </c>
      <c r="D2218" s="34" t="inlineStr">
        <is>
          <t>Парный старт: закрытая цена на 2 абонемента</t>
        </is>
      </c>
      <c r="E2218" s="34" t="inlineStr">
        <is>
          <t>Покупка двух абонементов при совместном старте с подругой</t>
        </is>
      </c>
      <c r="F2218" s="147" t="inlineStr">
        <is>
          <t>FW-L2-67HVB-J7JHK</t>
        </is>
      </c>
      <c r="G2218" s="39" t="inlineStr">
        <is>
          <t>Не использован</t>
        </is>
      </c>
      <c r="H2218" s="148" t="n"/>
      <c r="I2218" s="34" t="str"/>
      <c r="J2218" s="34" t="str"/>
      <c r="K2218" s="130" t="n">
        <v>11</v>
      </c>
      <c r="L2218" s="43">
        <f>IF(COUNTIF($F$5:$F$2407,F2218)=1,"OK","Дубликат")</f>
        <v/>
      </c>
    </row>
    <row r="2219" ht="38" customHeight="1">
      <c r="A2219" s="146" t="inlineStr">
        <is>
          <t>BONUS-L2-PAIR</t>
        </is>
      </c>
      <c r="B2219" s="39" t="inlineStr">
        <is>
          <t>2 уровень</t>
        </is>
      </c>
      <c r="C2219" s="34" t="inlineStr">
        <is>
          <t>Призы не на абонементы</t>
        </is>
      </c>
      <c r="D2219" s="34" t="inlineStr">
        <is>
          <t>Парный старт: закрытая цена на 2 абонемента</t>
        </is>
      </c>
      <c r="E2219" s="34" t="inlineStr">
        <is>
          <t>Покупка двух абонементов при совместном старте с подругой</t>
        </is>
      </c>
      <c r="F2219" s="147" t="inlineStr">
        <is>
          <t>FW-L2-K6LZJ-L5KHV</t>
        </is>
      </c>
      <c r="G2219" s="39" t="inlineStr">
        <is>
          <t>Не использован</t>
        </is>
      </c>
      <c r="H2219" s="148" t="n"/>
      <c r="I2219" s="34" t="str"/>
      <c r="J2219" s="34" t="str"/>
      <c r="K2219" s="130" t="n">
        <v>12</v>
      </c>
      <c r="L2219" s="43">
        <f>IF(COUNTIF($F$5:$F$2407,F2219)=1,"OK","Дубликат")</f>
        <v/>
      </c>
    </row>
    <row r="2220" ht="38" customHeight="1">
      <c r="A2220" s="146" t="inlineStr">
        <is>
          <t>BONUS-L2-PAIR</t>
        </is>
      </c>
      <c r="B2220" s="39" t="inlineStr">
        <is>
          <t>2 уровень</t>
        </is>
      </c>
      <c r="C2220" s="34" t="inlineStr">
        <is>
          <t>Призы не на абонементы</t>
        </is>
      </c>
      <c r="D2220" s="34" t="inlineStr">
        <is>
          <t>Парный старт: закрытая цена на 2 абонемента</t>
        </is>
      </c>
      <c r="E2220" s="34" t="inlineStr">
        <is>
          <t>Покупка двух абонементов при совместном старте с подругой</t>
        </is>
      </c>
      <c r="F2220" s="147" t="inlineStr">
        <is>
          <t>FW-L2-VSHJH-GDB2G</t>
        </is>
      </c>
      <c r="G2220" s="39" t="inlineStr">
        <is>
          <t>Не использован</t>
        </is>
      </c>
      <c r="H2220" s="148" t="n"/>
      <c r="I2220" s="34" t="str"/>
      <c r="J2220" s="34" t="str"/>
      <c r="K2220" s="130" t="n">
        <v>13</v>
      </c>
      <c r="L2220" s="43">
        <f>IF(COUNTIF($F$5:$F$2407,F2220)=1,"OK","Дубликат")</f>
        <v/>
      </c>
    </row>
    <row r="2221" ht="38" customHeight="1">
      <c r="A2221" s="146" t="inlineStr">
        <is>
          <t>BONUS-L2-PAIR</t>
        </is>
      </c>
      <c r="B2221" s="39" t="inlineStr">
        <is>
          <t>2 уровень</t>
        </is>
      </c>
      <c r="C2221" s="34" t="inlineStr">
        <is>
          <t>Призы не на абонементы</t>
        </is>
      </c>
      <c r="D2221" s="34" t="inlineStr">
        <is>
          <t>Парный старт: закрытая цена на 2 абонемента</t>
        </is>
      </c>
      <c r="E2221" s="34" t="inlineStr">
        <is>
          <t>Покупка двух абонементов при совместном старте с подругой</t>
        </is>
      </c>
      <c r="F2221" s="147" t="inlineStr">
        <is>
          <t>FW-L2-E73JW-7W74G</t>
        </is>
      </c>
      <c r="G2221" s="39" t="inlineStr">
        <is>
          <t>Не использован</t>
        </is>
      </c>
      <c r="H2221" s="148" t="n"/>
      <c r="I2221" s="34" t="str"/>
      <c r="J2221" s="34" t="str"/>
      <c r="K2221" s="130" t="n">
        <v>14</v>
      </c>
      <c r="L2221" s="43">
        <f>IF(COUNTIF($F$5:$F$2407,F2221)=1,"OK","Дубликат")</f>
        <v/>
      </c>
    </row>
    <row r="2222" ht="38" customHeight="1">
      <c r="A2222" s="146" t="inlineStr">
        <is>
          <t>BONUS-L2-PAIR</t>
        </is>
      </c>
      <c r="B2222" s="39" t="inlineStr">
        <is>
          <t>2 уровень</t>
        </is>
      </c>
      <c r="C2222" s="34" t="inlineStr">
        <is>
          <t>Призы не на абонементы</t>
        </is>
      </c>
      <c r="D2222" s="34" t="inlineStr">
        <is>
          <t>Парный старт: закрытая цена на 2 абонемента</t>
        </is>
      </c>
      <c r="E2222" s="34" t="inlineStr">
        <is>
          <t>Покупка двух абонементов при совместном старте с подругой</t>
        </is>
      </c>
      <c r="F2222" s="147" t="inlineStr">
        <is>
          <t>FW-L2-PT8RC-YD9CX</t>
        </is>
      </c>
      <c r="G2222" s="39" t="inlineStr">
        <is>
          <t>Не использован</t>
        </is>
      </c>
      <c r="H2222" s="148" t="n"/>
      <c r="I2222" s="34" t="str"/>
      <c r="J2222" s="34" t="str"/>
      <c r="K2222" s="130" t="n">
        <v>15</v>
      </c>
      <c r="L2222" s="43">
        <f>IF(COUNTIF($F$5:$F$2407,F2222)=1,"OK","Дубликат")</f>
        <v/>
      </c>
    </row>
    <row r="2223" ht="38" customHeight="1">
      <c r="A2223" s="146" t="inlineStr">
        <is>
          <t>BONUS-L2-PAIR</t>
        </is>
      </c>
      <c r="B2223" s="39" t="inlineStr">
        <is>
          <t>2 уровень</t>
        </is>
      </c>
      <c r="C2223" s="34" t="inlineStr">
        <is>
          <t>Призы не на абонементы</t>
        </is>
      </c>
      <c r="D2223" s="34" t="inlineStr">
        <is>
          <t>Парный старт: закрытая цена на 2 абонемента</t>
        </is>
      </c>
      <c r="E2223" s="34" t="inlineStr">
        <is>
          <t>Покупка двух абонементов при совместном старте с подругой</t>
        </is>
      </c>
      <c r="F2223" s="147" t="inlineStr">
        <is>
          <t>FW-L2-MMDJZ-A3VTG</t>
        </is>
      </c>
      <c r="G2223" s="39" t="inlineStr">
        <is>
          <t>Не использован</t>
        </is>
      </c>
      <c r="H2223" s="148" t="n"/>
      <c r="I2223" s="34" t="str"/>
      <c r="J2223" s="34" t="str"/>
      <c r="K2223" s="130" t="n">
        <v>16</v>
      </c>
      <c r="L2223" s="43">
        <f>IF(COUNTIF($F$5:$F$2407,F2223)=1,"OK","Дубликат")</f>
        <v/>
      </c>
    </row>
    <row r="2224" ht="38" customHeight="1">
      <c r="A2224" s="146" t="inlineStr">
        <is>
          <t>BONUS-L2-PAIR</t>
        </is>
      </c>
      <c r="B2224" s="39" t="inlineStr">
        <is>
          <t>2 уровень</t>
        </is>
      </c>
      <c r="C2224" s="34" t="inlineStr">
        <is>
          <t>Призы не на абонементы</t>
        </is>
      </c>
      <c r="D2224" s="34" t="inlineStr">
        <is>
          <t>Парный старт: закрытая цена на 2 абонемента</t>
        </is>
      </c>
      <c r="E2224" s="34" t="inlineStr">
        <is>
          <t>Покупка двух абонементов при совместном старте с подругой</t>
        </is>
      </c>
      <c r="F2224" s="147" t="inlineStr">
        <is>
          <t>FW-L2-GXBYD-FVZ52</t>
        </is>
      </c>
      <c r="G2224" s="39" t="inlineStr">
        <is>
          <t>Не использован</t>
        </is>
      </c>
      <c r="H2224" s="148" t="n"/>
      <c r="I2224" s="34" t="str"/>
      <c r="J2224" s="34" t="str"/>
      <c r="K2224" s="130" t="n">
        <v>17</v>
      </c>
      <c r="L2224" s="43">
        <f>IF(COUNTIF($F$5:$F$2407,F2224)=1,"OK","Дубликат")</f>
        <v/>
      </c>
    </row>
    <row r="2225" ht="38" customHeight="1">
      <c r="A2225" s="146" t="inlineStr">
        <is>
          <t>BONUS-L2-PAIR</t>
        </is>
      </c>
      <c r="B2225" s="39" t="inlineStr">
        <is>
          <t>2 уровень</t>
        </is>
      </c>
      <c r="C2225" s="34" t="inlineStr">
        <is>
          <t>Призы не на абонементы</t>
        </is>
      </c>
      <c r="D2225" s="34" t="inlineStr">
        <is>
          <t>Парный старт: закрытая цена на 2 абонемента</t>
        </is>
      </c>
      <c r="E2225" s="34" t="inlineStr">
        <is>
          <t>Покупка двух абонементов при совместном старте с подругой</t>
        </is>
      </c>
      <c r="F2225" s="147" t="inlineStr">
        <is>
          <t>FW-L2-95LT4-QK68C</t>
        </is>
      </c>
      <c r="G2225" s="39" t="inlineStr">
        <is>
          <t>Не использован</t>
        </is>
      </c>
      <c r="H2225" s="148" t="n"/>
      <c r="I2225" s="34" t="str"/>
      <c r="J2225" s="34" t="str"/>
      <c r="K2225" s="130" t="n">
        <v>18</v>
      </c>
      <c r="L2225" s="43">
        <f>IF(COUNTIF($F$5:$F$2407,F2225)=1,"OK","Дубликат")</f>
        <v/>
      </c>
    </row>
    <row r="2226" ht="38" customHeight="1">
      <c r="A2226" s="146" t="inlineStr">
        <is>
          <t>BONUS-L2-PAIR</t>
        </is>
      </c>
      <c r="B2226" s="39" t="inlineStr">
        <is>
          <t>2 уровень</t>
        </is>
      </c>
      <c r="C2226" s="34" t="inlineStr">
        <is>
          <t>Призы не на абонементы</t>
        </is>
      </c>
      <c r="D2226" s="34" t="inlineStr">
        <is>
          <t>Парный старт: закрытая цена на 2 абонемента</t>
        </is>
      </c>
      <c r="E2226" s="34" t="inlineStr">
        <is>
          <t>Покупка двух абонементов при совместном старте с подругой</t>
        </is>
      </c>
      <c r="F2226" s="147" t="inlineStr">
        <is>
          <t>FW-L2-GJS5A-64RXU</t>
        </is>
      </c>
      <c r="G2226" s="39" t="inlineStr">
        <is>
          <t>Не использован</t>
        </is>
      </c>
      <c r="H2226" s="148" t="n"/>
      <c r="I2226" s="34" t="str"/>
      <c r="J2226" s="34" t="str"/>
      <c r="K2226" s="130" t="n">
        <v>19</v>
      </c>
      <c r="L2226" s="43">
        <f>IF(COUNTIF($F$5:$F$2407,F2226)=1,"OK","Дубликат")</f>
        <v/>
      </c>
    </row>
    <row r="2227" ht="38" customHeight="1">
      <c r="A2227" s="146" t="inlineStr">
        <is>
          <t>BONUS-L2-PAIR</t>
        </is>
      </c>
      <c r="B2227" s="39" t="inlineStr">
        <is>
          <t>2 уровень</t>
        </is>
      </c>
      <c r="C2227" s="34" t="inlineStr">
        <is>
          <t>Призы не на абонементы</t>
        </is>
      </c>
      <c r="D2227" s="34" t="inlineStr">
        <is>
          <t>Парный старт: закрытая цена на 2 абонемента</t>
        </is>
      </c>
      <c r="E2227" s="34" t="inlineStr">
        <is>
          <t>Покупка двух абонементов при совместном старте с подругой</t>
        </is>
      </c>
      <c r="F2227" s="147" t="inlineStr">
        <is>
          <t>FW-L2-WHEVS-G8H3U</t>
        </is>
      </c>
      <c r="G2227" s="39" t="inlineStr">
        <is>
          <t>Не использован</t>
        </is>
      </c>
      <c r="H2227" s="148" t="n"/>
      <c r="I2227" s="34" t="str"/>
      <c r="J2227" s="34" t="str"/>
      <c r="K2227" s="130" t="n">
        <v>20</v>
      </c>
      <c r="L2227" s="43">
        <f>IF(COUNTIF($F$5:$F$2407,F2227)=1,"OK","Дубликат")</f>
        <v/>
      </c>
    </row>
    <row r="2228" ht="38" customHeight="1">
      <c r="A2228" s="146" t="inlineStr">
        <is>
          <t>BONUS-L2-PAIR</t>
        </is>
      </c>
      <c r="B2228" s="39" t="inlineStr">
        <is>
          <t>2 уровень</t>
        </is>
      </c>
      <c r="C2228" s="34" t="inlineStr">
        <is>
          <t>Призы не на абонементы</t>
        </is>
      </c>
      <c r="D2228" s="34" t="inlineStr">
        <is>
          <t>Парный старт: закрытая цена на 2 абонемента</t>
        </is>
      </c>
      <c r="E2228" s="34" t="inlineStr">
        <is>
          <t>Покупка двух абонементов при совместном старте с подругой</t>
        </is>
      </c>
      <c r="F2228" s="147" t="inlineStr">
        <is>
          <t>FW-L2-AAHZ9-X93T2</t>
        </is>
      </c>
      <c r="G2228" s="39" t="inlineStr">
        <is>
          <t>Не использован</t>
        </is>
      </c>
      <c r="H2228" s="148" t="n"/>
      <c r="I2228" s="34" t="str"/>
      <c r="J2228" s="34" t="str"/>
      <c r="K2228" s="130" t="n">
        <v>21</v>
      </c>
      <c r="L2228" s="43">
        <f>IF(COUNTIF($F$5:$F$2407,F2228)=1,"OK","Дубликат")</f>
        <v/>
      </c>
    </row>
    <row r="2229" ht="38" customHeight="1">
      <c r="A2229" s="146" t="inlineStr">
        <is>
          <t>BONUS-L2-PAIR</t>
        </is>
      </c>
      <c r="B2229" s="39" t="inlineStr">
        <is>
          <t>2 уровень</t>
        </is>
      </c>
      <c r="C2229" s="34" t="inlineStr">
        <is>
          <t>Призы не на абонементы</t>
        </is>
      </c>
      <c r="D2229" s="34" t="inlineStr">
        <is>
          <t>Парный старт: закрытая цена на 2 абонемента</t>
        </is>
      </c>
      <c r="E2229" s="34" t="inlineStr">
        <is>
          <t>Покупка двух абонементов при совместном старте с подругой</t>
        </is>
      </c>
      <c r="F2229" s="147" t="inlineStr">
        <is>
          <t>FW-L2-GW6U5-UCXW2</t>
        </is>
      </c>
      <c r="G2229" s="39" t="inlineStr">
        <is>
          <t>Не использован</t>
        </is>
      </c>
      <c r="H2229" s="148" t="n"/>
      <c r="I2229" s="34" t="str"/>
      <c r="J2229" s="34" t="str"/>
      <c r="K2229" s="130" t="n">
        <v>22</v>
      </c>
      <c r="L2229" s="43">
        <f>IF(COUNTIF($F$5:$F$2407,F2229)=1,"OK","Дубликат")</f>
        <v/>
      </c>
    </row>
    <row r="2230" ht="38" customHeight="1">
      <c r="A2230" s="146" t="inlineStr">
        <is>
          <t>BONUS-L2-PAIR</t>
        </is>
      </c>
      <c r="B2230" s="39" t="inlineStr">
        <is>
          <t>2 уровень</t>
        </is>
      </c>
      <c r="C2230" s="34" t="inlineStr">
        <is>
          <t>Призы не на абонементы</t>
        </is>
      </c>
      <c r="D2230" s="34" t="inlineStr">
        <is>
          <t>Парный старт: закрытая цена на 2 абонемента</t>
        </is>
      </c>
      <c r="E2230" s="34" t="inlineStr">
        <is>
          <t>Покупка двух абонементов при совместном старте с подругой</t>
        </is>
      </c>
      <c r="F2230" s="147" t="inlineStr">
        <is>
          <t>FW-L2-ADX7F-B4Z75</t>
        </is>
      </c>
      <c r="G2230" s="39" t="inlineStr">
        <is>
          <t>Не использован</t>
        </is>
      </c>
      <c r="H2230" s="148" t="n"/>
      <c r="I2230" s="34" t="str"/>
      <c r="J2230" s="34" t="str"/>
      <c r="K2230" s="130" t="n">
        <v>23</v>
      </c>
      <c r="L2230" s="43">
        <f>IF(COUNTIF($F$5:$F$2407,F2230)=1,"OK","Дубликат")</f>
        <v/>
      </c>
    </row>
    <row r="2231" ht="38" customHeight="1">
      <c r="A2231" s="146" t="inlineStr">
        <is>
          <t>BONUS-L2-PAIR</t>
        </is>
      </c>
      <c r="B2231" s="39" t="inlineStr">
        <is>
          <t>2 уровень</t>
        </is>
      </c>
      <c r="C2231" s="34" t="inlineStr">
        <is>
          <t>Призы не на абонементы</t>
        </is>
      </c>
      <c r="D2231" s="34" t="inlineStr">
        <is>
          <t>Парный старт: закрытая цена на 2 абонемента</t>
        </is>
      </c>
      <c r="E2231" s="34" t="inlineStr">
        <is>
          <t>Покупка двух абонементов при совместном старте с подругой</t>
        </is>
      </c>
      <c r="F2231" s="147" t="inlineStr">
        <is>
          <t>FW-L2-5PHW2-7XD6D</t>
        </is>
      </c>
      <c r="G2231" s="39" t="inlineStr">
        <is>
          <t>Не использован</t>
        </is>
      </c>
      <c r="H2231" s="148" t="n"/>
      <c r="I2231" s="34" t="str"/>
      <c r="J2231" s="34" t="str"/>
      <c r="K2231" s="130" t="n">
        <v>24</v>
      </c>
      <c r="L2231" s="43">
        <f>IF(COUNTIF($F$5:$F$2407,F2231)=1,"OK","Дубликат")</f>
        <v/>
      </c>
    </row>
    <row r="2232" ht="38" customHeight="1">
      <c r="A2232" s="146" t="inlineStr">
        <is>
          <t>BONUS-L2-PAIR</t>
        </is>
      </c>
      <c r="B2232" s="39" t="inlineStr">
        <is>
          <t>2 уровень</t>
        </is>
      </c>
      <c r="C2232" s="34" t="inlineStr">
        <is>
          <t>Призы не на абонементы</t>
        </is>
      </c>
      <c r="D2232" s="34" t="inlineStr">
        <is>
          <t>Парный старт: закрытая цена на 2 абонемента</t>
        </is>
      </c>
      <c r="E2232" s="34" t="inlineStr">
        <is>
          <t>Покупка двух абонементов при совместном старте с подругой</t>
        </is>
      </c>
      <c r="F2232" s="147" t="inlineStr">
        <is>
          <t>FW-L2-FFW5N-TEYU7</t>
        </is>
      </c>
      <c r="G2232" s="39" t="inlineStr">
        <is>
          <t>Не использован</t>
        </is>
      </c>
      <c r="H2232" s="148" t="n"/>
      <c r="I2232" s="34" t="str"/>
      <c r="J2232" s="34" t="str"/>
      <c r="K2232" s="130" t="n">
        <v>25</v>
      </c>
      <c r="L2232" s="43">
        <f>IF(COUNTIF($F$5:$F$2407,F2232)=1,"OK","Дубликат")</f>
        <v/>
      </c>
    </row>
    <row r="2233" ht="38" customHeight="1">
      <c r="A2233" s="146" t="inlineStr">
        <is>
          <t>BONUS-L2-PAIR</t>
        </is>
      </c>
      <c r="B2233" s="39" t="inlineStr">
        <is>
          <t>2 уровень</t>
        </is>
      </c>
      <c r="C2233" s="34" t="inlineStr">
        <is>
          <t>Призы не на абонементы</t>
        </is>
      </c>
      <c r="D2233" s="34" t="inlineStr">
        <is>
          <t>Парный старт: закрытая цена на 2 абонемента</t>
        </is>
      </c>
      <c r="E2233" s="34" t="inlineStr">
        <is>
          <t>Покупка двух абонементов при совместном старте с подругой</t>
        </is>
      </c>
      <c r="F2233" s="147" t="inlineStr">
        <is>
          <t>FW-L2-UZUXW-LHTVG</t>
        </is>
      </c>
      <c r="G2233" s="39" t="inlineStr">
        <is>
          <t>Не использован</t>
        </is>
      </c>
      <c r="H2233" s="148" t="n"/>
      <c r="I2233" s="34" t="str"/>
      <c r="J2233" s="34" t="str"/>
      <c r="K2233" s="130" t="n">
        <v>26</v>
      </c>
      <c r="L2233" s="43">
        <f>IF(COUNTIF($F$5:$F$2407,F2233)=1,"OK","Дубликат")</f>
        <v/>
      </c>
    </row>
    <row r="2234" ht="38" customHeight="1">
      <c r="A2234" s="146" t="inlineStr">
        <is>
          <t>BONUS-L2-PAIR</t>
        </is>
      </c>
      <c r="B2234" s="39" t="inlineStr">
        <is>
          <t>2 уровень</t>
        </is>
      </c>
      <c r="C2234" s="34" t="inlineStr">
        <is>
          <t>Призы не на абонементы</t>
        </is>
      </c>
      <c r="D2234" s="34" t="inlineStr">
        <is>
          <t>Парный старт: закрытая цена на 2 абонемента</t>
        </is>
      </c>
      <c r="E2234" s="34" t="inlineStr">
        <is>
          <t>Покупка двух абонементов при совместном старте с подругой</t>
        </is>
      </c>
      <c r="F2234" s="147" t="inlineStr">
        <is>
          <t>FW-L2-XFGTY-8AVUR</t>
        </is>
      </c>
      <c r="G2234" s="39" t="inlineStr">
        <is>
          <t>Не использован</t>
        </is>
      </c>
      <c r="H2234" s="148" t="n"/>
      <c r="I2234" s="34" t="str"/>
      <c r="J2234" s="34" t="str"/>
      <c r="K2234" s="130" t="n">
        <v>27</v>
      </c>
      <c r="L2234" s="43">
        <f>IF(COUNTIF($F$5:$F$2407,F2234)=1,"OK","Дубликат")</f>
        <v/>
      </c>
    </row>
    <row r="2235" ht="38" customHeight="1">
      <c r="A2235" s="146" t="inlineStr">
        <is>
          <t>BONUS-L2-PAIR</t>
        </is>
      </c>
      <c r="B2235" s="39" t="inlineStr">
        <is>
          <t>2 уровень</t>
        </is>
      </c>
      <c r="C2235" s="34" t="inlineStr">
        <is>
          <t>Призы не на абонементы</t>
        </is>
      </c>
      <c r="D2235" s="34" t="inlineStr">
        <is>
          <t>Парный старт: закрытая цена на 2 абонемента</t>
        </is>
      </c>
      <c r="E2235" s="34" t="inlineStr">
        <is>
          <t>Покупка двух абонементов при совместном старте с подругой</t>
        </is>
      </c>
      <c r="F2235" s="147" t="inlineStr">
        <is>
          <t>FW-L2-H2XQV-BES5P</t>
        </is>
      </c>
      <c r="G2235" s="39" t="inlineStr">
        <is>
          <t>Не использован</t>
        </is>
      </c>
      <c r="H2235" s="148" t="n"/>
      <c r="I2235" s="34" t="str"/>
      <c r="J2235" s="34" t="str"/>
      <c r="K2235" s="130" t="n">
        <v>28</v>
      </c>
      <c r="L2235" s="43">
        <f>IF(COUNTIF($F$5:$F$2407,F2235)=1,"OK","Дубликат")</f>
        <v/>
      </c>
    </row>
    <row r="2236" ht="38" customHeight="1">
      <c r="A2236" s="146" t="inlineStr">
        <is>
          <t>BONUS-L2-PAIR</t>
        </is>
      </c>
      <c r="B2236" s="39" t="inlineStr">
        <is>
          <t>2 уровень</t>
        </is>
      </c>
      <c r="C2236" s="34" t="inlineStr">
        <is>
          <t>Призы не на абонементы</t>
        </is>
      </c>
      <c r="D2236" s="34" t="inlineStr">
        <is>
          <t>Парный старт: закрытая цена на 2 абонемента</t>
        </is>
      </c>
      <c r="E2236" s="34" t="inlineStr">
        <is>
          <t>Покупка двух абонементов при совместном старте с подругой</t>
        </is>
      </c>
      <c r="F2236" s="147" t="inlineStr">
        <is>
          <t>FW-L2-UHB7C-FHVYD</t>
        </is>
      </c>
      <c r="G2236" s="39" t="inlineStr">
        <is>
          <t>Не использован</t>
        </is>
      </c>
      <c r="H2236" s="148" t="n"/>
      <c r="I2236" s="34" t="str"/>
      <c r="J2236" s="34" t="str"/>
      <c r="K2236" s="130" t="n">
        <v>29</v>
      </c>
      <c r="L2236" s="43">
        <f>IF(COUNTIF($F$5:$F$2407,F2236)=1,"OK","Дубликат")</f>
        <v/>
      </c>
    </row>
    <row r="2237" ht="38" customHeight="1">
      <c r="A2237" s="146" t="inlineStr">
        <is>
          <t>BONUS-L2-PAIR</t>
        </is>
      </c>
      <c r="B2237" s="39" t="inlineStr">
        <is>
          <t>2 уровень</t>
        </is>
      </c>
      <c r="C2237" s="34" t="inlineStr">
        <is>
          <t>Призы не на абонементы</t>
        </is>
      </c>
      <c r="D2237" s="34" t="inlineStr">
        <is>
          <t>Парный старт: закрытая цена на 2 абонемента</t>
        </is>
      </c>
      <c r="E2237" s="34" t="inlineStr">
        <is>
          <t>Покупка двух абонементов при совместном старте с подругой</t>
        </is>
      </c>
      <c r="F2237" s="147" t="inlineStr">
        <is>
          <t>FW-L2-4CGZJ-BCQ7X</t>
        </is>
      </c>
      <c r="G2237" s="39" t="inlineStr">
        <is>
          <t>Не использован</t>
        </is>
      </c>
      <c r="H2237" s="148" t="n"/>
      <c r="I2237" s="34" t="str"/>
      <c r="J2237" s="34" t="str"/>
      <c r="K2237" s="130" t="n">
        <v>30</v>
      </c>
      <c r="L2237" s="43">
        <f>IF(COUNTIF($F$5:$F$2407,F2237)=1,"OK","Дубликат")</f>
        <v/>
      </c>
    </row>
    <row r="2238" ht="38" customHeight="1">
      <c r="A2238" s="146" t="inlineStr">
        <is>
          <t>BONUS-L2-PAIR</t>
        </is>
      </c>
      <c r="B2238" s="39" t="inlineStr">
        <is>
          <t>2 уровень</t>
        </is>
      </c>
      <c r="C2238" s="34" t="inlineStr">
        <is>
          <t>Призы не на абонементы</t>
        </is>
      </c>
      <c r="D2238" s="34" t="inlineStr">
        <is>
          <t>Парный старт: закрытая цена на 2 абонемента</t>
        </is>
      </c>
      <c r="E2238" s="34" t="inlineStr">
        <is>
          <t>Покупка двух абонементов при совместном старте с подругой</t>
        </is>
      </c>
      <c r="F2238" s="147" t="inlineStr">
        <is>
          <t>FW-L2-9975T-2KPJD</t>
        </is>
      </c>
      <c r="G2238" s="39" t="inlineStr">
        <is>
          <t>Не использован</t>
        </is>
      </c>
      <c r="H2238" s="148" t="n"/>
      <c r="I2238" s="34" t="str"/>
      <c r="J2238" s="34" t="str"/>
      <c r="K2238" s="130" t="n">
        <v>31</v>
      </c>
      <c r="L2238" s="43">
        <f>IF(COUNTIF($F$5:$F$2407,F2238)=1,"OK","Дубликат")</f>
        <v/>
      </c>
    </row>
    <row r="2239" ht="38" customHeight="1">
      <c r="A2239" s="146" t="inlineStr">
        <is>
          <t>BONUS-L2-PAIR</t>
        </is>
      </c>
      <c r="B2239" s="39" t="inlineStr">
        <is>
          <t>2 уровень</t>
        </is>
      </c>
      <c r="C2239" s="34" t="inlineStr">
        <is>
          <t>Призы не на абонементы</t>
        </is>
      </c>
      <c r="D2239" s="34" t="inlineStr">
        <is>
          <t>Парный старт: закрытая цена на 2 абонемента</t>
        </is>
      </c>
      <c r="E2239" s="34" t="inlineStr">
        <is>
          <t>Покупка двух абонементов при совместном старте с подругой</t>
        </is>
      </c>
      <c r="F2239" s="147" t="inlineStr">
        <is>
          <t>FW-L2-G9UGQ-VAEFA</t>
        </is>
      </c>
      <c r="G2239" s="39" t="inlineStr">
        <is>
          <t>Не использован</t>
        </is>
      </c>
      <c r="H2239" s="148" t="n"/>
      <c r="I2239" s="34" t="str"/>
      <c r="J2239" s="34" t="str"/>
      <c r="K2239" s="130" t="n">
        <v>32</v>
      </c>
      <c r="L2239" s="43">
        <f>IF(COUNTIF($F$5:$F$2407,F2239)=1,"OK","Дубликат")</f>
        <v/>
      </c>
    </row>
    <row r="2240" ht="38" customHeight="1">
      <c r="A2240" s="146" t="inlineStr">
        <is>
          <t>BONUS-L2-PAIR</t>
        </is>
      </c>
      <c r="B2240" s="39" t="inlineStr">
        <is>
          <t>2 уровень</t>
        </is>
      </c>
      <c r="C2240" s="34" t="inlineStr">
        <is>
          <t>Призы не на абонементы</t>
        </is>
      </c>
      <c r="D2240" s="34" t="inlineStr">
        <is>
          <t>Парный старт: закрытая цена на 2 абонемента</t>
        </is>
      </c>
      <c r="E2240" s="34" t="inlineStr">
        <is>
          <t>Покупка двух абонементов при совместном старте с подругой</t>
        </is>
      </c>
      <c r="F2240" s="147" t="inlineStr">
        <is>
          <t>FW-L2-SSTTM-TRY99</t>
        </is>
      </c>
      <c r="G2240" s="39" t="inlineStr">
        <is>
          <t>Не использован</t>
        </is>
      </c>
      <c r="H2240" s="148" t="n"/>
      <c r="I2240" s="34" t="str"/>
      <c r="J2240" s="34" t="str"/>
      <c r="K2240" s="130" t="n">
        <v>33</v>
      </c>
      <c r="L2240" s="43">
        <f>IF(COUNTIF($F$5:$F$2407,F2240)=1,"OK","Дубликат")</f>
        <v/>
      </c>
    </row>
    <row r="2241" ht="38" customHeight="1">
      <c r="A2241" s="146" t="inlineStr">
        <is>
          <t>BONUS-L2-PAIR</t>
        </is>
      </c>
      <c r="B2241" s="39" t="inlineStr">
        <is>
          <t>2 уровень</t>
        </is>
      </c>
      <c r="C2241" s="34" t="inlineStr">
        <is>
          <t>Призы не на абонементы</t>
        </is>
      </c>
      <c r="D2241" s="34" t="inlineStr">
        <is>
          <t>Парный старт: закрытая цена на 2 абонемента</t>
        </is>
      </c>
      <c r="E2241" s="34" t="inlineStr">
        <is>
          <t>Покупка двух абонементов при совместном старте с подругой</t>
        </is>
      </c>
      <c r="F2241" s="147" t="inlineStr">
        <is>
          <t>FW-L2-4P8X2-GNA6J</t>
        </is>
      </c>
      <c r="G2241" s="39" t="inlineStr">
        <is>
          <t>Не использован</t>
        </is>
      </c>
      <c r="H2241" s="148" t="n"/>
      <c r="I2241" s="34" t="str"/>
      <c r="J2241" s="34" t="str"/>
      <c r="K2241" s="130" t="n">
        <v>34</v>
      </c>
      <c r="L2241" s="43">
        <f>IF(COUNTIF($F$5:$F$2407,F2241)=1,"OK","Дубликат")</f>
        <v/>
      </c>
    </row>
    <row r="2242" ht="38" customHeight="1">
      <c r="A2242" s="146" t="inlineStr">
        <is>
          <t>BONUS-L2-PAIR</t>
        </is>
      </c>
      <c r="B2242" s="39" t="inlineStr">
        <is>
          <t>2 уровень</t>
        </is>
      </c>
      <c r="C2242" s="34" t="inlineStr">
        <is>
          <t>Призы не на абонементы</t>
        </is>
      </c>
      <c r="D2242" s="34" t="inlineStr">
        <is>
          <t>Парный старт: закрытая цена на 2 абонемента</t>
        </is>
      </c>
      <c r="E2242" s="34" t="inlineStr">
        <is>
          <t>Покупка двух абонементов при совместном старте с подругой</t>
        </is>
      </c>
      <c r="F2242" s="147" t="inlineStr">
        <is>
          <t>FW-L2-6X2GT-9HRUW</t>
        </is>
      </c>
      <c r="G2242" s="39" t="inlineStr">
        <is>
          <t>Не использован</t>
        </is>
      </c>
      <c r="H2242" s="148" t="n"/>
      <c r="I2242" s="34" t="str"/>
      <c r="J2242" s="34" t="str"/>
      <c r="K2242" s="130" t="n">
        <v>35</v>
      </c>
      <c r="L2242" s="43">
        <f>IF(COUNTIF($F$5:$F$2407,F2242)=1,"OK","Дубликат")</f>
        <v/>
      </c>
    </row>
    <row r="2243" ht="38" customHeight="1">
      <c r="A2243" s="146" t="inlineStr">
        <is>
          <t>BONUS-L2-PAIR</t>
        </is>
      </c>
      <c r="B2243" s="39" t="inlineStr">
        <is>
          <t>2 уровень</t>
        </is>
      </c>
      <c r="C2243" s="34" t="inlineStr">
        <is>
          <t>Призы не на абонементы</t>
        </is>
      </c>
      <c r="D2243" s="34" t="inlineStr">
        <is>
          <t>Парный старт: закрытая цена на 2 абонемента</t>
        </is>
      </c>
      <c r="E2243" s="34" t="inlineStr">
        <is>
          <t>Покупка двух абонементов при совместном старте с подругой</t>
        </is>
      </c>
      <c r="F2243" s="147" t="inlineStr">
        <is>
          <t>FW-L2-ZTCLY-BGA67</t>
        </is>
      </c>
      <c r="G2243" s="39" t="inlineStr">
        <is>
          <t>Не использован</t>
        </is>
      </c>
      <c r="H2243" s="148" t="n"/>
      <c r="I2243" s="34" t="str"/>
      <c r="J2243" s="34" t="str"/>
      <c r="K2243" s="130" t="n">
        <v>36</v>
      </c>
      <c r="L2243" s="43">
        <f>IF(COUNTIF($F$5:$F$2407,F2243)=1,"OK","Дубликат")</f>
        <v/>
      </c>
    </row>
    <row r="2244" ht="38" customHeight="1">
      <c r="A2244" s="146" t="inlineStr">
        <is>
          <t>BONUS-L2-PAIR</t>
        </is>
      </c>
      <c r="B2244" s="39" t="inlineStr">
        <is>
          <t>2 уровень</t>
        </is>
      </c>
      <c r="C2244" s="34" t="inlineStr">
        <is>
          <t>Призы не на абонементы</t>
        </is>
      </c>
      <c r="D2244" s="34" t="inlineStr">
        <is>
          <t>Парный старт: закрытая цена на 2 абонемента</t>
        </is>
      </c>
      <c r="E2244" s="34" t="inlineStr">
        <is>
          <t>Покупка двух абонементов при совместном старте с подругой</t>
        </is>
      </c>
      <c r="F2244" s="147" t="inlineStr">
        <is>
          <t>FW-L2-F4KHL-X9D5E</t>
        </is>
      </c>
      <c r="G2244" s="39" t="inlineStr">
        <is>
          <t>Не использован</t>
        </is>
      </c>
      <c r="H2244" s="148" t="n"/>
      <c r="I2244" s="34" t="str"/>
      <c r="J2244" s="34" t="str"/>
      <c r="K2244" s="130" t="n">
        <v>37</v>
      </c>
      <c r="L2244" s="43">
        <f>IF(COUNTIF($F$5:$F$2407,F2244)=1,"OK","Дубликат")</f>
        <v/>
      </c>
    </row>
    <row r="2245" ht="38" customHeight="1">
      <c r="A2245" s="146" t="inlineStr">
        <is>
          <t>BONUS-L2-PAIR</t>
        </is>
      </c>
      <c r="B2245" s="39" t="inlineStr">
        <is>
          <t>2 уровень</t>
        </is>
      </c>
      <c r="C2245" s="34" t="inlineStr">
        <is>
          <t>Призы не на абонементы</t>
        </is>
      </c>
      <c r="D2245" s="34" t="inlineStr">
        <is>
          <t>Парный старт: закрытая цена на 2 абонемента</t>
        </is>
      </c>
      <c r="E2245" s="34" t="inlineStr">
        <is>
          <t>Покупка двух абонементов при совместном старте с подругой</t>
        </is>
      </c>
      <c r="F2245" s="147" t="inlineStr">
        <is>
          <t>FW-L2-DUECV-DZS5E</t>
        </is>
      </c>
      <c r="G2245" s="39" t="inlineStr">
        <is>
          <t>Не использован</t>
        </is>
      </c>
      <c r="H2245" s="148" t="n"/>
      <c r="I2245" s="34" t="str"/>
      <c r="J2245" s="34" t="str"/>
      <c r="K2245" s="130" t="n">
        <v>38</v>
      </c>
      <c r="L2245" s="43">
        <f>IF(COUNTIF($F$5:$F$2407,F2245)=1,"OK","Дубликат")</f>
        <v/>
      </c>
    </row>
    <row r="2246" ht="38" customHeight="1">
      <c r="A2246" s="146" t="inlineStr">
        <is>
          <t>BONUS-L2-PAIR</t>
        </is>
      </c>
      <c r="B2246" s="39" t="inlineStr">
        <is>
          <t>2 уровень</t>
        </is>
      </c>
      <c r="C2246" s="34" t="inlineStr">
        <is>
          <t>Призы не на абонементы</t>
        </is>
      </c>
      <c r="D2246" s="34" t="inlineStr">
        <is>
          <t>Парный старт: закрытая цена на 2 абонемента</t>
        </is>
      </c>
      <c r="E2246" s="34" t="inlineStr">
        <is>
          <t>Покупка двух абонементов при совместном старте с подругой</t>
        </is>
      </c>
      <c r="F2246" s="147" t="inlineStr">
        <is>
          <t>FW-L2-MYZAN-4NWAS</t>
        </is>
      </c>
      <c r="G2246" s="39" t="inlineStr">
        <is>
          <t>Не использован</t>
        </is>
      </c>
      <c r="H2246" s="148" t="n"/>
      <c r="I2246" s="34" t="str"/>
      <c r="J2246" s="34" t="str"/>
      <c r="K2246" s="130" t="n">
        <v>39</v>
      </c>
      <c r="L2246" s="43">
        <f>IF(COUNTIF($F$5:$F$2407,F2246)=1,"OK","Дубликат")</f>
        <v/>
      </c>
    </row>
    <row r="2247" ht="38" customHeight="1">
      <c r="A2247" s="146" t="inlineStr">
        <is>
          <t>BONUS-L2-PAIR</t>
        </is>
      </c>
      <c r="B2247" s="39" t="inlineStr">
        <is>
          <t>2 уровень</t>
        </is>
      </c>
      <c r="C2247" s="34" t="inlineStr">
        <is>
          <t>Призы не на абонементы</t>
        </is>
      </c>
      <c r="D2247" s="34" t="inlineStr">
        <is>
          <t>Парный старт: закрытая цена на 2 абонемента</t>
        </is>
      </c>
      <c r="E2247" s="34" t="inlineStr">
        <is>
          <t>Покупка двух абонементов при совместном старте с подругой</t>
        </is>
      </c>
      <c r="F2247" s="147" t="inlineStr">
        <is>
          <t>FW-L2-TEQKR-39RG5</t>
        </is>
      </c>
      <c r="G2247" s="39" t="inlineStr">
        <is>
          <t>Не использован</t>
        </is>
      </c>
      <c r="H2247" s="148" t="n"/>
      <c r="I2247" s="34" t="str"/>
      <c r="J2247" s="34" t="str"/>
      <c r="K2247" s="130" t="n">
        <v>40</v>
      </c>
      <c r="L2247" s="43">
        <f>IF(COUNTIF($F$5:$F$2407,F2247)=1,"OK","Дубликат")</f>
        <v/>
      </c>
    </row>
    <row r="2248" ht="38" customHeight="1">
      <c r="A2248" s="146" t="inlineStr">
        <is>
          <t>BONUS-L2-PAIR</t>
        </is>
      </c>
      <c r="B2248" s="39" t="inlineStr">
        <is>
          <t>2 уровень</t>
        </is>
      </c>
      <c r="C2248" s="34" t="inlineStr">
        <is>
          <t>Призы не на абонементы</t>
        </is>
      </c>
      <c r="D2248" s="34" t="inlineStr">
        <is>
          <t>Парный старт: закрытая цена на 2 абонемента</t>
        </is>
      </c>
      <c r="E2248" s="34" t="inlineStr">
        <is>
          <t>Покупка двух абонементов при совместном старте с подругой</t>
        </is>
      </c>
      <c r="F2248" s="147" t="inlineStr">
        <is>
          <t>FW-L2-SB4RG-H4DP3</t>
        </is>
      </c>
      <c r="G2248" s="39" t="inlineStr">
        <is>
          <t>Не использован</t>
        </is>
      </c>
      <c r="H2248" s="148" t="n"/>
      <c r="I2248" s="34" t="str"/>
      <c r="J2248" s="34" t="str"/>
      <c r="K2248" s="130" t="n">
        <v>41</v>
      </c>
      <c r="L2248" s="43">
        <f>IF(COUNTIF($F$5:$F$2407,F2248)=1,"OK","Дубликат")</f>
        <v/>
      </c>
    </row>
    <row r="2249" ht="38" customHeight="1">
      <c r="A2249" s="146" t="inlineStr">
        <is>
          <t>BONUS-L2-PAIR</t>
        </is>
      </c>
      <c r="B2249" s="39" t="inlineStr">
        <is>
          <t>2 уровень</t>
        </is>
      </c>
      <c r="C2249" s="34" t="inlineStr">
        <is>
          <t>Призы не на абонементы</t>
        </is>
      </c>
      <c r="D2249" s="34" t="inlineStr">
        <is>
          <t>Парный старт: закрытая цена на 2 абонемента</t>
        </is>
      </c>
      <c r="E2249" s="34" t="inlineStr">
        <is>
          <t>Покупка двух абонементов при совместном старте с подругой</t>
        </is>
      </c>
      <c r="F2249" s="147" t="inlineStr">
        <is>
          <t>FW-L2-QCVJK-P733Z</t>
        </is>
      </c>
      <c r="G2249" s="39" t="inlineStr">
        <is>
          <t>Не использован</t>
        </is>
      </c>
      <c r="H2249" s="148" t="n"/>
      <c r="I2249" s="34" t="str"/>
      <c r="J2249" s="34" t="str"/>
      <c r="K2249" s="130" t="n">
        <v>42</v>
      </c>
      <c r="L2249" s="43">
        <f>IF(COUNTIF($F$5:$F$2407,F2249)=1,"OK","Дубликат")</f>
        <v/>
      </c>
    </row>
    <row r="2250" ht="38" customHeight="1">
      <c r="A2250" s="146" t="inlineStr">
        <is>
          <t>BONUS-L2-PAIR</t>
        </is>
      </c>
      <c r="B2250" s="39" t="inlineStr">
        <is>
          <t>2 уровень</t>
        </is>
      </c>
      <c r="C2250" s="34" t="inlineStr">
        <is>
          <t>Призы не на абонементы</t>
        </is>
      </c>
      <c r="D2250" s="34" t="inlineStr">
        <is>
          <t>Парный старт: закрытая цена на 2 абонемента</t>
        </is>
      </c>
      <c r="E2250" s="34" t="inlineStr">
        <is>
          <t>Покупка двух абонементов при совместном старте с подругой</t>
        </is>
      </c>
      <c r="F2250" s="147" t="inlineStr">
        <is>
          <t>FW-L2-UGQU4-X6RJR</t>
        </is>
      </c>
      <c r="G2250" s="39" t="inlineStr">
        <is>
          <t>Не использован</t>
        </is>
      </c>
      <c r="H2250" s="148" t="n"/>
      <c r="I2250" s="34" t="str"/>
      <c r="J2250" s="34" t="str"/>
      <c r="K2250" s="130" t="n">
        <v>43</v>
      </c>
      <c r="L2250" s="43">
        <f>IF(COUNTIF($F$5:$F$2407,F2250)=1,"OK","Дубликат")</f>
        <v/>
      </c>
    </row>
    <row r="2251" ht="38" customHeight="1">
      <c r="A2251" s="146" t="inlineStr">
        <is>
          <t>BONUS-L2-PAIR</t>
        </is>
      </c>
      <c r="B2251" s="39" t="inlineStr">
        <is>
          <t>2 уровень</t>
        </is>
      </c>
      <c r="C2251" s="34" t="inlineStr">
        <is>
          <t>Призы не на абонементы</t>
        </is>
      </c>
      <c r="D2251" s="34" t="inlineStr">
        <is>
          <t>Парный старт: закрытая цена на 2 абонемента</t>
        </is>
      </c>
      <c r="E2251" s="34" t="inlineStr">
        <is>
          <t>Покупка двух абонементов при совместном старте с подругой</t>
        </is>
      </c>
      <c r="F2251" s="147" t="inlineStr">
        <is>
          <t>FW-L2-3VLBZ-GFSGG</t>
        </is>
      </c>
      <c r="G2251" s="39" t="inlineStr">
        <is>
          <t>Не использован</t>
        </is>
      </c>
      <c r="H2251" s="148" t="n"/>
      <c r="I2251" s="34" t="str"/>
      <c r="J2251" s="34" t="str"/>
      <c r="K2251" s="130" t="n">
        <v>44</v>
      </c>
      <c r="L2251" s="43">
        <f>IF(COUNTIF($F$5:$F$2407,F2251)=1,"OK","Дубликат")</f>
        <v/>
      </c>
    </row>
    <row r="2252" ht="38" customHeight="1">
      <c r="A2252" s="146" t="inlineStr">
        <is>
          <t>BONUS-L2-PAIR</t>
        </is>
      </c>
      <c r="B2252" s="39" t="inlineStr">
        <is>
          <t>2 уровень</t>
        </is>
      </c>
      <c r="C2252" s="34" t="inlineStr">
        <is>
          <t>Призы не на абонементы</t>
        </is>
      </c>
      <c r="D2252" s="34" t="inlineStr">
        <is>
          <t>Парный старт: закрытая цена на 2 абонемента</t>
        </is>
      </c>
      <c r="E2252" s="34" t="inlineStr">
        <is>
          <t>Покупка двух абонементов при совместном старте с подругой</t>
        </is>
      </c>
      <c r="F2252" s="147" t="inlineStr">
        <is>
          <t>FW-L2-FCKE3-WE7H2</t>
        </is>
      </c>
      <c r="G2252" s="39" t="inlineStr">
        <is>
          <t>Не использован</t>
        </is>
      </c>
      <c r="H2252" s="148" t="n"/>
      <c r="I2252" s="34" t="str"/>
      <c r="J2252" s="34" t="str"/>
      <c r="K2252" s="130" t="n">
        <v>45</v>
      </c>
      <c r="L2252" s="43">
        <f>IF(COUNTIF($F$5:$F$2407,F2252)=1,"OK","Дубликат")</f>
        <v/>
      </c>
    </row>
    <row r="2253" ht="38" customHeight="1">
      <c r="A2253" s="146" t="inlineStr">
        <is>
          <t>BONUS-L2-PAIR</t>
        </is>
      </c>
      <c r="B2253" s="39" t="inlineStr">
        <is>
          <t>2 уровень</t>
        </is>
      </c>
      <c r="C2253" s="34" t="inlineStr">
        <is>
          <t>Призы не на абонементы</t>
        </is>
      </c>
      <c r="D2253" s="34" t="inlineStr">
        <is>
          <t>Парный старт: закрытая цена на 2 абонемента</t>
        </is>
      </c>
      <c r="E2253" s="34" t="inlineStr">
        <is>
          <t>Покупка двух абонементов при совместном старте с подругой</t>
        </is>
      </c>
      <c r="F2253" s="147" t="inlineStr">
        <is>
          <t>FW-L2-6EN99-7MUZE</t>
        </is>
      </c>
      <c r="G2253" s="39" t="inlineStr">
        <is>
          <t>Не использован</t>
        </is>
      </c>
      <c r="H2253" s="148" t="n"/>
      <c r="I2253" s="34" t="str"/>
      <c r="J2253" s="34" t="str"/>
      <c r="K2253" s="130" t="n">
        <v>46</v>
      </c>
      <c r="L2253" s="43">
        <f>IF(COUNTIF($F$5:$F$2407,F2253)=1,"OK","Дубликат")</f>
        <v/>
      </c>
    </row>
    <row r="2254" ht="38" customHeight="1">
      <c r="A2254" s="146" t="inlineStr">
        <is>
          <t>BONUS-L2-PAIR</t>
        </is>
      </c>
      <c r="B2254" s="39" t="inlineStr">
        <is>
          <t>2 уровень</t>
        </is>
      </c>
      <c r="C2254" s="34" t="inlineStr">
        <is>
          <t>Призы не на абонементы</t>
        </is>
      </c>
      <c r="D2254" s="34" t="inlineStr">
        <is>
          <t>Парный старт: закрытая цена на 2 абонемента</t>
        </is>
      </c>
      <c r="E2254" s="34" t="inlineStr">
        <is>
          <t>Покупка двух абонементов при совместном старте с подругой</t>
        </is>
      </c>
      <c r="F2254" s="147" t="inlineStr">
        <is>
          <t>FW-L2-QMU7Z-TXS4P</t>
        </is>
      </c>
      <c r="G2254" s="39" t="inlineStr">
        <is>
          <t>Не использован</t>
        </is>
      </c>
      <c r="H2254" s="148" t="n"/>
      <c r="I2254" s="34" t="str"/>
      <c r="J2254" s="34" t="str"/>
      <c r="K2254" s="130" t="n">
        <v>47</v>
      </c>
      <c r="L2254" s="43">
        <f>IF(COUNTIF($F$5:$F$2407,F2254)=1,"OK","Дубликат")</f>
        <v/>
      </c>
    </row>
    <row r="2255" ht="38" customHeight="1">
      <c r="A2255" s="146" t="inlineStr">
        <is>
          <t>BONUS-L2-PAIR</t>
        </is>
      </c>
      <c r="B2255" s="39" t="inlineStr">
        <is>
          <t>2 уровень</t>
        </is>
      </c>
      <c r="C2255" s="34" t="inlineStr">
        <is>
          <t>Призы не на абонементы</t>
        </is>
      </c>
      <c r="D2255" s="34" t="inlineStr">
        <is>
          <t>Парный старт: закрытая цена на 2 абонемента</t>
        </is>
      </c>
      <c r="E2255" s="34" t="inlineStr">
        <is>
          <t>Покупка двух абонементов при совместном старте с подругой</t>
        </is>
      </c>
      <c r="F2255" s="147" t="inlineStr">
        <is>
          <t>FW-L2-SQP58-B7GWF</t>
        </is>
      </c>
      <c r="G2255" s="39" t="inlineStr">
        <is>
          <t>Не использован</t>
        </is>
      </c>
      <c r="H2255" s="148" t="n"/>
      <c r="I2255" s="34" t="str"/>
      <c r="J2255" s="34" t="str"/>
      <c r="K2255" s="130" t="n">
        <v>48</v>
      </c>
      <c r="L2255" s="43">
        <f>IF(COUNTIF($F$5:$F$2407,F2255)=1,"OK","Дубликат")</f>
        <v/>
      </c>
    </row>
    <row r="2256" ht="38" customHeight="1">
      <c r="A2256" s="146" t="inlineStr">
        <is>
          <t>BONUS-L2-PAIR</t>
        </is>
      </c>
      <c r="B2256" s="39" t="inlineStr">
        <is>
          <t>2 уровень</t>
        </is>
      </c>
      <c r="C2256" s="34" t="inlineStr">
        <is>
          <t>Призы не на абонементы</t>
        </is>
      </c>
      <c r="D2256" s="34" t="inlineStr">
        <is>
          <t>Парный старт: закрытая цена на 2 абонемента</t>
        </is>
      </c>
      <c r="E2256" s="34" t="inlineStr">
        <is>
          <t>Покупка двух абонементов при совместном старте с подругой</t>
        </is>
      </c>
      <c r="F2256" s="147" t="inlineStr">
        <is>
          <t>FW-L2-VG7KS-5G7YF</t>
        </is>
      </c>
      <c r="G2256" s="39" t="inlineStr">
        <is>
          <t>Не использован</t>
        </is>
      </c>
      <c r="H2256" s="148" t="n"/>
      <c r="I2256" s="34" t="str"/>
      <c r="J2256" s="34" t="str"/>
      <c r="K2256" s="130" t="n">
        <v>49</v>
      </c>
      <c r="L2256" s="43">
        <f>IF(COUNTIF($F$5:$F$2407,F2256)=1,"OK","Дубликат")</f>
        <v/>
      </c>
    </row>
    <row r="2257" ht="38" customHeight="1">
      <c r="A2257" s="146" t="inlineStr">
        <is>
          <t>BONUS-L2-PAIR</t>
        </is>
      </c>
      <c r="B2257" s="39" t="inlineStr">
        <is>
          <t>2 уровень</t>
        </is>
      </c>
      <c r="C2257" s="34" t="inlineStr">
        <is>
          <t>Призы не на абонементы</t>
        </is>
      </c>
      <c r="D2257" s="34" t="inlineStr">
        <is>
          <t>Парный старт: закрытая цена на 2 абонемента</t>
        </is>
      </c>
      <c r="E2257" s="34" t="inlineStr">
        <is>
          <t>Покупка двух абонементов при совместном старте с подругой</t>
        </is>
      </c>
      <c r="F2257" s="147" t="inlineStr">
        <is>
          <t>FW-L2-CAYB8-AK38H</t>
        </is>
      </c>
      <c r="G2257" s="39" t="inlineStr">
        <is>
          <t>Не использован</t>
        </is>
      </c>
      <c r="H2257" s="148" t="n"/>
      <c r="I2257" s="34" t="str"/>
      <c r="J2257" s="34" t="str"/>
      <c r="K2257" s="130" t="n">
        <v>50</v>
      </c>
      <c r="L2257" s="43">
        <f>IF(COUNTIF($F$5:$F$2407,F2257)=1,"OK","Дубликат")</f>
        <v/>
      </c>
    </row>
    <row r="2258" ht="38" customHeight="1">
      <c r="A2258" s="146" t="inlineStr">
        <is>
          <t>BONUS-L2-PAIR</t>
        </is>
      </c>
      <c r="B2258" s="39" t="inlineStr">
        <is>
          <t>2 уровень</t>
        </is>
      </c>
      <c r="C2258" s="34" t="inlineStr">
        <is>
          <t>Призы не на абонементы</t>
        </is>
      </c>
      <c r="D2258" s="34" t="inlineStr">
        <is>
          <t>Парный старт: закрытая цена на 2 абонемента</t>
        </is>
      </c>
      <c r="E2258" s="34" t="inlineStr">
        <is>
          <t>Покупка двух абонементов при совместном старте с подругой</t>
        </is>
      </c>
      <c r="F2258" s="147" t="inlineStr">
        <is>
          <t>FW-L2-HTC6M-QLRSY</t>
        </is>
      </c>
      <c r="G2258" s="39" t="inlineStr">
        <is>
          <t>Не использован</t>
        </is>
      </c>
      <c r="H2258" s="148" t="n"/>
      <c r="I2258" s="34" t="str"/>
      <c r="J2258" s="34" t="str"/>
      <c r="K2258" s="130" t="n">
        <v>51</v>
      </c>
      <c r="L2258" s="43">
        <f>IF(COUNTIF($F$5:$F$2407,F2258)=1,"OK","Дубликат")</f>
        <v/>
      </c>
    </row>
    <row r="2259" ht="38" customHeight="1">
      <c r="A2259" s="146" t="inlineStr">
        <is>
          <t>BONUS-L2-PAIR</t>
        </is>
      </c>
      <c r="B2259" s="39" t="inlineStr">
        <is>
          <t>2 уровень</t>
        </is>
      </c>
      <c r="C2259" s="34" t="inlineStr">
        <is>
          <t>Призы не на абонементы</t>
        </is>
      </c>
      <c r="D2259" s="34" t="inlineStr">
        <is>
          <t>Парный старт: закрытая цена на 2 абонемента</t>
        </is>
      </c>
      <c r="E2259" s="34" t="inlineStr">
        <is>
          <t>Покупка двух абонементов при совместном старте с подругой</t>
        </is>
      </c>
      <c r="F2259" s="147" t="inlineStr">
        <is>
          <t>FW-L2-QCJE2-Z6K6M</t>
        </is>
      </c>
      <c r="G2259" s="39" t="inlineStr">
        <is>
          <t>Не использован</t>
        </is>
      </c>
      <c r="H2259" s="148" t="n"/>
      <c r="I2259" s="34" t="str"/>
      <c r="J2259" s="34" t="str"/>
      <c r="K2259" s="130" t="n">
        <v>52</v>
      </c>
      <c r="L2259" s="43">
        <f>IF(COUNTIF($F$5:$F$2407,F2259)=1,"OK","Дубликат")</f>
        <v/>
      </c>
    </row>
    <row r="2260" ht="38" customHeight="1">
      <c r="A2260" s="146" t="inlineStr">
        <is>
          <t>BONUS-L2-PAIR</t>
        </is>
      </c>
      <c r="B2260" s="39" t="inlineStr">
        <is>
          <t>2 уровень</t>
        </is>
      </c>
      <c r="C2260" s="34" t="inlineStr">
        <is>
          <t>Призы не на абонементы</t>
        </is>
      </c>
      <c r="D2260" s="34" t="inlineStr">
        <is>
          <t>Парный старт: закрытая цена на 2 абонемента</t>
        </is>
      </c>
      <c r="E2260" s="34" t="inlineStr">
        <is>
          <t>Покупка двух абонементов при совместном старте с подругой</t>
        </is>
      </c>
      <c r="F2260" s="147" t="inlineStr">
        <is>
          <t>FW-L2-GEGSN-JLUUJ</t>
        </is>
      </c>
      <c r="G2260" s="39" t="inlineStr">
        <is>
          <t>Не использован</t>
        </is>
      </c>
      <c r="H2260" s="148" t="n"/>
      <c r="I2260" s="34" t="str"/>
      <c r="J2260" s="34" t="str"/>
      <c r="K2260" s="130" t="n">
        <v>53</v>
      </c>
      <c r="L2260" s="43">
        <f>IF(COUNTIF($F$5:$F$2407,F2260)=1,"OK","Дубликат")</f>
        <v/>
      </c>
    </row>
    <row r="2261" ht="38" customHeight="1">
      <c r="A2261" s="146" t="inlineStr">
        <is>
          <t>BONUS-L2-PAIR</t>
        </is>
      </c>
      <c r="B2261" s="39" t="inlineStr">
        <is>
          <t>2 уровень</t>
        </is>
      </c>
      <c r="C2261" s="34" t="inlineStr">
        <is>
          <t>Призы не на абонементы</t>
        </is>
      </c>
      <c r="D2261" s="34" t="inlineStr">
        <is>
          <t>Парный старт: закрытая цена на 2 абонемента</t>
        </is>
      </c>
      <c r="E2261" s="34" t="inlineStr">
        <is>
          <t>Покупка двух абонементов при совместном старте с подругой</t>
        </is>
      </c>
      <c r="F2261" s="147" t="inlineStr">
        <is>
          <t>FW-L2-PL9TX-WFZM8</t>
        </is>
      </c>
      <c r="G2261" s="39" t="inlineStr">
        <is>
          <t>Не использован</t>
        </is>
      </c>
      <c r="H2261" s="148" t="n"/>
      <c r="I2261" s="34" t="str"/>
      <c r="J2261" s="34" t="str"/>
      <c r="K2261" s="130" t="n">
        <v>54</v>
      </c>
      <c r="L2261" s="43">
        <f>IF(COUNTIF($F$5:$F$2407,F2261)=1,"OK","Дубликат")</f>
        <v/>
      </c>
    </row>
    <row r="2262" ht="38" customHeight="1">
      <c r="A2262" s="146" t="inlineStr">
        <is>
          <t>BONUS-L2-PAIR</t>
        </is>
      </c>
      <c r="B2262" s="39" t="inlineStr">
        <is>
          <t>2 уровень</t>
        </is>
      </c>
      <c r="C2262" s="34" t="inlineStr">
        <is>
          <t>Призы не на абонементы</t>
        </is>
      </c>
      <c r="D2262" s="34" t="inlineStr">
        <is>
          <t>Парный старт: закрытая цена на 2 абонемента</t>
        </is>
      </c>
      <c r="E2262" s="34" t="inlineStr">
        <is>
          <t>Покупка двух абонементов при совместном старте с подругой</t>
        </is>
      </c>
      <c r="F2262" s="147" t="inlineStr">
        <is>
          <t>FW-L2-WJDGV-GQHAK</t>
        </is>
      </c>
      <c r="G2262" s="39" t="inlineStr">
        <is>
          <t>Не использован</t>
        </is>
      </c>
      <c r="H2262" s="148" t="n"/>
      <c r="I2262" s="34" t="str"/>
      <c r="J2262" s="34" t="str"/>
      <c r="K2262" s="130" t="n">
        <v>55</v>
      </c>
      <c r="L2262" s="43">
        <f>IF(COUNTIF($F$5:$F$2407,F2262)=1,"OK","Дубликат")</f>
        <v/>
      </c>
    </row>
    <row r="2263" ht="38" customHeight="1">
      <c r="A2263" s="146" t="inlineStr">
        <is>
          <t>BONUS-L2-PAIR</t>
        </is>
      </c>
      <c r="B2263" s="39" t="inlineStr">
        <is>
          <t>2 уровень</t>
        </is>
      </c>
      <c r="C2263" s="34" t="inlineStr">
        <is>
          <t>Призы не на абонементы</t>
        </is>
      </c>
      <c r="D2263" s="34" t="inlineStr">
        <is>
          <t>Парный старт: закрытая цена на 2 абонемента</t>
        </is>
      </c>
      <c r="E2263" s="34" t="inlineStr">
        <is>
          <t>Покупка двух абонементов при совместном старте с подругой</t>
        </is>
      </c>
      <c r="F2263" s="147" t="inlineStr">
        <is>
          <t>FW-L2-98NFX-5NX8E</t>
        </is>
      </c>
      <c r="G2263" s="39" t="inlineStr">
        <is>
          <t>Не использован</t>
        </is>
      </c>
      <c r="H2263" s="148" t="n"/>
      <c r="I2263" s="34" t="str"/>
      <c r="J2263" s="34" t="str"/>
      <c r="K2263" s="130" t="n">
        <v>56</v>
      </c>
      <c r="L2263" s="43">
        <f>IF(COUNTIF($F$5:$F$2407,F2263)=1,"OK","Дубликат")</f>
        <v/>
      </c>
    </row>
    <row r="2264" ht="38" customHeight="1">
      <c r="A2264" s="146" t="inlineStr">
        <is>
          <t>BONUS-L2-PAIR</t>
        </is>
      </c>
      <c r="B2264" s="39" t="inlineStr">
        <is>
          <t>2 уровень</t>
        </is>
      </c>
      <c r="C2264" s="34" t="inlineStr">
        <is>
          <t>Призы не на абонементы</t>
        </is>
      </c>
      <c r="D2264" s="34" t="inlineStr">
        <is>
          <t>Парный старт: закрытая цена на 2 абонемента</t>
        </is>
      </c>
      <c r="E2264" s="34" t="inlineStr">
        <is>
          <t>Покупка двух абонементов при совместном старте с подругой</t>
        </is>
      </c>
      <c r="F2264" s="147" t="inlineStr">
        <is>
          <t>FW-L2-S9X9M-GD8U7</t>
        </is>
      </c>
      <c r="G2264" s="39" t="inlineStr">
        <is>
          <t>Не использован</t>
        </is>
      </c>
      <c r="H2264" s="148" t="n"/>
      <c r="I2264" s="34" t="str"/>
      <c r="J2264" s="34" t="str"/>
      <c r="K2264" s="130" t="n">
        <v>57</v>
      </c>
      <c r="L2264" s="43">
        <f>IF(COUNTIF($F$5:$F$2407,F2264)=1,"OK","Дубликат")</f>
        <v/>
      </c>
    </row>
    <row r="2265" ht="38" customHeight="1">
      <c r="A2265" s="146" t="inlineStr">
        <is>
          <t>BONUS-L2-PAIR</t>
        </is>
      </c>
      <c r="B2265" s="39" t="inlineStr">
        <is>
          <t>2 уровень</t>
        </is>
      </c>
      <c r="C2265" s="34" t="inlineStr">
        <is>
          <t>Призы не на абонементы</t>
        </is>
      </c>
      <c r="D2265" s="34" t="inlineStr">
        <is>
          <t>Парный старт: закрытая цена на 2 абонемента</t>
        </is>
      </c>
      <c r="E2265" s="34" t="inlineStr">
        <is>
          <t>Покупка двух абонементов при совместном старте с подругой</t>
        </is>
      </c>
      <c r="F2265" s="147" t="inlineStr">
        <is>
          <t>FW-L2-R5LUW-7AJRX</t>
        </is>
      </c>
      <c r="G2265" s="39" t="inlineStr">
        <is>
          <t>Не использован</t>
        </is>
      </c>
      <c r="H2265" s="148" t="n"/>
      <c r="I2265" s="34" t="str"/>
      <c r="J2265" s="34" t="str"/>
      <c r="K2265" s="130" t="n">
        <v>58</v>
      </c>
      <c r="L2265" s="43">
        <f>IF(COUNTIF($F$5:$F$2407,F2265)=1,"OK","Дубликат")</f>
        <v/>
      </c>
    </row>
    <row r="2266" ht="38" customHeight="1">
      <c r="A2266" s="146" t="inlineStr">
        <is>
          <t>BONUS-L2-PAIR</t>
        </is>
      </c>
      <c r="B2266" s="39" t="inlineStr">
        <is>
          <t>2 уровень</t>
        </is>
      </c>
      <c r="C2266" s="34" t="inlineStr">
        <is>
          <t>Призы не на абонементы</t>
        </is>
      </c>
      <c r="D2266" s="34" t="inlineStr">
        <is>
          <t>Парный старт: закрытая цена на 2 абонемента</t>
        </is>
      </c>
      <c r="E2266" s="34" t="inlineStr">
        <is>
          <t>Покупка двух абонементов при совместном старте с подругой</t>
        </is>
      </c>
      <c r="F2266" s="147" t="inlineStr">
        <is>
          <t>FW-L2-93C2U-DQA8K</t>
        </is>
      </c>
      <c r="G2266" s="39" t="inlineStr">
        <is>
          <t>Не использован</t>
        </is>
      </c>
      <c r="H2266" s="148" t="n"/>
      <c r="I2266" s="34" t="str"/>
      <c r="J2266" s="34" t="str"/>
      <c r="K2266" s="130" t="n">
        <v>59</v>
      </c>
      <c r="L2266" s="43">
        <f>IF(COUNTIF($F$5:$F$2407,F2266)=1,"OK","Дубликат")</f>
        <v/>
      </c>
    </row>
    <row r="2267" ht="38" customHeight="1">
      <c r="A2267" s="146" t="inlineStr">
        <is>
          <t>BONUS-L2-PAIR</t>
        </is>
      </c>
      <c r="B2267" s="39" t="inlineStr">
        <is>
          <t>2 уровень</t>
        </is>
      </c>
      <c r="C2267" s="34" t="inlineStr">
        <is>
          <t>Призы не на абонементы</t>
        </is>
      </c>
      <c r="D2267" s="34" t="inlineStr">
        <is>
          <t>Парный старт: закрытая цена на 2 абонемента</t>
        </is>
      </c>
      <c r="E2267" s="34" t="inlineStr">
        <is>
          <t>Покупка двух абонементов при совместном старте с подругой</t>
        </is>
      </c>
      <c r="F2267" s="147" t="inlineStr">
        <is>
          <t>FW-L2-2RRD8-J9KC3</t>
        </is>
      </c>
      <c r="G2267" s="39" t="inlineStr">
        <is>
          <t>Не использован</t>
        </is>
      </c>
      <c r="H2267" s="148" t="n"/>
      <c r="I2267" s="34" t="str"/>
      <c r="J2267" s="34" t="str"/>
      <c r="K2267" s="130" t="n">
        <v>60</v>
      </c>
      <c r="L2267" s="43">
        <f>IF(COUNTIF($F$5:$F$2407,F2267)=1,"OK","Дубликат")</f>
        <v/>
      </c>
    </row>
    <row r="2268" ht="38" customHeight="1">
      <c r="A2268" s="146" t="inlineStr">
        <is>
          <t>BONUS-L2-PAIR</t>
        </is>
      </c>
      <c r="B2268" s="39" t="inlineStr">
        <is>
          <t>2 уровень</t>
        </is>
      </c>
      <c r="C2268" s="34" t="inlineStr">
        <is>
          <t>Призы не на абонементы</t>
        </is>
      </c>
      <c r="D2268" s="34" t="inlineStr">
        <is>
          <t>Парный старт: закрытая цена на 2 абонемента</t>
        </is>
      </c>
      <c r="E2268" s="34" t="inlineStr">
        <is>
          <t>Покупка двух абонементов при совместном старте с подругой</t>
        </is>
      </c>
      <c r="F2268" s="147" t="inlineStr">
        <is>
          <t>FW-L2-E6UU5-ZYZJ8</t>
        </is>
      </c>
      <c r="G2268" s="39" t="inlineStr">
        <is>
          <t>Не использован</t>
        </is>
      </c>
      <c r="H2268" s="148" t="n"/>
      <c r="I2268" s="34" t="str"/>
      <c r="J2268" s="34" t="str"/>
      <c r="K2268" s="130" t="n">
        <v>61</v>
      </c>
      <c r="L2268" s="43">
        <f>IF(COUNTIF($F$5:$F$2407,F2268)=1,"OK","Дубликат")</f>
        <v/>
      </c>
    </row>
    <row r="2269" ht="38" customHeight="1">
      <c r="A2269" s="146" t="inlineStr">
        <is>
          <t>BONUS-L2-PAIR</t>
        </is>
      </c>
      <c r="B2269" s="39" t="inlineStr">
        <is>
          <t>2 уровень</t>
        </is>
      </c>
      <c r="C2269" s="34" t="inlineStr">
        <is>
          <t>Призы не на абонементы</t>
        </is>
      </c>
      <c r="D2269" s="34" t="inlineStr">
        <is>
          <t>Парный старт: закрытая цена на 2 абонемента</t>
        </is>
      </c>
      <c r="E2269" s="34" t="inlineStr">
        <is>
          <t>Покупка двух абонементов при совместном старте с подругой</t>
        </is>
      </c>
      <c r="F2269" s="147" t="inlineStr">
        <is>
          <t>FW-L2-3MWW8-EQE8Z</t>
        </is>
      </c>
      <c r="G2269" s="39" t="inlineStr">
        <is>
          <t>Не использован</t>
        </is>
      </c>
      <c r="H2269" s="148" t="n"/>
      <c r="I2269" s="34" t="str"/>
      <c r="J2269" s="34" t="str"/>
      <c r="K2269" s="130" t="n">
        <v>62</v>
      </c>
      <c r="L2269" s="43">
        <f>IF(COUNTIF($F$5:$F$2407,F2269)=1,"OK","Дубликат")</f>
        <v/>
      </c>
    </row>
    <row r="2270" ht="38" customHeight="1">
      <c r="A2270" s="146" t="inlineStr">
        <is>
          <t>BONUS-L2-PAIR</t>
        </is>
      </c>
      <c r="B2270" s="39" t="inlineStr">
        <is>
          <t>2 уровень</t>
        </is>
      </c>
      <c r="C2270" s="34" t="inlineStr">
        <is>
          <t>Призы не на абонементы</t>
        </is>
      </c>
      <c r="D2270" s="34" t="inlineStr">
        <is>
          <t>Парный старт: закрытая цена на 2 абонемента</t>
        </is>
      </c>
      <c r="E2270" s="34" t="inlineStr">
        <is>
          <t>Покупка двух абонементов при совместном старте с подругой</t>
        </is>
      </c>
      <c r="F2270" s="147" t="inlineStr">
        <is>
          <t>FW-L2-Q66UF-AKK29</t>
        </is>
      </c>
      <c r="G2270" s="39" t="inlineStr">
        <is>
          <t>Не использован</t>
        </is>
      </c>
      <c r="H2270" s="148" t="n"/>
      <c r="I2270" s="34" t="str"/>
      <c r="J2270" s="34" t="str"/>
      <c r="K2270" s="130" t="n">
        <v>63</v>
      </c>
      <c r="L2270" s="43">
        <f>IF(COUNTIF($F$5:$F$2407,F2270)=1,"OK","Дубликат")</f>
        <v/>
      </c>
    </row>
    <row r="2271" ht="38" customHeight="1">
      <c r="A2271" s="146" t="inlineStr">
        <is>
          <t>BONUS-L2-PAIR</t>
        </is>
      </c>
      <c r="B2271" s="39" t="inlineStr">
        <is>
          <t>2 уровень</t>
        </is>
      </c>
      <c r="C2271" s="34" t="inlineStr">
        <is>
          <t>Призы не на абонементы</t>
        </is>
      </c>
      <c r="D2271" s="34" t="inlineStr">
        <is>
          <t>Парный старт: закрытая цена на 2 абонемента</t>
        </is>
      </c>
      <c r="E2271" s="34" t="inlineStr">
        <is>
          <t>Покупка двух абонементов при совместном старте с подругой</t>
        </is>
      </c>
      <c r="F2271" s="147" t="inlineStr">
        <is>
          <t>FW-L2-2TZN8-UPHLX</t>
        </is>
      </c>
      <c r="G2271" s="39" t="inlineStr">
        <is>
          <t>Не использован</t>
        </is>
      </c>
      <c r="H2271" s="148" t="n"/>
      <c r="I2271" s="34" t="str"/>
      <c r="J2271" s="34" t="str"/>
      <c r="K2271" s="130" t="n">
        <v>64</v>
      </c>
      <c r="L2271" s="43">
        <f>IF(COUNTIF($F$5:$F$2407,F2271)=1,"OK","Дубликат")</f>
        <v/>
      </c>
    </row>
    <row r="2272" ht="38" customHeight="1">
      <c r="A2272" s="146" t="inlineStr">
        <is>
          <t>BONUS-L2-PAIR</t>
        </is>
      </c>
      <c r="B2272" s="39" t="inlineStr">
        <is>
          <t>2 уровень</t>
        </is>
      </c>
      <c r="C2272" s="34" t="inlineStr">
        <is>
          <t>Призы не на абонементы</t>
        </is>
      </c>
      <c r="D2272" s="34" t="inlineStr">
        <is>
          <t>Парный старт: закрытая цена на 2 абонемента</t>
        </is>
      </c>
      <c r="E2272" s="34" t="inlineStr">
        <is>
          <t>Покупка двух абонементов при совместном старте с подругой</t>
        </is>
      </c>
      <c r="F2272" s="147" t="inlineStr">
        <is>
          <t>FW-L2-2SR3U-YUBLM</t>
        </is>
      </c>
      <c r="G2272" s="39" t="inlineStr">
        <is>
          <t>Не использован</t>
        </is>
      </c>
      <c r="H2272" s="148" t="n"/>
      <c r="I2272" s="34" t="str"/>
      <c r="J2272" s="34" t="str"/>
      <c r="K2272" s="130" t="n">
        <v>65</v>
      </c>
      <c r="L2272" s="43">
        <f>IF(COUNTIF($F$5:$F$2407,F2272)=1,"OK","Дубликат")</f>
        <v/>
      </c>
    </row>
    <row r="2273" ht="38" customHeight="1">
      <c r="A2273" s="146" t="inlineStr">
        <is>
          <t>BONUS-L2-PAIR</t>
        </is>
      </c>
      <c r="B2273" s="39" t="inlineStr">
        <is>
          <t>2 уровень</t>
        </is>
      </c>
      <c r="C2273" s="34" t="inlineStr">
        <is>
          <t>Призы не на абонементы</t>
        </is>
      </c>
      <c r="D2273" s="34" t="inlineStr">
        <is>
          <t>Парный старт: закрытая цена на 2 абонемента</t>
        </is>
      </c>
      <c r="E2273" s="34" t="inlineStr">
        <is>
          <t>Покупка двух абонементов при совместном старте с подругой</t>
        </is>
      </c>
      <c r="F2273" s="147" t="inlineStr">
        <is>
          <t>FW-L2-RM2L9-BM9XP</t>
        </is>
      </c>
      <c r="G2273" s="39" t="inlineStr">
        <is>
          <t>Не использован</t>
        </is>
      </c>
      <c r="H2273" s="148" t="n"/>
      <c r="I2273" s="34" t="str"/>
      <c r="J2273" s="34" t="str"/>
      <c r="K2273" s="130" t="n">
        <v>66</v>
      </c>
      <c r="L2273" s="43">
        <f>IF(COUNTIF($F$5:$F$2407,F2273)=1,"OK","Дубликат")</f>
        <v/>
      </c>
    </row>
    <row r="2274" ht="38" customHeight="1">
      <c r="A2274" s="146" t="inlineStr">
        <is>
          <t>BONUS-L2-PAIR</t>
        </is>
      </c>
      <c r="B2274" s="39" t="inlineStr">
        <is>
          <t>2 уровень</t>
        </is>
      </c>
      <c r="C2274" s="34" t="inlineStr">
        <is>
          <t>Призы не на абонементы</t>
        </is>
      </c>
      <c r="D2274" s="34" t="inlineStr">
        <is>
          <t>Парный старт: закрытая цена на 2 абонемента</t>
        </is>
      </c>
      <c r="E2274" s="34" t="inlineStr">
        <is>
          <t>Покупка двух абонементов при совместном старте с подругой</t>
        </is>
      </c>
      <c r="F2274" s="147" t="inlineStr">
        <is>
          <t>FW-L2-DNA59-SKYER</t>
        </is>
      </c>
      <c r="G2274" s="39" t="inlineStr">
        <is>
          <t>Не использован</t>
        </is>
      </c>
      <c r="H2274" s="148" t="n"/>
      <c r="I2274" s="34" t="str"/>
      <c r="J2274" s="34" t="str"/>
      <c r="K2274" s="130" t="n">
        <v>67</v>
      </c>
      <c r="L2274" s="43">
        <f>IF(COUNTIF($F$5:$F$2407,F2274)=1,"OK","Дубликат")</f>
        <v/>
      </c>
    </row>
    <row r="2275" ht="38" customHeight="1">
      <c r="A2275" s="146" t="inlineStr">
        <is>
          <t>BONUS-L2-PAIR</t>
        </is>
      </c>
      <c r="B2275" s="39" t="inlineStr">
        <is>
          <t>2 уровень</t>
        </is>
      </c>
      <c r="C2275" s="34" t="inlineStr">
        <is>
          <t>Призы не на абонементы</t>
        </is>
      </c>
      <c r="D2275" s="34" t="inlineStr">
        <is>
          <t>Парный старт: закрытая цена на 2 абонемента</t>
        </is>
      </c>
      <c r="E2275" s="34" t="inlineStr">
        <is>
          <t>Покупка двух абонементов при совместном старте с подругой</t>
        </is>
      </c>
      <c r="F2275" s="147" t="inlineStr">
        <is>
          <t>FW-L2-HHGXY-G5EGR</t>
        </is>
      </c>
      <c r="G2275" s="39" t="inlineStr">
        <is>
          <t>Не использован</t>
        </is>
      </c>
      <c r="H2275" s="148" t="n"/>
      <c r="I2275" s="34" t="str"/>
      <c r="J2275" s="34" t="str"/>
      <c r="K2275" s="130" t="n">
        <v>68</v>
      </c>
      <c r="L2275" s="43">
        <f>IF(COUNTIF($F$5:$F$2407,F2275)=1,"OK","Дубликат")</f>
        <v/>
      </c>
    </row>
    <row r="2276" ht="38" customHeight="1">
      <c r="A2276" s="146" t="inlineStr">
        <is>
          <t>BONUS-L2-PAIR</t>
        </is>
      </c>
      <c r="B2276" s="39" t="inlineStr">
        <is>
          <t>2 уровень</t>
        </is>
      </c>
      <c r="C2276" s="34" t="inlineStr">
        <is>
          <t>Призы не на абонементы</t>
        </is>
      </c>
      <c r="D2276" s="34" t="inlineStr">
        <is>
          <t>Парный старт: закрытая цена на 2 абонемента</t>
        </is>
      </c>
      <c r="E2276" s="34" t="inlineStr">
        <is>
          <t>Покупка двух абонементов при совместном старте с подругой</t>
        </is>
      </c>
      <c r="F2276" s="147" t="inlineStr">
        <is>
          <t>FW-L2-4RV6M-4PPPN</t>
        </is>
      </c>
      <c r="G2276" s="39" t="inlineStr">
        <is>
          <t>Не использован</t>
        </is>
      </c>
      <c r="H2276" s="148" t="n"/>
      <c r="I2276" s="34" t="str"/>
      <c r="J2276" s="34" t="str"/>
      <c r="K2276" s="130" t="n">
        <v>69</v>
      </c>
      <c r="L2276" s="43">
        <f>IF(COUNTIF($F$5:$F$2407,F2276)=1,"OK","Дубликат")</f>
        <v/>
      </c>
    </row>
    <row r="2277" ht="38" customHeight="1">
      <c r="A2277" s="146" t="inlineStr">
        <is>
          <t>BONUS-L2-PAIR</t>
        </is>
      </c>
      <c r="B2277" s="39" t="inlineStr">
        <is>
          <t>2 уровень</t>
        </is>
      </c>
      <c r="C2277" s="34" t="inlineStr">
        <is>
          <t>Призы не на абонементы</t>
        </is>
      </c>
      <c r="D2277" s="34" t="inlineStr">
        <is>
          <t>Парный старт: закрытая цена на 2 абонемента</t>
        </is>
      </c>
      <c r="E2277" s="34" t="inlineStr">
        <is>
          <t>Покупка двух абонементов при совместном старте с подругой</t>
        </is>
      </c>
      <c r="F2277" s="147" t="inlineStr">
        <is>
          <t>FW-L2-LEMR3-Q7K3U</t>
        </is>
      </c>
      <c r="G2277" s="39" t="inlineStr">
        <is>
          <t>Не использован</t>
        </is>
      </c>
      <c r="H2277" s="148" t="n"/>
      <c r="I2277" s="34" t="str"/>
      <c r="J2277" s="34" t="str"/>
      <c r="K2277" s="130" t="n">
        <v>70</v>
      </c>
      <c r="L2277" s="43">
        <f>IF(COUNTIF($F$5:$F$2407,F2277)=1,"OK","Дубликат")</f>
        <v/>
      </c>
    </row>
    <row r="2278" ht="38" customHeight="1">
      <c r="A2278" s="146" t="inlineStr">
        <is>
          <t>BONUS-L2-PAIR</t>
        </is>
      </c>
      <c r="B2278" s="39" t="inlineStr">
        <is>
          <t>2 уровень</t>
        </is>
      </c>
      <c r="C2278" s="34" t="inlineStr">
        <is>
          <t>Призы не на абонементы</t>
        </is>
      </c>
      <c r="D2278" s="34" t="inlineStr">
        <is>
          <t>Парный старт: закрытая цена на 2 абонемента</t>
        </is>
      </c>
      <c r="E2278" s="34" t="inlineStr">
        <is>
          <t>Покупка двух абонементов при совместном старте с подругой</t>
        </is>
      </c>
      <c r="F2278" s="147" t="inlineStr">
        <is>
          <t>FW-L2-JPHTH-4Z9J4</t>
        </is>
      </c>
      <c r="G2278" s="39" t="inlineStr">
        <is>
          <t>Не использован</t>
        </is>
      </c>
      <c r="H2278" s="148" t="n"/>
      <c r="I2278" s="34" t="str"/>
      <c r="J2278" s="34" t="str"/>
      <c r="K2278" s="130" t="n">
        <v>71</v>
      </c>
      <c r="L2278" s="43">
        <f>IF(COUNTIF($F$5:$F$2407,F2278)=1,"OK","Дубликат")</f>
        <v/>
      </c>
    </row>
    <row r="2279" ht="38" customHeight="1">
      <c r="A2279" s="146" t="inlineStr">
        <is>
          <t>BONUS-L2-PAIR</t>
        </is>
      </c>
      <c r="B2279" s="39" t="inlineStr">
        <is>
          <t>2 уровень</t>
        </is>
      </c>
      <c r="C2279" s="34" t="inlineStr">
        <is>
          <t>Призы не на абонементы</t>
        </is>
      </c>
      <c r="D2279" s="34" t="inlineStr">
        <is>
          <t>Парный старт: закрытая цена на 2 абонемента</t>
        </is>
      </c>
      <c r="E2279" s="34" t="inlineStr">
        <is>
          <t>Покупка двух абонементов при совместном старте с подругой</t>
        </is>
      </c>
      <c r="F2279" s="147" t="inlineStr">
        <is>
          <t>FW-L2-GZ65L-T7Q86</t>
        </is>
      </c>
      <c r="G2279" s="39" t="inlineStr">
        <is>
          <t>Не использован</t>
        </is>
      </c>
      <c r="H2279" s="148" t="n"/>
      <c r="I2279" s="34" t="str"/>
      <c r="J2279" s="34" t="str"/>
      <c r="K2279" s="130" t="n">
        <v>72</v>
      </c>
      <c r="L2279" s="43">
        <f>IF(COUNTIF($F$5:$F$2407,F2279)=1,"OK","Дубликат")</f>
        <v/>
      </c>
    </row>
    <row r="2280" ht="38" customHeight="1">
      <c r="A2280" s="146" t="inlineStr">
        <is>
          <t>BONUS-L2-PAIR</t>
        </is>
      </c>
      <c r="B2280" s="39" t="inlineStr">
        <is>
          <t>2 уровень</t>
        </is>
      </c>
      <c r="C2280" s="34" t="inlineStr">
        <is>
          <t>Призы не на абонементы</t>
        </is>
      </c>
      <c r="D2280" s="34" t="inlineStr">
        <is>
          <t>Парный старт: закрытая цена на 2 абонемента</t>
        </is>
      </c>
      <c r="E2280" s="34" t="inlineStr">
        <is>
          <t>Покупка двух абонементов при совместном старте с подругой</t>
        </is>
      </c>
      <c r="F2280" s="147" t="inlineStr">
        <is>
          <t>FW-L2-VQ5SQ-KGA65</t>
        </is>
      </c>
      <c r="G2280" s="39" t="inlineStr">
        <is>
          <t>Не использован</t>
        </is>
      </c>
      <c r="H2280" s="148" t="n"/>
      <c r="I2280" s="34" t="str"/>
      <c r="J2280" s="34" t="str"/>
      <c r="K2280" s="130" t="n">
        <v>73</v>
      </c>
      <c r="L2280" s="43">
        <f>IF(COUNTIF($F$5:$F$2407,F2280)=1,"OK","Дубликат")</f>
        <v/>
      </c>
    </row>
    <row r="2281" ht="38" customHeight="1">
      <c r="A2281" s="146" t="inlineStr">
        <is>
          <t>BONUS-L2-PAIR</t>
        </is>
      </c>
      <c r="B2281" s="39" t="inlineStr">
        <is>
          <t>2 уровень</t>
        </is>
      </c>
      <c r="C2281" s="34" t="inlineStr">
        <is>
          <t>Призы не на абонементы</t>
        </is>
      </c>
      <c r="D2281" s="34" t="inlineStr">
        <is>
          <t>Парный старт: закрытая цена на 2 абонемента</t>
        </is>
      </c>
      <c r="E2281" s="34" t="inlineStr">
        <is>
          <t>Покупка двух абонементов при совместном старте с подругой</t>
        </is>
      </c>
      <c r="F2281" s="147" t="inlineStr">
        <is>
          <t>FW-L2-L8ZAN-KMNNZ</t>
        </is>
      </c>
      <c r="G2281" s="39" t="inlineStr">
        <is>
          <t>Не использован</t>
        </is>
      </c>
      <c r="H2281" s="148" t="n"/>
      <c r="I2281" s="34" t="str"/>
      <c r="J2281" s="34" t="str"/>
      <c r="K2281" s="130" t="n">
        <v>74</v>
      </c>
      <c r="L2281" s="43">
        <f>IF(COUNTIF($F$5:$F$2407,F2281)=1,"OK","Дубликат")</f>
        <v/>
      </c>
    </row>
    <row r="2282" ht="38" customHeight="1">
      <c r="A2282" s="146" t="inlineStr">
        <is>
          <t>BONUS-L2-PAIR</t>
        </is>
      </c>
      <c r="B2282" s="39" t="inlineStr">
        <is>
          <t>2 уровень</t>
        </is>
      </c>
      <c r="C2282" s="34" t="inlineStr">
        <is>
          <t>Призы не на абонементы</t>
        </is>
      </c>
      <c r="D2282" s="34" t="inlineStr">
        <is>
          <t>Парный старт: закрытая цена на 2 абонемента</t>
        </is>
      </c>
      <c r="E2282" s="34" t="inlineStr">
        <is>
          <t>Покупка двух абонементов при совместном старте с подругой</t>
        </is>
      </c>
      <c r="F2282" s="147" t="inlineStr">
        <is>
          <t>FW-L2-3QCS9-T3JUA</t>
        </is>
      </c>
      <c r="G2282" s="39" t="inlineStr">
        <is>
          <t>Не использован</t>
        </is>
      </c>
      <c r="H2282" s="148" t="n"/>
      <c r="I2282" s="34" t="str"/>
      <c r="J2282" s="34" t="str"/>
      <c r="K2282" s="130" t="n">
        <v>75</v>
      </c>
      <c r="L2282" s="43">
        <f>IF(COUNTIF($F$5:$F$2407,F2282)=1,"OK","Дубликат")</f>
        <v/>
      </c>
    </row>
    <row r="2283" ht="38" customHeight="1">
      <c r="A2283" s="146" t="inlineStr">
        <is>
          <t>BONUS-L2-PAIR</t>
        </is>
      </c>
      <c r="B2283" s="39" t="inlineStr">
        <is>
          <t>2 уровень</t>
        </is>
      </c>
      <c r="C2283" s="34" t="inlineStr">
        <is>
          <t>Призы не на абонементы</t>
        </is>
      </c>
      <c r="D2283" s="34" t="inlineStr">
        <is>
          <t>Парный старт: закрытая цена на 2 абонемента</t>
        </is>
      </c>
      <c r="E2283" s="34" t="inlineStr">
        <is>
          <t>Покупка двух абонементов при совместном старте с подругой</t>
        </is>
      </c>
      <c r="F2283" s="147" t="inlineStr">
        <is>
          <t>FW-L2-69N2S-CLJ7B</t>
        </is>
      </c>
      <c r="G2283" s="39" t="inlineStr">
        <is>
          <t>Не использован</t>
        </is>
      </c>
      <c r="H2283" s="148" t="n"/>
      <c r="I2283" s="34" t="str"/>
      <c r="J2283" s="34" t="str"/>
      <c r="K2283" s="130" t="n">
        <v>76</v>
      </c>
      <c r="L2283" s="43">
        <f>IF(COUNTIF($F$5:$F$2407,F2283)=1,"OK","Дубликат")</f>
        <v/>
      </c>
    </row>
    <row r="2284" ht="38" customHeight="1">
      <c r="A2284" s="146" t="inlineStr">
        <is>
          <t>BONUS-L2-PAIR</t>
        </is>
      </c>
      <c r="B2284" s="39" t="inlineStr">
        <is>
          <t>2 уровень</t>
        </is>
      </c>
      <c r="C2284" s="34" t="inlineStr">
        <is>
          <t>Призы не на абонементы</t>
        </is>
      </c>
      <c r="D2284" s="34" t="inlineStr">
        <is>
          <t>Парный старт: закрытая цена на 2 абонемента</t>
        </is>
      </c>
      <c r="E2284" s="34" t="inlineStr">
        <is>
          <t>Покупка двух абонементов при совместном старте с подругой</t>
        </is>
      </c>
      <c r="F2284" s="147" t="inlineStr">
        <is>
          <t>FW-L2-KXHW9-E5679</t>
        </is>
      </c>
      <c r="G2284" s="39" t="inlineStr">
        <is>
          <t>Не использован</t>
        </is>
      </c>
      <c r="H2284" s="148" t="n"/>
      <c r="I2284" s="34" t="str"/>
      <c r="J2284" s="34" t="str"/>
      <c r="K2284" s="130" t="n">
        <v>77</v>
      </c>
      <c r="L2284" s="43">
        <f>IF(COUNTIF($F$5:$F$2407,F2284)=1,"OK","Дубликат")</f>
        <v/>
      </c>
    </row>
    <row r="2285" ht="38" customHeight="1">
      <c r="A2285" s="146" t="inlineStr">
        <is>
          <t>BONUS-L2-PAIR</t>
        </is>
      </c>
      <c r="B2285" s="39" t="inlineStr">
        <is>
          <t>2 уровень</t>
        </is>
      </c>
      <c r="C2285" s="34" t="inlineStr">
        <is>
          <t>Призы не на абонементы</t>
        </is>
      </c>
      <c r="D2285" s="34" t="inlineStr">
        <is>
          <t>Парный старт: закрытая цена на 2 абонемента</t>
        </is>
      </c>
      <c r="E2285" s="34" t="inlineStr">
        <is>
          <t>Покупка двух абонементов при совместном старте с подругой</t>
        </is>
      </c>
      <c r="F2285" s="147" t="inlineStr">
        <is>
          <t>FW-L2-5CX7M-2924L</t>
        </is>
      </c>
      <c r="G2285" s="39" t="inlineStr">
        <is>
          <t>Не использован</t>
        </is>
      </c>
      <c r="H2285" s="148" t="n"/>
      <c r="I2285" s="34" t="str"/>
      <c r="J2285" s="34" t="str"/>
      <c r="K2285" s="130" t="n">
        <v>78</v>
      </c>
      <c r="L2285" s="43">
        <f>IF(COUNTIF($F$5:$F$2407,F2285)=1,"OK","Дубликат")</f>
        <v/>
      </c>
    </row>
    <row r="2286" ht="38" customHeight="1">
      <c r="A2286" s="146" t="inlineStr">
        <is>
          <t>BONUS-L2-PAIR</t>
        </is>
      </c>
      <c r="B2286" s="39" t="inlineStr">
        <is>
          <t>2 уровень</t>
        </is>
      </c>
      <c r="C2286" s="34" t="inlineStr">
        <is>
          <t>Призы не на абонементы</t>
        </is>
      </c>
      <c r="D2286" s="34" t="inlineStr">
        <is>
          <t>Парный старт: закрытая цена на 2 абонемента</t>
        </is>
      </c>
      <c r="E2286" s="34" t="inlineStr">
        <is>
          <t>Покупка двух абонементов при совместном старте с подругой</t>
        </is>
      </c>
      <c r="F2286" s="147" t="inlineStr">
        <is>
          <t>FW-L2-PXCPJ-JN5AT</t>
        </is>
      </c>
      <c r="G2286" s="39" t="inlineStr">
        <is>
          <t>Не использован</t>
        </is>
      </c>
      <c r="H2286" s="148" t="n"/>
      <c r="I2286" s="34" t="str"/>
      <c r="J2286" s="34" t="str"/>
      <c r="K2286" s="130" t="n">
        <v>79</v>
      </c>
      <c r="L2286" s="43">
        <f>IF(COUNTIF($F$5:$F$2407,F2286)=1,"OK","Дубликат")</f>
        <v/>
      </c>
    </row>
    <row r="2287" ht="38" customHeight="1">
      <c r="A2287" s="146" t="inlineStr">
        <is>
          <t>BONUS-L2-PAIR</t>
        </is>
      </c>
      <c r="B2287" s="39" t="inlineStr">
        <is>
          <t>2 уровень</t>
        </is>
      </c>
      <c r="C2287" s="34" t="inlineStr">
        <is>
          <t>Призы не на абонементы</t>
        </is>
      </c>
      <c r="D2287" s="34" t="inlineStr">
        <is>
          <t>Парный старт: закрытая цена на 2 абонемента</t>
        </is>
      </c>
      <c r="E2287" s="34" t="inlineStr">
        <is>
          <t>Покупка двух абонементов при совместном старте с подругой</t>
        </is>
      </c>
      <c r="F2287" s="147" t="inlineStr">
        <is>
          <t>FW-L2-MC9R3-XAWJ7</t>
        </is>
      </c>
      <c r="G2287" s="39" t="inlineStr">
        <is>
          <t>Не использован</t>
        </is>
      </c>
      <c r="H2287" s="148" t="n"/>
      <c r="I2287" s="34" t="str"/>
      <c r="J2287" s="34" t="str"/>
      <c r="K2287" s="130" t="n">
        <v>80</v>
      </c>
      <c r="L2287" s="43">
        <f>IF(COUNTIF($F$5:$F$2407,F2287)=1,"OK","Дубликат")</f>
        <v/>
      </c>
    </row>
    <row r="2288" ht="38" customHeight="1">
      <c r="A2288" s="146" t="inlineStr">
        <is>
          <t>BONUS-L2-PAIR</t>
        </is>
      </c>
      <c r="B2288" s="39" t="inlineStr">
        <is>
          <t>2 уровень</t>
        </is>
      </c>
      <c r="C2288" s="34" t="inlineStr">
        <is>
          <t>Призы не на абонементы</t>
        </is>
      </c>
      <c r="D2288" s="34" t="inlineStr">
        <is>
          <t>Парный старт: закрытая цена на 2 абонемента</t>
        </is>
      </c>
      <c r="E2288" s="34" t="inlineStr">
        <is>
          <t>Покупка двух абонементов при совместном старте с подругой</t>
        </is>
      </c>
      <c r="F2288" s="147" t="inlineStr">
        <is>
          <t>FW-L2-7VM3Q-Z4A7G</t>
        </is>
      </c>
      <c r="G2288" s="39" t="inlineStr">
        <is>
          <t>Не использован</t>
        </is>
      </c>
      <c r="H2288" s="148" t="n"/>
      <c r="I2288" s="34" t="str"/>
      <c r="J2288" s="34" t="str"/>
      <c r="K2288" s="130" t="n">
        <v>81</v>
      </c>
      <c r="L2288" s="43">
        <f>IF(COUNTIF($F$5:$F$2407,F2288)=1,"OK","Дубликат")</f>
        <v/>
      </c>
    </row>
    <row r="2289" ht="38" customHeight="1">
      <c r="A2289" s="146" t="inlineStr">
        <is>
          <t>BONUS-L2-PAIR</t>
        </is>
      </c>
      <c r="B2289" s="39" t="inlineStr">
        <is>
          <t>2 уровень</t>
        </is>
      </c>
      <c r="C2289" s="34" t="inlineStr">
        <is>
          <t>Призы не на абонементы</t>
        </is>
      </c>
      <c r="D2289" s="34" t="inlineStr">
        <is>
          <t>Парный старт: закрытая цена на 2 абонемента</t>
        </is>
      </c>
      <c r="E2289" s="34" t="inlineStr">
        <is>
          <t>Покупка двух абонементов при совместном старте с подругой</t>
        </is>
      </c>
      <c r="F2289" s="147" t="inlineStr">
        <is>
          <t>FW-L2-M6YUP-NB479</t>
        </is>
      </c>
      <c r="G2289" s="39" t="inlineStr">
        <is>
          <t>Не использован</t>
        </is>
      </c>
      <c r="H2289" s="148" t="n"/>
      <c r="I2289" s="34" t="str"/>
      <c r="J2289" s="34" t="str"/>
      <c r="K2289" s="130" t="n">
        <v>82</v>
      </c>
      <c r="L2289" s="43">
        <f>IF(COUNTIF($F$5:$F$2407,F2289)=1,"OK","Дубликат")</f>
        <v/>
      </c>
    </row>
    <row r="2290" ht="38" customHeight="1">
      <c r="A2290" s="146" t="inlineStr">
        <is>
          <t>BONUS-L2-PAIR</t>
        </is>
      </c>
      <c r="B2290" s="39" t="inlineStr">
        <is>
          <t>2 уровень</t>
        </is>
      </c>
      <c r="C2290" s="34" t="inlineStr">
        <is>
          <t>Призы не на абонементы</t>
        </is>
      </c>
      <c r="D2290" s="34" t="inlineStr">
        <is>
          <t>Парный старт: закрытая цена на 2 абонемента</t>
        </is>
      </c>
      <c r="E2290" s="34" t="inlineStr">
        <is>
          <t>Покупка двух абонементов при совместном старте с подругой</t>
        </is>
      </c>
      <c r="F2290" s="147" t="inlineStr">
        <is>
          <t>FW-L2-LPSF6-5APSS</t>
        </is>
      </c>
      <c r="G2290" s="39" t="inlineStr">
        <is>
          <t>Не использован</t>
        </is>
      </c>
      <c r="H2290" s="148" t="n"/>
      <c r="I2290" s="34" t="str"/>
      <c r="J2290" s="34" t="str"/>
      <c r="K2290" s="130" t="n">
        <v>83</v>
      </c>
      <c r="L2290" s="43">
        <f>IF(COUNTIF($F$5:$F$2407,F2290)=1,"OK","Дубликат")</f>
        <v/>
      </c>
    </row>
    <row r="2291" ht="38" customHeight="1">
      <c r="A2291" s="146" t="inlineStr">
        <is>
          <t>BONUS-L2-PAIR</t>
        </is>
      </c>
      <c r="B2291" s="39" t="inlineStr">
        <is>
          <t>2 уровень</t>
        </is>
      </c>
      <c r="C2291" s="34" t="inlineStr">
        <is>
          <t>Призы не на абонементы</t>
        </is>
      </c>
      <c r="D2291" s="34" t="inlineStr">
        <is>
          <t>Парный старт: закрытая цена на 2 абонемента</t>
        </is>
      </c>
      <c r="E2291" s="34" t="inlineStr">
        <is>
          <t>Покупка двух абонементов при совместном старте с подругой</t>
        </is>
      </c>
      <c r="F2291" s="147" t="inlineStr">
        <is>
          <t>FW-L2-QDAAA-SGMV8</t>
        </is>
      </c>
      <c r="G2291" s="39" t="inlineStr">
        <is>
          <t>Не использован</t>
        </is>
      </c>
      <c r="H2291" s="148" t="n"/>
      <c r="I2291" s="34" t="str"/>
      <c r="J2291" s="34" t="str"/>
      <c r="K2291" s="130" t="n">
        <v>84</v>
      </c>
      <c r="L2291" s="43">
        <f>IF(COUNTIF($F$5:$F$2407,F2291)=1,"OK","Дубликат")</f>
        <v/>
      </c>
    </row>
    <row r="2292" ht="38" customHeight="1">
      <c r="A2292" s="146" t="inlineStr">
        <is>
          <t>BONUS-L2-PAIR</t>
        </is>
      </c>
      <c r="B2292" s="39" t="inlineStr">
        <is>
          <t>2 уровень</t>
        </is>
      </c>
      <c r="C2292" s="34" t="inlineStr">
        <is>
          <t>Призы не на абонементы</t>
        </is>
      </c>
      <c r="D2292" s="34" t="inlineStr">
        <is>
          <t>Парный старт: закрытая цена на 2 абонемента</t>
        </is>
      </c>
      <c r="E2292" s="34" t="inlineStr">
        <is>
          <t>Покупка двух абонементов при совместном старте с подругой</t>
        </is>
      </c>
      <c r="F2292" s="147" t="inlineStr">
        <is>
          <t>FW-L2-ECACB-43RD5</t>
        </is>
      </c>
      <c r="G2292" s="39" t="inlineStr">
        <is>
          <t>Не использован</t>
        </is>
      </c>
      <c r="H2292" s="148" t="n"/>
      <c r="I2292" s="34" t="str"/>
      <c r="J2292" s="34" t="str"/>
      <c r="K2292" s="130" t="n">
        <v>85</v>
      </c>
      <c r="L2292" s="43">
        <f>IF(COUNTIF($F$5:$F$2407,F2292)=1,"OK","Дубликат")</f>
        <v/>
      </c>
    </row>
    <row r="2293" ht="38" customHeight="1">
      <c r="A2293" s="146" t="inlineStr">
        <is>
          <t>BONUS-L2-PAIR</t>
        </is>
      </c>
      <c r="B2293" s="39" t="inlineStr">
        <is>
          <t>2 уровень</t>
        </is>
      </c>
      <c r="C2293" s="34" t="inlineStr">
        <is>
          <t>Призы не на абонементы</t>
        </is>
      </c>
      <c r="D2293" s="34" t="inlineStr">
        <is>
          <t>Парный старт: закрытая цена на 2 абонемента</t>
        </is>
      </c>
      <c r="E2293" s="34" t="inlineStr">
        <is>
          <t>Покупка двух абонементов при совместном старте с подругой</t>
        </is>
      </c>
      <c r="F2293" s="147" t="inlineStr">
        <is>
          <t>FW-L2-XH3V9-MVSAT</t>
        </is>
      </c>
      <c r="G2293" s="39" t="inlineStr">
        <is>
          <t>Не использован</t>
        </is>
      </c>
      <c r="H2293" s="148" t="n"/>
      <c r="I2293" s="34" t="str"/>
      <c r="J2293" s="34" t="str"/>
      <c r="K2293" s="130" t="n">
        <v>86</v>
      </c>
      <c r="L2293" s="43">
        <f>IF(COUNTIF($F$5:$F$2407,F2293)=1,"OK","Дубликат")</f>
        <v/>
      </c>
    </row>
    <row r="2294" ht="38" customHeight="1">
      <c r="A2294" s="146" t="inlineStr">
        <is>
          <t>BONUS-L2-PAIR</t>
        </is>
      </c>
      <c r="B2294" s="39" t="inlineStr">
        <is>
          <t>2 уровень</t>
        </is>
      </c>
      <c r="C2294" s="34" t="inlineStr">
        <is>
          <t>Призы не на абонементы</t>
        </is>
      </c>
      <c r="D2294" s="34" t="inlineStr">
        <is>
          <t>Парный старт: закрытая цена на 2 абонемента</t>
        </is>
      </c>
      <c r="E2294" s="34" t="inlineStr">
        <is>
          <t>Покупка двух абонементов при совместном старте с подругой</t>
        </is>
      </c>
      <c r="F2294" s="147" t="inlineStr">
        <is>
          <t>FW-L2-N2N47-5L5ZU</t>
        </is>
      </c>
      <c r="G2294" s="39" t="inlineStr">
        <is>
          <t>Не использован</t>
        </is>
      </c>
      <c r="H2294" s="148" t="n"/>
      <c r="I2294" s="34" t="str"/>
      <c r="J2294" s="34" t="str"/>
      <c r="K2294" s="130" t="n">
        <v>87</v>
      </c>
      <c r="L2294" s="43">
        <f>IF(COUNTIF($F$5:$F$2407,F2294)=1,"OK","Дубликат")</f>
        <v/>
      </c>
    </row>
    <row r="2295" ht="38" customHeight="1">
      <c r="A2295" s="146" t="inlineStr">
        <is>
          <t>BONUS-L2-PAIR</t>
        </is>
      </c>
      <c r="B2295" s="39" t="inlineStr">
        <is>
          <t>2 уровень</t>
        </is>
      </c>
      <c r="C2295" s="34" t="inlineStr">
        <is>
          <t>Призы не на абонементы</t>
        </is>
      </c>
      <c r="D2295" s="34" t="inlineStr">
        <is>
          <t>Парный старт: закрытая цена на 2 абонемента</t>
        </is>
      </c>
      <c r="E2295" s="34" t="inlineStr">
        <is>
          <t>Покупка двух абонементов при совместном старте с подругой</t>
        </is>
      </c>
      <c r="F2295" s="147" t="inlineStr">
        <is>
          <t>FW-L2-RUGVR-HVFNH</t>
        </is>
      </c>
      <c r="G2295" s="39" t="inlineStr">
        <is>
          <t>Не использован</t>
        </is>
      </c>
      <c r="H2295" s="148" t="n"/>
      <c r="I2295" s="34" t="str"/>
      <c r="J2295" s="34" t="str"/>
      <c r="K2295" s="130" t="n">
        <v>88</v>
      </c>
      <c r="L2295" s="43">
        <f>IF(COUNTIF($F$5:$F$2407,F2295)=1,"OK","Дубликат")</f>
        <v/>
      </c>
    </row>
    <row r="2296" ht="38" customHeight="1">
      <c r="A2296" s="146" t="inlineStr">
        <is>
          <t>BONUS-L2-PAIR</t>
        </is>
      </c>
      <c r="B2296" s="39" t="inlineStr">
        <is>
          <t>2 уровень</t>
        </is>
      </c>
      <c r="C2296" s="34" t="inlineStr">
        <is>
          <t>Призы не на абонементы</t>
        </is>
      </c>
      <c r="D2296" s="34" t="inlineStr">
        <is>
          <t>Парный старт: закрытая цена на 2 абонемента</t>
        </is>
      </c>
      <c r="E2296" s="34" t="inlineStr">
        <is>
          <t>Покупка двух абонементов при совместном старте с подругой</t>
        </is>
      </c>
      <c r="F2296" s="147" t="inlineStr">
        <is>
          <t>FW-L2-UU9HX-S67RN</t>
        </is>
      </c>
      <c r="G2296" s="39" t="inlineStr">
        <is>
          <t>Не использован</t>
        </is>
      </c>
      <c r="H2296" s="148" t="n"/>
      <c r="I2296" s="34" t="str"/>
      <c r="J2296" s="34" t="str"/>
      <c r="K2296" s="130" t="n">
        <v>89</v>
      </c>
      <c r="L2296" s="43">
        <f>IF(COUNTIF($F$5:$F$2407,F2296)=1,"OK","Дубликат")</f>
        <v/>
      </c>
    </row>
    <row r="2297" ht="38" customHeight="1">
      <c r="A2297" s="146" t="inlineStr">
        <is>
          <t>BONUS-L2-PAIR</t>
        </is>
      </c>
      <c r="B2297" s="39" t="inlineStr">
        <is>
          <t>2 уровень</t>
        </is>
      </c>
      <c r="C2297" s="34" t="inlineStr">
        <is>
          <t>Призы не на абонементы</t>
        </is>
      </c>
      <c r="D2297" s="34" t="inlineStr">
        <is>
          <t>Парный старт: закрытая цена на 2 абонемента</t>
        </is>
      </c>
      <c r="E2297" s="34" t="inlineStr">
        <is>
          <t>Покупка двух абонементов при совместном старте с подругой</t>
        </is>
      </c>
      <c r="F2297" s="147" t="inlineStr">
        <is>
          <t>FW-L2-YKPTN-G86JM</t>
        </is>
      </c>
      <c r="G2297" s="39" t="inlineStr">
        <is>
          <t>Не использован</t>
        </is>
      </c>
      <c r="H2297" s="148" t="n"/>
      <c r="I2297" s="34" t="str"/>
      <c r="J2297" s="34" t="str"/>
      <c r="K2297" s="130" t="n">
        <v>90</v>
      </c>
      <c r="L2297" s="43">
        <f>IF(COUNTIF($F$5:$F$2407,F2297)=1,"OK","Дубликат")</f>
        <v/>
      </c>
    </row>
    <row r="2298" ht="38" customHeight="1">
      <c r="A2298" s="146" t="inlineStr">
        <is>
          <t>BONUS-L2-PAIR</t>
        </is>
      </c>
      <c r="B2298" s="39" t="inlineStr">
        <is>
          <t>2 уровень</t>
        </is>
      </c>
      <c r="C2298" s="34" t="inlineStr">
        <is>
          <t>Призы не на абонементы</t>
        </is>
      </c>
      <c r="D2298" s="34" t="inlineStr">
        <is>
          <t>Парный старт: закрытая цена на 2 абонемента</t>
        </is>
      </c>
      <c r="E2298" s="34" t="inlineStr">
        <is>
          <t>Покупка двух абонементов при совместном старте с подругой</t>
        </is>
      </c>
      <c r="F2298" s="147" t="inlineStr">
        <is>
          <t>FW-L2-DZWE2-MQUKW</t>
        </is>
      </c>
      <c r="G2298" s="39" t="inlineStr">
        <is>
          <t>Не использован</t>
        </is>
      </c>
      <c r="H2298" s="148" t="n"/>
      <c r="I2298" s="34" t="str"/>
      <c r="J2298" s="34" t="str"/>
      <c r="K2298" s="130" t="n">
        <v>91</v>
      </c>
      <c r="L2298" s="43">
        <f>IF(COUNTIF($F$5:$F$2407,F2298)=1,"OK","Дубликат")</f>
        <v/>
      </c>
    </row>
    <row r="2299" ht="38" customHeight="1">
      <c r="A2299" s="146" t="inlineStr">
        <is>
          <t>BONUS-L2-PAIR</t>
        </is>
      </c>
      <c r="B2299" s="39" t="inlineStr">
        <is>
          <t>2 уровень</t>
        </is>
      </c>
      <c r="C2299" s="34" t="inlineStr">
        <is>
          <t>Призы не на абонементы</t>
        </is>
      </c>
      <c r="D2299" s="34" t="inlineStr">
        <is>
          <t>Парный старт: закрытая цена на 2 абонемента</t>
        </is>
      </c>
      <c r="E2299" s="34" t="inlineStr">
        <is>
          <t>Покупка двух абонементов при совместном старте с подругой</t>
        </is>
      </c>
      <c r="F2299" s="147" t="inlineStr">
        <is>
          <t>FW-L2-WXW6R-RL9CG</t>
        </is>
      </c>
      <c r="G2299" s="39" t="inlineStr">
        <is>
          <t>Не использован</t>
        </is>
      </c>
      <c r="H2299" s="148" t="n"/>
      <c r="I2299" s="34" t="str"/>
      <c r="J2299" s="34" t="str"/>
      <c r="K2299" s="130" t="n">
        <v>92</v>
      </c>
      <c r="L2299" s="43">
        <f>IF(COUNTIF($F$5:$F$2407,F2299)=1,"OK","Дубликат")</f>
        <v/>
      </c>
    </row>
    <row r="2300" ht="38" customHeight="1">
      <c r="A2300" s="146" t="inlineStr">
        <is>
          <t>BONUS-L2-PAIR</t>
        </is>
      </c>
      <c r="B2300" s="39" t="inlineStr">
        <is>
          <t>2 уровень</t>
        </is>
      </c>
      <c r="C2300" s="34" t="inlineStr">
        <is>
          <t>Призы не на абонементы</t>
        </is>
      </c>
      <c r="D2300" s="34" t="inlineStr">
        <is>
          <t>Парный старт: закрытая цена на 2 абонемента</t>
        </is>
      </c>
      <c r="E2300" s="34" t="inlineStr">
        <is>
          <t>Покупка двух абонементов при совместном старте с подругой</t>
        </is>
      </c>
      <c r="F2300" s="147" t="inlineStr">
        <is>
          <t>FW-L2-UZW6N-NQXNP</t>
        </is>
      </c>
      <c r="G2300" s="39" t="inlineStr">
        <is>
          <t>Не использован</t>
        </is>
      </c>
      <c r="H2300" s="148" t="n"/>
      <c r="I2300" s="34" t="str"/>
      <c r="J2300" s="34" t="str"/>
      <c r="K2300" s="130" t="n">
        <v>93</v>
      </c>
      <c r="L2300" s="43">
        <f>IF(COUNTIF($F$5:$F$2407,F2300)=1,"OK","Дубликат")</f>
        <v/>
      </c>
    </row>
    <row r="2301" ht="38" customHeight="1">
      <c r="A2301" s="146" t="inlineStr">
        <is>
          <t>BONUS-L2-PAIR</t>
        </is>
      </c>
      <c r="B2301" s="39" t="inlineStr">
        <is>
          <t>2 уровень</t>
        </is>
      </c>
      <c r="C2301" s="34" t="inlineStr">
        <is>
          <t>Призы не на абонементы</t>
        </is>
      </c>
      <c r="D2301" s="34" t="inlineStr">
        <is>
          <t>Парный старт: закрытая цена на 2 абонемента</t>
        </is>
      </c>
      <c r="E2301" s="34" t="inlineStr">
        <is>
          <t>Покупка двух абонементов при совместном старте с подругой</t>
        </is>
      </c>
      <c r="F2301" s="147" t="inlineStr">
        <is>
          <t>FW-L2-QWKCX-BLUAA</t>
        </is>
      </c>
      <c r="G2301" s="39" t="inlineStr">
        <is>
          <t>Не использован</t>
        </is>
      </c>
      <c r="H2301" s="148" t="n"/>
      <c r="I2301" s="34" t="str"/>
      <c r="J2301" s="34" t="str"/>
      <c r="K2301" s="130" t="n">
        <v>94</v>
      </c>
      <c r="L2301" s="43">
        <f>IF(COUNTIF($F$5:$F$2407,F2301)=1,"OK","Дубликат")</f>
        <v/>
      </c>
    </row>
    <row r="2302" ht="38" customHeight="1">
      <c r="A2302" s="146" t="inlineStr">
        <is>
          <t>BONUS-L2-PAIR</t>
        </is>
      </c>
      <c r="B2302" s="39" t="inlineStr">
        <is>
          <t>2 уровень</t>
        </is>
      </c>
      <c r="C2302" s="34" t="inlineStr">
        <is>
          <t>Призы не на абонементы</t>
        </is>
      </c>
      <c r="D2302" s="34" t="inlineStr">
        <is>
          <t>Парный старт: закрытая цена на 2 абонемента</t>
        </is>
      </c>
      <c r="E2302" s="34" t="inlineStr">
        <is>
          <t>Покупка двух абонементов при совместном старте с подругой</t>
        </is>
      </c>
      <c r="F2302" s="147" t="inlineStr">
        <is>
          <t>FW-L2-JFP2V-B6EG5</t>
        </is>
      </c>
      <c r="G2302" s="39" t="inlineStr">
        <is>
          <t>Не использован</t>
        </is>
      </c>
      <c r="H2302" s="148" t="n"/>
      <c r="I2302" s="34" t="str"/>
      <c r="J2302" s="34" t="str"/>
      <c r="K2302" s="130" t="n">
        <v>95</v>
      </c>
      <c r="L2302" s="43">
        <f>IF(COUNTIF($F$5:$F$2407,F2302)=1,"OK","Дубликат")</f>
        <v/>
      </c>
    </row>
    <row r="2303" ht="38" customHeight="1">
      <c r="A2303" s="146" t="inlineStr">
        <is>
          <t>BONUS-L2-PAIR</t>
        </is>
      </c>
      <c r="B2303" s="39" t="inlineStr">
        <is>
          <t>2 уровень</t>
        </is>
      </c>
      <c r="C2303" s="34" t="inlineStr">
        <is>
          <t>Призы не на абонементы</t>
        </is>
      </c>
      <c r="D2303" s="34" t="inlineStr">
        <is>
          <t>Парный старт: закрытая цена на 2 абонемента</t>
        </is>
      </c>
      <c r="E2303" s="34" t="inlineStr">
        <is>
          <t>Покупка двух абонементов при совместном старте с подругой</t>
        </is>
      </c>
      <c r="F2303" s="147" t="inlineStr">
        <is>
          <t>FW-L2-TTJ4C-JMCKY</t>
        </is>
      </c>
      <c r="G2303" s="39" t="inlineStr">
        <is>
          <t>Не использован</t>
        </is>
      </c>
      <c r="H2303" s="148" t="n"/>
      <c r="I2303" s="34" t="str"/>
      <c r="J2303" s="34" t="str"/>
      <c r="K2303" s="130" t="n">
        <v>96</v>
      </c>
      <c r="L2303" s="43">
        <f>IF(COUNTIF($F$5:$F$2407,F2303)=1,"OK","Дубликат")</f>
        <v/>
      </c>
    </row>
    <row r="2304" ht="38" customHeight="1">
      <c r="A2304" s="146" t="inlineStr">
        <is>
          <t>BONUS-L2-PAIR</t>
        </is>
      </c>
      <c r="B2304" s="39" t="inlineStr">
        <is>
          <t>2 уровень</t>
        </is>
      </c>
      <c r="C2304" s="34" t="inlineStr">
        <is>
          <t>Призы не на абонементы</t>
        </is>
      </c>
      <c r="D2304" s="34" t="inlineStr">
        <is>
          <t>Парный старт: закрытая цена на 2 абонемента</t>
        </is>
      </c>
      <c r="E2304" s="34" t="inlineStr">
        <is>
          <t>Покупка двух абонементов при совместном старте с подругой</t>
        </is>
      </c>
      <c r="F2304" s="147" t="inlineStr">
        <is>
          <t>FW-L2-8DUXQ-CWXYJ</t>
        </is>
      </c>
      <c r="G2304" s="39" t="inlineStr">
        <is>
          <t>Не использован</t>
        </is>
      </c>
      <c r="H2304" s="148" t="n"/>
      <c r="I2304" s="34" t="str"/>
      <c r="J2304" s="34" t="str"/>
      <c r="K2304" s="130" t="n">
        <v>97</v>
      </c>
      <c r="L2304" s="43">
        <f>IF(COUNTIF($F$5:$F$2407,F2304)=1,"OK","Дубликат")</f>
        <v/>
      </c>
    </row>
    <row r="2305" ht="38" customHeight="1">
      <c r="A2305" s="146" t="inlineStr">
        <is>
          <t>BONUS-L2-PAIR</t>
        </is>
      </c>
      <c r="B2305" s="39" t="inlineStr">
        <is>
          <t>2 уровень</t>
        </is>
      </c>
      <c r="C2305" s="34" t="inlineStr">
        <is>
          <t>Призы не на абонементы</t>
        </is>
      </c>
      <c r="D2305" s="34" t="inlineStr">
        <is>
          <t>Парный старт: закрытая цена на 2 абонемента</t>
        </is>
      </c>
      <c r="E2305" s="34" t="inlineStr">
        <is>
          <t>Покупка двух абонементов при совместном старте с подругой</t>
        </is>
      </c>
      <c r="F2305" s="147" t="inlineStr">
        <is>
          <t>FW-L2-8JAHA-UPGTZ</t>
        </is>
      </c>
      <c r="G2305" s="39" t="inlineStr">
        <is>
          <t>Не использован</t>
        </is>
      </c>
      <c r="H2305" s="148" t="n"/>
      <c r="I2305" s="34" t="str"/>
      <c r="J2305" s="34" t="str"/>
      <c r="K2305" s="130" t="n">
        <v>98</v>
      </c>
      <c r="L2305" s="43">
        <f>IF(COUNTIF($F$5:$F$2407,F2305)=1,"OK","Дубликат")</f>
        <v/>
      </c>
    </row>
    <row r="2306" ht="38" customHeight="1">
      <c r="A2306" s="146" t="inlineStr">
        <is>
          <t>BONUS-L2-PAIR</t>
        </is>
      </c>
      <c r="B2306" s="39" t="inlineStr">
        <is>
          <t>2 уровень</t>
        </is>
      </c>
      <c r="C2306" s="34" t="inlineStr">
        <is>
          <t>Призы не на абонементы</t>
        </is>
      </c>
      <c r="D2306" s="34" t="inlineStr">
        <is>
          <t>Парный старт: закрытая цена на 2 абонемента</t>
        </is>
      </c>
      <c r="E2306" s="34" t="inlineStr">
        <is>
          <t>Покупка двух абонементов при совместном старте с подругой</t>
        </is>
      </c>
      <c r="F2306" s="147" t="inlineStr">
        <is>
          <t>FW-L2-9WQJZ-425GR</t>
        </is>
      </c>
      <c r="G2306" s="39" t="inlineStr">
        <is>
          <t>Не использован</t>
        </is>
      </c>
      <c r="H2306" s="148" t="n"/>
      <c r="I2306" s="34" t="str"/>
      <c r="J2306" s="34" t="str"/>
      <c r="K2306" s="130" t="n">
        <v>99</v>
      </c>
      <c r="L2306" s="43">
        <f>IF(COUNTIF($F$5:$F$2407,F2306)=1,"OK","Дубликат")</f>
        <v/>
      </c>
    </row>
    <row r="2307" ht="38" customHeight="1">
      <c r="A2307" s="146" t="inlineStr">
        <is>
          <t>BONUS-L2-PAIR</t>
        </is>
      </c>
      <c r="B2307" s="39" t="inlineStr">
        <is>
          <t>2 уровень</t>
        </is>
      </c>
      <c r="C2307" s="34" t="inlineStr">
        <is>
          <t>Призы не на абонементы</t>
        </is>
      </c>
      <c r="D2307" s="34" t="inlineStr">
        <is>
          <t>Парный старт: закрытая цена на 2 абонемента</t>
        </is>
      </c>
      <c r="E2307" s="34" t="inlineStr">
        <is>
          <t>Покупка двух абонементов при совместном старте с подругой</t>
        </is>
      </c>
      <c r="F2307" s="147" t="inlineStr">
        <is>
          <t>FW-L2-V2UAZ-R4DEJ</t>
        </is>
      </c>
      <c r="G2307" s="39" t="inlineStr">
        <is>
          <t>Не использован</t>
        </is>
      </c>
      <c r="H2307" s="148" t="n"/>
      <c r="I2307" s="34" t="str"/>
      <c r="J2307" s="34" t="str"/>
      <c r="K2307" s="130" t="n">
        <v>100</v>
      </c>
      <c r="L2307" s="43">
        <f>IF(COUNTIF($F$5:$F$2407,F2307)=1,"OK","Дубликат")</f>
        <v/>
      </c>
    </row>
    <row r="2308" ht="38" customHeight="1">
      <c r="A2308" s="146" t="inlineStr">
        <is>
          <t>BONUS-L2-PAIR</t>
        </is>
      </c>
      <c r="B2308" s="39" t="inlineStr">
        <is>
          <t>2 уровень</t>
        </is>
      </c>
      <c r="C2308" s="34" t="inlineStr">
        <is>
          <t>Призы не на абонементы</t>
        </is>
      </c>
      <c r="D2308" s="34" t="inlineStr">
        <is>
          <t>Парный старт: закрытая цена на 2 абонемента</t>
        </is>
      </c>
      <c r="E2308" s="34" t="inlineStr">
        <is>
          <t>Покупка двух абонементов при совместном старте с подругой</t>
        </is>
      </c>
      <c r="F2308" s="147" t="inlineStr">
        <is>
          <t>FW-L2-HPZCU-BMVY8</t>
        </is>
      </c>
      <c r="G2308" s="39" t="inlineStr">
        <is>
          <t>Не использован</t>
        </is>
      </c>
      <c r="H2308" s="148" t="n"/>
      <c r="I2308" s="34" t="str"/>
      <c r="J2308" s="34" t="str"/>
      <c r="K2308" s="130" t="n">
        <v>101</v>
      </c>
      <c r="L2308" s="43">
        <f>IF(COUNTIF($F$5:$F$2407,F2308)=1,"OK","Дубликат")</f>
        <v/>
      </c>
    </row>
    <row r="2309" ht="38" customHeight="1">
      <c r="A2309" s="146" t="inlineStr">
        <is>
          <t>BONUS-L2-PAIR</t>
        </is>
      </c>
      <c r="B2309" s="39" t="inlineStr">
        <is>
          <t>2 уровень</t>
        </is>
      </c>
      <c r="C2309" s="34" t="inlineStr">
        <is>
          <t>Призы не на абонементы</t>
        </is>
      </c>
      <c r="D2309" s="34" t="inlineStr">
        <is>
          <t>Парный старт: закрытая цена на 2 абонемента</t>
        </is>
      </c>
      <c r="E2309" s="34" t="inlineStr">
        <is>
          <t>Покупка двух абонементов при совместном старте с подругой</t>
        </is>
      </c>
      <c r="F2309" s="147" t="inlineStr">
        <is>
          <t>FW-L2-D7MLY-JCEV5</t>
        </is>
      </c>
      <c r="G2309" s="39" t="inlineStr">
        <is>
          <t>Не использован</t>
        </is>
      </c>
      <c r="H2309" s="148" t="n"/>
      <c r="I2309" s="34" t="str"/>
      <c r="J2309" s="34" t="str"/>
      <c r="K2309" s="130" t="n">
        <v>102</v>
      </c>
      <c r="L2309" s="43">
        <f>IF(COUNTIF($F$5:$F$2407,F2309)=1,"OK","Дубликат")</f>
        <v/>
      </c>
    </row>
    <row r="2310" ht="38" customHeight="1">
      <c r="A2310" s="146" t="inlineStr">
        <is>
          <t>BONUS-L2-PAIR</t>
        </is>
      </c>
      <c r="B2310" s="39" t="inlineStr">
        <is>
          <t>2 уровень</t>
        </is>
      </c>
      <c r="C2310" s="34" t="inlineStr">
        <is>
          <t>Призы не на абонементы</t>
        </is>
      </c>
      <c r="D2310" s="34" t="inlineStr">
        <is>
          <t>Парный старт: закрытая цена на 2 абонемента</t>
        </is>
      </c>
      <c r="E2310" s="34" t="inlineStr">
        <is>
          <t>Покупка двух абонементов при совместном старте с подругой</t>
        </is>
      </c>
      <c r="F2310" s="147" t="inlineStr">
        <is>
          <t>FW-L2-VQGKJ-Q8PU3</t>
        </is>
      </c>
      <c r="G2310" s="39" t="inlineStr">
        <is>
          <t>Не использован</t>
        </is>
      </c>
      <c r="H2310" s="148" t="n"/>
      <c r="I2310" s="34" t="str"/>
      <c r="J2310" s="34" t="str"/>
      <c r="K2310" s="130" t="n">
        <v>103</v>
      </c>
      <c r="L2310" s="43">
        <f>IF(COUNTIF($F$5:$F$2407,F2310)=1,"OK","Дубликат")</f>
        <v/>
      </c>
    </row>
    <row r="2311" ht="38" customHeight="1">
      <c r="A2311" s="146" t="inlineStr">
        <is>
          <t>BONUS-L2-PAIR</t>
        </is>
      </c>
      <c r="B2311" s="39" t="inlineStr">
        <is>
          <t>2 уровень</t>
        </is>
      </c>
      <c r="C2311" s="34" t="inlineStr">
        <is>
          <t>Призы не на абонементы</t>
        </is>
      </c>
      <c r="D2311" s="34" t="inlineStr">
        <is>
          <t>Парный старт: закрытая цена на 2 абонемента</t>
        </is>
      </c>
      <c r="E2311" s="34" t="inlineStr">
        <is>
          <t>Покупка двух абонементов при совместном старте с подругой</t>
        </is>
      </c>
      <c r="F2311" s="147" t="inlineStr">
        <is>
          <t>FW-L2-9EGGR-RQXJF</t>
        </is>
      </c>
      <c r="G2311" s="39" t="inlineStr">
        <is>
          <t>Не использован</t>
        </is>
      </c>
      <c r="H2311" s="148" t="n"/>
      <c r="I2311" s="34" t="str"/>
      <c r="J2311" s="34" t="str"/>
      <c r="K2311" s="130" t="n">
        <v>104</v>
      </c>
      <c r="L2311" s="43">
        <f>IF(COUNTIF($F$5:$F$2407,F2311)=1,"OK","Дубликат")</f>
        <v/>
      </c>
    </row>
    <row r="2312" ht="38" customHeight="1">
      <c r="A2312" s="146" t="inlineStr">
        <is>
          <t>BONUS-L2-PAIR</t>
        </is>
      </c>
      <c r="B2312" s="39" t="inlineStr">
        <is>
          <t>2 уровень</t>
        </is>
      </c>
      <c r="C2312" s="34" t="inlineStr">
        <is>
          <t>Призы не на абонементы</t>
        </is>
      </c>
      <c r="D2312" s="34" t="inlineStr">
        <is>
          <t>Парный старт: закрытая цена на 2 абонемента</t>
        </is>
      </c>
      <c r="E2312" s="34" t="inlineStr">
        <is>
          <t>Покупка двух абонементов при совместном старте с подругой</t>
        </is>
      </c>
      <c r="F2312" s="147" t="inlineStr">
        <is>
          <t>FW-L2-VAQHM-6DW7A</t>
        </is>
      </c>
      <c r="G2312" s="39" t="inlineStr">
        <is>
          <t>Не использован</t>
        </is>
      </c>
      <c r="H2312" s="148" t="n"/>
      <c r="I2312" s="34" t="str"/>
      <c r="J2312" s="34" t="str"/>
      <c r="K2312" s="130" t="n">
        <v>105</v>
      </c>
      <c r="L2312" s="43">
        <f>IF(COUNTIF($F$5:$F$2407,F2312)=1,"OK","Дубликат")</f>
        <v/>
      </c>
    </row>
    <row r="2313" ht="38" customHeight="1">
      <c r="A2313" s="146" t="inlineStr">
        <is>
          <t>BONUS-L2-PAIR</t>
        </is>
      </c>
      <c r="B2313" s="39" t="inlineStr">
        <is>
          <t>2 уровень</t>
        </is>
      </c>
      <c r="C2313" s="34" t="inlineStr">
        <is>
          <t>Призы не на абонементы</t>
        </is>
      </c>
      <c r="D2313" s="34" t="inlineStr">
        <is>
          <t>Парный старт: закрытая цена на 2 абонемента</t>
        </is>
      </c>
      <c r="E2313" s="34" t="inlineStr">
        <is>
          <t>Покупка двух абонементов при совместном старте с подругой</t>
        </is>
      </c>
      <c r="F2313" s="147" t="inlineStr">
        <is>
          <t>FW-L2-TTEPZ-WE2PP</t>
        </is>
      </c>
      <c r="G2313" s="39" t="inlineStr">
        <is>
          <t>Не использован</t>
        </is>
      </c>
      <c r="H2313" s="148" t="n"/>
      <c r="I2313" s="34" t="str"/>
      <c r="J2313" s="34" t="str"/>
      <c r="K2313" s="130" t="n">
        <v>106</v>
      </c>
      <c r="L2313" s="43">
        <f>IF(COUNTIF($F$5:$F$2407,F2313)=1,"OK","Дубликат")</f>
        <v/>
      </c>
    </row>
    <row r="2314" ht="38" customHeight="1">
      <c r="A2314" s="146" t="inlineStr">
        <is>
          <t>BONUS-L2-PAIR</t>
        </is>
      </c>
      <c r="B2314" s="39" t="inlineStr">
        <is>
          <t>2 уровень</t>
        </is>
      </c>
      <c r="C2314" s="34" t="inlineStr">
        <is>
          <t>Призы не на абонементы</t>
        </is>
      </c>
      <c r="D2314" s="34" t="inlineStr">
        <is>
          <t>Парный старт: закрытая цена на 2 абонемента</t>
        </is>
      </c>
      <c r="E2314" s="34" t="inlineStr">
        <is>
          <t>Покупка двух абонементов при совместном старте с подругой</t>
        </is>
      </c>
      <c r="F2314" s="147" t="inlineStr">
        <is>
          <t>FW-L2-2YM2H-A7ZA9</t>
        </is>
      </c>
      <c r="G2314" s="39" t="inlineStr">
        <is>
          <t>Не использован</t>
        </is>
      </c>
      <c r="H2314" s="148" t="n"/>
      <c r="I2314" s="34" t="str"/>
      <c r="J2314" s="34" t="str"/>
      <c r="K2314" s="130" t="n">
        <v>107</v>
      </c>
      <c r="L2314" s="43">
        <f>IF(COUNTIF($F$5:$F$2407,F2314)=1,"OK","Дубликат")</f>
        <v/>
      </c>
    </row>
    <row r="2315" ht="38" customHeight="1">
      <c r="A2315" s="146" t="inlineStr">
        <is>
          <t>BONUS-L2-PAIR</t>
        </is>
      </c>
      <c r="B2315" s="39" t="inlineStr">
        <is>
          <t>2 уровень</t>
        </is>
      </c>
      <c r="C2315" s="34" t="inlineStr">
        <is>
          <t>Призы не на абонементы</t>
        </is>
      </c>
      <c r="D2315" s="34" t="inlineStr">
        <is>
          <t>Парный старт: закрытая цена на 2 абонемента</t>
        </is>
      </c>
      <c r="E2315" s="34" t="inlineStr">
        <is>
          <t>Покупка двух абонементов при совместном старте с подругой</t>
        </is>
      </c>
      <c r="F2315" s="147" t="inlineStr">
        <is>
          <t>FW-L2-KF5Z6-5469J</t>
        </is>
      </c>
      <c r="G2315" s="39" t="inlineStr">
        <is>
          <t>Не использован</t>
        </is>
      </c>
      <c r="H2315" s="148" t="n"/>
      <c r="I2315" s="34" t="str"/>
      <c r="J2315" s="34" t="str"/>
      <c r="K2315" s="130" t="n">
        <v>108</v>
      </c>
      <c r="L2315" s="43">
        <f>IF(COUNTIF($F$5:$F$2407,F2315)=1,"OK","Дубликат")</f>
        <v/>
      </c>
    </row>
    <row r="2316" ht="38" customHeight="1">
      <c r="A2316" s="146" t="inlineStr">
        <is>
          <t>BONUS-L2-PAIR</t>
        </is>
      </c>
      <c r="B2316" s="39" t="inlineStr">
        <is>
          <t>2 уровень</t>
        </is>
      </c>
      <c r="C2316" s="34" t="inlineStr">
        <is>
          <t>Призы не на абонементы</t>
        </is>
      </c>
      <c r="D2316" s="34" t="inlineStr">
        <is>
          <t>Парный старт: закрытая цена на 2 абонемента</t>
        </is>
      </c>
      <c r="E2316" s="34" t="inlineStr">
        <is>
          <t>Покупка двух абонементов при совместном старте с подругой</t>
        </is>
      </c>
      <c r="F2316" s="147" t="inlineStr">
        <is>
          <t>FW-L2-KJCJS-EM3CK</t>
        </is>
      </c>
      <c r="G2316" s="39" t="inlineStr">
        <is>
          <t>Не использован</t>
        </is>
      </c>
      <c r="H2316" s="148" t="n"/>
      <c r="I2316" s="34" t="str"/>
      <c r="J2316" s="34" t="str"/>
      <c r="K2316" s="130" t="n">
        <v>109</v>
      </c>
      <c r="L2316" s="43">
        <f>IF(COUNTIF($F$5:$F$2407,F2316)=1,"OK","Дубликат")</f>
        <v/>
      </c>
    </row>
    <row r="2317" ht="38" customHeight="1">
      <c r="A2317" s="146" t="inlineStr">
        <is>
          <t>BONUS-L2-PAIR</t>
        </is>
      </c>
      <c r="B2317" s="39" t="inlineStr">
        <is>
          <t>2 уровень</t>
        </is>
      </c>
      <c r="C2317" s="34" t="inlineStr">
        <is>
          <t>Призы не на абонементы</t>
        </is>
      </c>
      <c r="D2317" s="34" t="inlineStr">
        <is>
          <t>Парный старт: закрытая цена на 2 абонемента</t>
        </is>
      </c>
      <c r="E2317" s="34" t="inlineStr">
        <is>
          <t>Покупка двух абонементов при совместном старте с подругой</t>
        </is>
      </c>
      <c r="F2317" s="147" t="inlineStr">
        <is>
          <t>FW-L2-JYN56-AS73L</t>
        </is>
      </c>
      <c r="G2317" s="39" t="inlineStr">
        <is>
          <t>Не использован</t>
        </is>
      </c>
      <c r="H2317" s="148" t="n"/>
      <c r="I2317" s="34" t="str"/>
      <c r="J2317" s="34" t="str"/>
      <c r="K2317" s="130" t="n">
        <v>110</v>
      </c>
      <c r="L2317" s="43">
        <f>IF(COUNTIF($F$5:$F$2407,F2317)=1,"OK","Дубликат")</f>
        <v/>
      </c>
    </row>
    <row r="2318" ht="38" customHeight="1">
      <c r="A2318" s="146" t="inlineStr">
        <is>
          <t>BONUS-L2-PAIR</t>
        </is>
      </c>
      <c r="B2318" s="39" t="inlineStr">
        <is>
          <t>2 уровень</t>
        </is>
      </c>
      <c r="C2318" s="34" t="inlineStr">
        <is>
          <t>Призы не на абонементы</t>
        </is>
      </c>
      <c r="D2318" s="34" t="inlineStr">
        <is>
          <t>Парный старт: закрытая цена на 2 абонемента</t>
        </is>
      </c>
      <c r="E2318" s="34" t="inlineStr">
        <is>
          <t>Покупка двух абонементов при совместном старте с подругой</t>
        </is>
      </c>
      <c r="F2318" s="147" t="inlineStr">
        <is>
          <t>FW-L2-YDYAZ-NGSSG</t>
        </is>
      </c>
      <c r="G2318" s="39" t="inlineStr">
        <is>
          <t>Не использован</t>
        </is>
      </c>
      <c r="H2318" s="148" t="n"/>
      <c r="I2318" s="34" t="str"/>
      <c r="J2318" s="34" t="str"/>
      <c r="K2318" s="130" t="n">
        <v>111</v>
      </c>
      <c r="L2318" s="43">
        <f>IF(COUNTIF($F$5:$F$2407,F2318)=1,"OK","Дубликат")</f>
        <v/>
      </c>
    </row>
    <row r="2319" ht="38" customHeight="1">
      <c r="A2319" s="146" t="inlineStr">
        <is>
          <t>BONUS-L2-PAIR</t>
        </is>
      </c>
      <c r="B2319" s="39" t="inlineStr">
        <is>
          <t>2 уровень</t>
        </is>
      </c>
      <c r="C2319" s="34" t="inlineStr">
        <is>
          <t>Призы не на абонементы</t>
        </is>
      </c>
      <c r="D2319" s="34" t="inlineStr">
        <is>
          <t>Парный старт: закрытая цена на 2 абонемента</t>
        </is>
      </c>
      <c r="E2319" s="34" t="inlineStr">
        <is>
          <t>Покупка двух абонементов при совместном старте с подругой</t>
        </is>
      </c>
      <c r="F2319" s="147" t="inlineStr">
        <is>
          <t>FW-L2-QSXSB-X4KE3</t>
        </is>
      </c>
      <c r="G2319" s="39" t="inlineStr">
        <is>
          <t>Не использован</t>
        </is>
      </c>
      <c r="H2319" s="148" t="n"/>
      <c r="I2319" s="34" t="str"/>
      <c r="J2319" s="34" t="str"/>
      <c r="K2319" s="130" t="n">
        <v>112</v>
      </c>
      <c r="L2319" s="43">
        <f>IF(COUNTIF($F$5:$F$2407,F2319)=1,"OK","Дубликат")</f>
        <v/>
      </c>
    </row>
    <row r="2320" ht="38" customHeight="1">
      <c r="A2320" s="146" t="inlineStr">
        <is>
          <t>BONUS-L2-PAIR</t>
        </is>
      </c>
      <c r="B2320" s="39" t="inlineStr">
        <is>
          <t>2 уровень</t>
        </is>
      </c>
      <c r="C2320" s="34" t="inlineStr">
        <is>
          <t>Призы не на абонементы</t>
        </is>
      </c>
      <c r="D2320" s="34" t="inlineStr">
        <is>
          <t>Парный старт: закрытая цена на 2 абонемента</t>
        </is>
      </c>
      <c r="E2320" s="34" t="inlineStr">
        <is>
          <t>Покупка двух абонементов при совместном старте с подругой</t>
        </is>
      </c>
      <c r="F2320" s="147" t="inlineStr">
        <is>
          <t>FW-L2-UZNMU-MB86R</t>
        </is>
      </c>
      <c r="G2320" s="39" t="inlineStr">
        <is>
          <t>Не использован</t>
        </is>
      </c>
      <c r="H2320" s="148" t="n"/>
      <c r="I2320" s="34" t="str"/>
      <c r="J2320" s="34" t="str"/>
      <c r="K2320" s="130" t="n">
        <v>113</v>
      </c>
      <c r="L2320" s="43">
        <f>IF(COUNTIF($F$5:$F$2407,F2320)=1,"OK","Дубликат")</f>
        <v/>
      </c>
    </row>
    <row r="2321" ht="38" customHeight="1">
      <c r="A2321" s="146" t="inlineStr">
        <is>
          <t>BONUS-L2-PAIR</t>
        </is>
      </c>
      <c r="B2321" s="39" t="inlineStr">
        <is>
          <t>2 уровень</t>
        </is>
      </c>
      <c r="C2321" s="34" t="inlineStr">
        <is>
          <t>Призы не на абонементы</t>
        </is>
      </c>
      <c r="D2321" s="34" t="inlineStr">
        <is>
          <t>Парный старт: закрытая цена на 2 абонемента</t>
        </is>
      </c>
      <c r="E2321" s="34" t="inlineStr">
        <is>
          <t>Покупка двух абонементов при совместном старте с подругой</t>
        </is>
      </c>
      <c r="F2321" s="147" t="inlineStr">
        <is>
          <t>FW-L2-7P32M-ZB2LG</t>
        </is>
      </c>
      <c r="G2321" s="39" t="inlineStr">
        <is>
          <t>Не использован</t>
        </is>
      </c>
      <c r="H2321" s="148" t="n"/>
      <c r="I2321" s="34" t="str"/>
      <c r="J2321" s="34" t="str"/>
      <c r="K2321" s="130" t="n">
        <v>114</v>
      </c>
      <c r="L2321" s="43">
        <f>IF(COUNTIF($F$5:$F$2407,F2321)=1,"OK","Дубликат")</f>
        <v/>
      </c>
    </row>
    <row r="2322" ht="38" customHeight="1">
      <c r="A2322" s="146" t="inlineStr">
        <is>
          <t>BONUS-L2-PAIR</t>
        </is>
      </c>
      <c r="B2322" s="39" t="inlineStr">
        <is>
          <t>2 уровень</t>
        </is>
      </c>
      <c r="C2322" s="34" t="inlineStr">
        <is>
          <t>Призы не на абонементы</t>
        </is>
      </c>
      <c r="D2322" s="34" t="inlineStr">
        <is>
          <t>Парный старт: закрытая цена на 2 абонемента</t>
        </is>
      </c>
      <c r="E2322" s="34" t="inlineStr">
        <is>
          <t>Покупка двух абонементов при совместном старте с подругой</t>
        </is>
      </c>
      <c r="F2322" s="147" t="inlineStr">
        <is>
          <t>FW-L2-N6YSW-8VKMF</t>
        </is>
      </c>
      <c r="G2322" s="39" t="inlineStr">
        <is>
          <t>Не использован</t>
        </is>
      </c>
      <c r="H2322" s="148" t="n"/>
      <c r="I2322" s="34" t="str"/>
      <c r="J2322" s="34" t="str"/>
      <c r="K2322" s="130" t="n">
        <v>115</v>
      </c>
      <c r="L2322" s="43">
        <f>IF(COUNTIF($F$5:$F$2407,F2322)=1,"OK","Дубликат")</f>
        <v/>
      </c>
    </row>
    <row r="2323" ht="38" customHeight="1">
      <c r="A2323" s="146" t="inlineStr">
        <is>
          <t>BONUS-L2-PAIR</t>
        </is>
      </c>
      <c r="B2323" s="39" t="inlineStr">
        <is>
          <t>2 уровень</t>
        </is>
      </c>
      <c r="C2323" s="34" t="inlineStr">
        <is>
          <t>Призы не на абонементы</t>
        </is>
      </c>
      <c r="D2323" s="34" t="inlineStr">
        <is>
          <t>Парный старт: закрытая цена на 2 абонемента</t>
        </is>
      </c>
      <c r="E2323" s="34" t="inlineStr">
        <is>
          <t>Покупка двух абонементов при совместном старте с подругой</t>
        </is>
      </c>
      <c r="F2323" s="147" t="inlineStr">
        <is>
          <t>FW-L2-CFRSS-YNL5B</t>
        </is>
      </c>
      <c r="G2323" s="39" t="inlineStr">
        <is>
          <t>Не использован</t>
        </is>
      </c>
      <c r="H2323" s="148" t="n"/>
      <c r="I2323" s="34" t="str"/>
      <c r="J2323" s="34" t="str"/>
      <c r="K2323" s="130" t="n">
        <v>116</v>
      </c>
      <c r="L2323" s="43">
        <f>IF(COUNTIF($F$5:$F$2407,F2323)=1,"OK","Дубликат")</f>
        <v/>
      </c>
    </row>
    <row r="2324" ht="38" customHeight="1">
      <c r="A2324" s="146" t="inlineStr">
        <is>
          <t>BONUS-L2-PAIR</t>
        </is>
      </c>
      <c r="B2324" s="39" t="inlineStr">
        <is>
          <t>2 уровень</t>
        </is>
      </c>
      <c r="C2324" s="34" t="inlineStr">
        <is>
          <t>Призы не на абонементы</t>
        </is>
      </c>
      <c r="D2324" s="34" t="inlineStr">
        <is>
          <t>Парный старт: закрытая цена на 2 абонемента</t>
        </is>
      </c>
      <c r="E2324" s="34" t="inlineStr">
        <is>
          <t>Покупка двух абонементов при совместном старте с подругой</t>
        </is>
      </c>
      <c r="F2324" s="147" t="inlineStr">
        <is>
          <t>FW-L2-ZCGY8-YUAX2</t>
        </is>
      </c>
      <c r="G2324" s="39" t="inlineStr">
        <is>
          <t>Не использован</t>
        </is>
      </c>
      <c r="H2324" s="148" t="n"/>
      <c r="I2324" s="34" t="str"/>
      <c r="J2324" s="34" t="str"/>
      <c r="K2324" s="130" t="n">
        <v>117</v>
      </c>
      <c r="L2324" s="43">
        <f>IF(COUNTIF($F$5:$F$2407,F2324)=1,"OK","Дубликат")</f>
        <v/>
      </c>
    </row>
    <row r="2325" ht="38" customHeight="1">
      <c r="A2325" s="146" t="inlineStr">
        <is>
          <t>BONUS-L2-PAIR</t>
        </is>
      </c>
      <c r="B2325" s="39" t="inlineStr">
        <is>
          <t>2 уровень</t>
        </is>
      </c>
      <c r="C2325" s="34" t="inlineStr">
        <is>
          <t>Призы не на абонементы</t>
        </is>
      </c>
      <c r="D2325" s="34" t="inlineStr">
        <is>
          <t>Парный старт: закрытая цена на 2 абонемента</t>
        </is>
      </c>
      <c r="E2325" s="34" t="inlineStr">
        <is>
          <t>Покупка двух абонементов при совместном старте с подругой</t>
        </is>
      </c>
      <c r="F2325" s="147" t="inlineStr">
        <is>
          <t>FW-L2-V6H33-PP59E</t>
        </is>
      </c>
      <c r="G2325" s="39" t="inlineStr">
        <is>
          <t>Не использован</t>
        </is>
      </c>
      <c r="H2325" s="148" t="n"/>
      <c r="I2325" s="34" t="str"/>
      <c r="J2325" s="34" t="str"/>
      <c r="K2325" s="130" t="n">
        <v>118</v>
      </c>
      <c r="L2325" s="43">
        <f>IF(COUNTIF($F$5:$F$2407,F2325)=1,"OK","Дубликат")</f>
        <v/>
      </c>
    </row>
    <row r="2326" ht="38" customHeight="1">
      <c r="A2326" s="146" t="inlineStr">
        <is>
          <t>BONUS-L2-PAIR</t>
        </is>
      </c>
      <c r="B2326" s="39" t="inlineStr">
        <is>
          <t>2 уровень</t>
        </is>
      </c>
      <c r="C2326" s="34" t="inlineStr">
        <is>
          <t>Призы не на абонементы</t>
        </is>
      </c>
      <c r="D2326" s="34" t="inlineStr">
        <is>
          <t>Парный старт: закрытая цена на 2 абонемента</t>
        </is>
      </c>
      <c r="E2326" s="34" t="inlineStr">
        <is>
          <t>Покупка двух абонементов при совместном старте с подругой</t>
        </is>
      </c>
      <c r="F2326" s="147" t="inlineStr">
        <is>
          <t>FW-L2-QHZ8Z-XU94J</t>
        </is>
      </c>
      <c r="G2326" s="39" t="inlineStr">
        <is>
          <t>Не использован</t>
        </is>
      </c>
      <c r="H2326" s="148" t="n"/>
      <c r="I2326" s="34" t="str"/>
      <c r="J2326" s="34" t="str"/>
      <c r="K2326" s="130" t="n">
        <v>119</v>
      </c>
      <c r="L2326" s="43">
        <f>IF(COUNTIF($F$5:$F$2407,F2326)=1,"OK","Дубликат")</f>
        <v/>
      </c>
    </row>
    <row r="2327" ht="38" customHeight="1">
      <c r="A2327" s="146" t="inlineStr">
        <is>
          <t>BONUS-L2-PAIR</t>
        </is>
      </c>
      <c r="B2327" s="39" t="inlineStr">
        <is>
          <t>2 уровень</t>
        </is>
      </c>
      <c r="C2327" s="34" t="inlineStr">
        <is>
          <t>Призы не на абонементы</t>
        </is>
      </c>
      <c r="D2327" s="34" t="inlineStr">
        <is>
          <t>Парный старт: закрытая цена на 2 абонемента</t>
        </is>
      </c>
      <c r="E2327" s="34" t="inlineStr">
        <is>
          <t>Покупка двух абонементов при совместном старте с подругой</t>
        </is>
      </c>
      <c r="F2327" s="147" t="inlineStr">
        <is>
          <t>FW-L2-BZ4X8-WJBW4</t>
        </is>
      </c>
      <c r="G2327" s="39" t="inlineStr">
        <is>
          <t>Не использован</t>
        </is>
      </c>
      <c r="H2327" s="148" t="n"/>
      <c r="I2327" s="34" t="str"/>
      <c r="J2327" s="34" t="str"/>
      <c r="K2327" s="130" t="n">
        <v>120</v>
      </c>
      <c r="L2327" s="43">
        <f>IF(COUNTIF($F$5:$F$2407,F2327)=1,"OK","Дубликат")</f>
        <v/>
      </c>
    </row>
    <row r="2328" ht="38" customHeight="1">
      <c r="A2328" s="146" t="inlineStr">
        <is>
          <t>BONUS-L2-PAIR</t>
        </is>
      </c>
      <c r="B2328" s="39" t="inlineStr">
        <is>
          <t>2 уровень</t>
        </is>
      </c>
      <c r="C2328" s="34" t="inlineStr">
        <is>
          <t>Призы не на абонементы</t>
        </is>
      </c>
      <c r="D2328" s="34" t="inlineStr">
        <is>
          <t>Парный старт: закрытая цена на 2 абонемента</t>
        </is>
      </c>
      <c r="E2328" s="34" t="inlineStr">
        <is>
          <t>Покупка двух абонементов при совместном старте с подругой</t>
        </is>
      </c>
      <c r="F2328" s="147" t="inlineStr">
        <is>
          <t>FW-L2-FV53T-MK4V2</t>
        </is>
      </c>
      <c r="G2328" s="39" t="inlineStr">
        <is>
          <t>Не использован</t>
        </is>
      </c>
      <c r="H2328" s="148" t="n"/>
      <c r="I2328" s="34" t="str"/>
      <c r="J2328" s="34" t="str"/>
      <c r="K2328" s="130" t="n">
        <v>121</v>
      </c>
      <c r="L2328" s="43">
        <f>IF(COUNTIF($F$5:$F$2407,F2328)=1,"OK","Дубликат")</f>
        <v/>
      </c>
    </row>
    <row r="2329" ht="38" customHeight="1">
      <c r="A2329" s="146" t="inlineStr">
        <is>
          <t>BONUS-L2-PAIR</t>
        </is>
      </c>
      <c r="B2329" s="39" t="inlineStr">
        <is>
          <t>2 уровень</t>
        </is>
      </c>
      <c r="C2329" s="34" t="inlineStr">
        <is>
          <t>Призы не на абонементы</t>
        </is>
      </c>
      <c r="D2329" s="34" t="inlineStr">
        <is>
          <t>Парный старт: закрытая цена на 2 абонемента</t>
        </is>
      </c>
      <c r="E2329" s="34" t="inlineStr">
        <is>
          <t>Покупка двух абонементов при совместном старте с подругой</t>
        </is>
      </c>
      <c r="F2329" s="147" t="inlineStr">
        <is>
          <t>FW-L2-FN4WA-H3ANY</t>
        </is>
      </c>
      <c r="G2329" s="39" t="inlineStr">
        <is>
          <t>Не использован</t>
        </is>
      </c>
      <c r="H2329" s="148" t="n"/>
      <c r="I2329" s="34" t="str"/>
      <c r="J2329" s="34" t="str"/>
      <c r="K2329" s="130" t="n">
        <v>122</v>
      </c>
      <c r="L2329" s="43">
        <f>IF(COUNTIF($F$5:$F$2407,F2329)=1,"OK","Дубликат")</f>
        <v/>
      </c>
    </row>
    <row r="2330" ht="38" customHeight="1">
      <c r="A2330" s="146" t="inlineStr">
        <is>
          <t>BONUS-L2-PAIR</t>
        </is>
      </c>
      <c r="B2330" s="39" t="inlineStr">
        <is>
          <t>2 уровень</t>
        </is>
      </c>
      <c r="C2330" s="34" t="inlineStr">
        <is>
          <t>Призы не на абонементы</t>
        </is>
      </c>
      <c r="D2330" s="34" t="inlineStr">
        <is>
          <t>Парный старт: закрытая цена на 2 абонемента</t>
        </is>
      </c>
      <c r="E2330" s="34" t="inlineStr">
        <is>
          <t>Покупка двух абонементов при совместном старте с подругой</t>
        </is>
      </c>
      <c r="F2330" s="147" t="inlineStr">
        <is>
          <t>FW-L2-2X3PL-K6TH2</t>
        </is>
      </c>
      <c r="G2330" s="39" t="inlineStr">
        <is>
          <t>Не использован</t>
        </is>
      </c>
      <c r="H2330" s="148" t="n"/>
      <c r="I2330" s="34" t="str"/>
      <c r="J2330" s="34" t="str"/>
      <c r="K2330" s="130" t="n">
        <v>123</v>
      </c>
      <c r="L2330" s="43">
        <f>IF(COUNTIF($F$5:$F$2407,F2330)=1,"OK","Дубликат")</f>
        <v/>
      </c>
    </row>
    <row r="2331" ht="38" customHeight="1">
      <c r="A2331" s="146" t="inlineStr">
        <is>
          <t>BONUS-L2-PAIR</t>
        </is>
      </c>
      <c r="B2331" s="39" t="inlineStr">
        <is>
          <t>2 уровень</t>
        </is>
      </c>
      <c r="C2331" s="34" t="inlineStr">
        <is>
          <t>Призы не на абонементы</t>
        </is>
      </c>
      <c r="D2331" s="34" t="inlineStr">
        <is>
          <t>Парный старт: закрытая цена на 2 абонемента</t>
        </is>
      </c>
      <c r="E2331" s="34" t="inlineStr">
        <is>
          <t>Покупка двух абонементов при совместном старте с подругой</t>
        </is>
      </c>
      <c r="F2331" s="147" t="inlineStr">
        <is>
          <t>FW-L2-UGGQF-YJZWB</t>
        </is>
      </c>
      <c r="G2331" s="39" t="inlineStr">
        <is>
          <t>Не использован</t>
        </is>
      </c>
      <c r="H2331" s="148" t="n"/>
      <c r="I2331" s="34" t="str"/>
      <c r="J2331" s="34" t="str"/>
      <c r="K2331" s="130" t="n">
        <v>124</v>
      </c>
      <c r="L2331" s="43">
        <f>IF(COUNTIF($F$5:$F$2407,F2331)=1,"OK","Дубликат")</f>
        <v/>
      </c>
    </row>
    <row r="2332" ht="38" customHeight="1">
      <c r="A2332" s="146" t="inlineStr">
        <is>
          <t>BONUS-L2-PAIR</t>
        </is>
      </c>
      <c r="B2332" s="39" t="inlineStr">
        <is>
          <t>2 уровень</t>
        </is>
      </c>
      <c r="C2332" s="34" t="inlineStr">
        <is>
          <t>Призы не на абонементы</t>
        </is>
      </c>
      <c r="D2332" s="34" t="inlineStr">
        <is>
          <t>Парный старт: закрытая цена на 2 абонемента</t>
        </is>
      </c>
      <c r="E2332" s="34" t="inlineStr">
        <is>
          <t>Покупка двух абонементов при совместном старте с подругой</t>
        </is>
      </c>
      <c r="F2332" s="147" t="inlineStr">
        <is>
          <t>FW-L2-PQDGX-P49VD</t>
        </is>
      </c>
      <c r="G2332" s="39" t="inlineStr">
        <is>
          <t>Не использован</t>
        </is>
      </c>
      <c r="H2332" s="148" t="n"/>
      <c r="I2332" s="34" t="str"/>
      <c r="J2332" s="34" t="str"/>
      <c r="K2332" s="130" t="n">
        <v>125</v>
      </c>
      <c r="L2332" s="43">
        <f>IF(COUNTIF($F$5:$F$2407,F2332)=1,"OK","Дубликат")</f>
        <v/>
      </c>
    </row>
    <row r="2333" ht="38" customHeight="1">
      <c r="A2333" s="146" t="inlineStr">
        <is>
          <t>BONUS-L2-PAIR</t>
        </is>
      </c>
      <c r="B2333" s="39" t="inlineStr">
        <is>
          <t>2 уровень</t>
        </is>
      </c>
      <c r="C2333" s="34" t="inlineStr">
        <is>
          <t>Призы не на абонементы</t>
        </is>
      </c>
      <c r="D2333" s="34" t="inlineStr">
        <is>
          <t>Парный старт: закрытая цена на 2 абонемента</t>
        </is>
      </c>
      <c r="E2333" s="34" t="inlineStr">
        <is>
          <t>Покупка двух абонементов при совместном старте с подругой</t>
        </is>
      </c>
      <c r="F2333" s="147" t="inlineStr">
        <is>
          <t>FW-L2-62EYA-EA9T5</t>
        </is>
      </c>
      <c r="G2333" s="39" t="inlineStr">
        <is>
          <t>Не использован</t>
        </is>
      </c>
      <c r="H2333" s="148" t="n"/>
      <c r="I2333" s="34" t="str"/>
      <c r="J2333" s="34" t="str"/>
      <c r="K2333" s="130" t="n">
        <v>126</v>
      </c>
      <c r="L2333" s="43">
        <f>IF(COUNTIF($F$5:$F$2407,F2333)=1,"OK","Дубликат")</f>
        <v/>
      </c>
    </row>
    <row r="2334" ht="38" customHeight="1">
      <c r="A2334" s="146" t="inlineStr">
        <is>
          <t>BONUS-L2-PAIR</t>
        </is>
      </c>
      <c r="B2334" s="39" t="inlineStr">
        <is>
          <t>2 уровень</t>
        </is>
      </c>
      <c r="C2334" s="34" t="inlineStr">
        <is>
          <t>Призы не на абонементы</t>
        </is>
      </c>
      <c r="D2334" s="34" t="inlineStr">
        <is>
          <t>Парный старт: закрытая цена на 2 абонемента</t>
        </is>
      </c>
      <c r="E2334" s="34" t="inlineStr">
        <is>
          <t>Покупка двух абонементов при совместном старте с подругой</t>
        </is>
      </c>
      <c r="F2334" s="147" t="inlineStr">
        <is>
          <t>FW-L2-CVSWR-8F9GT</t>
        </is>
      </c>
      <c r="G2334" s="39" t="inlineStr">
        <is>
          <t>Не использован</t>
        </is>
      </c>
      <c r="H2334" s="148" t="n"/>
      <c r="I2334" s="34" t="str"/>
      <c r="J2334" s="34" t="str"/>
      <c r="K2334" s="130" t="n">
        <v>127</v>
      </c>
      <c r="L2334" s="43">
        <f>IF(COUNTIF($F$5:$F$2407,F2334)=1,"OK","Дубликат")</f>
        <v/>
      </c>
    </row>
    <row r="2335" ht="38" customHeight="1">
      <c r="A2335" s="146" t="inlineStr">
        <is>
          <t>BONUS-L2-PAIR</t>
        </is>
      </c>
      <c r="B2335" s="39" t="inlineStr">
        <is>
          <t>2 уровень</t>
        </is>
      </c>
      <c r="C2335" s="34" t="inlineStr">
        <is>
          <t>Призы не на абонементы</t>
        </is>
      </c>
      <c r="D2335" s="34" t="inlineStr">
        <is>
          <t>Парный старт: закрытая цена на 2 абонемента</t>
        </is>
      </c>
      <c r="E2335" s="34" t="inlineStr">
        <is>
          <t>Покупка двух абонементов при совместном старте с подругой</t>
        </is>
      </c>
      <c r="F2335" s="147" t="inlineStr">
        <is>
          <t>FW-L2-ELK4F-P7BJZ</t>
        </is>
      </c>
      <c r="G2335" s="39" t="inlineStr">
        <is>
          <t>Не использован</t>
        </is>
      </c>
      <c r="H2335" s="148" t="n"/>
      <c r="I2335" s="34" t="str"/>
      <c r="J2335" s="34" t="str"/>
      <c r="K2335" s="130" t="n">
        <v>128</v>
      </c>
      <c r="L2335" s="43">
        <f>IF(COUNTIF($F$5:$F$2407,F2335)=1,"OK","Дубликат")</f>
        <v/>
      </c>
    </row>
    <row r="2336" ht="38" customHeight="1">
      <c r="A2336" s="146" t="inlineStr">
        <is>
          <t>BONUS-L2-PAIR</t>
        </is>
      </c>
      <c r="B2336" s="39" t="inlineStr">
        <is>
          <t>2 уровень</t>
        </is>
      </c>
      <c r="C2336" s="34" t="inlineStr">
        <is>
          <t>Призы не на абонементы</t>
        </is>
      </c>
      <c r="D2336" s="34" t="inlineStr">
        <is>
          <t>Парный старт: закрытая цена на 2 абонемента</t>
        </is>
      </c>
      <c r="E2336" s="34" t="inlineStr">
        <is>
          <t>Покупка двух абонементов при совместном старте с подругой</t>
        </is>
      </c>
      <c r="F2336" s="147" t="inlineStr">
        <is>
          <t>FW-L2-NBWNZ-H3FEU</t>
        </is>
      </c>
      <c r="G2336" s="39" t="inlineStr">
        <is>
          <t>Не использован</t>
        </is>
      </c>
      <c r="H2336" s="148" t="n"/>
      <c r="I2336" s="34" t="str"/>
      <c r="J2336" s="34" t="str"/>
      <c r="K2336" s="130" t="n">
        <v>129</v>
      </c>
      <c r="L2336" s="43">
        <f>IF(COUNTIF($F$5:$F$2407,F2336)=1,"OK","Дубликат")</f>
        <v/>
      </c>
    </row>
    <row r="2337" ht="38" customHeight="1">
      <c r="A2337" s="146" t="inlineStr">
        <is>
          <t>BONUS-L2-PAIR</t>
        </is>
      </c>
      <c r="B2337" s="39" t="inlineStr">
        <is>
          <t>2 уровень</t>
        </is>
      </c>
      <c r="C2337" s="34" t="inlineStr">
        <is>
          <t>Призы не на абонементы</t>
        </is>
      </c>
      <c r="D2337" s="34" t="inlineStr">
        <is>
          <t>Парный старт: закрытая цена на 2 абонемента</t>
        </is>
      </c>
      <c r="E2337" s="34" t="inlineStr">
        <is>
          <t>Покупка двух абонементов при совместном старте с подругой</t>
        </is>
      </c>
      <c r="F2337" s="147" t="inlineStr">
        <is>
          <t>FW-L2-6NL8U-2S5S7</t>
        </is>
      </c>
      <c r="G2337" s="39" t="inlineStr">
        <is>
          <t>Не использован</t>
        </is>
      </c>
      <c r="H2337" s="148" t="n"/>
      <c r="I2337" s="34" t="str"/>
      <c r="J2337" s="34" t="str"/>
      <c r="K2337" s="130" t="n">
        <v>130</v>
      </c>
      <c r="L2337" s="43">
        <f>IF(COUNTIF($F$5:$F$2407,F2337)=1,"OK","Дубликат")</f>
        <v/>
      </c>
    </row>
    <row r="2338" ht="38" customHeight="1">
      <c r="A2338" s="146" t="inlineStr">
        <is>
          <t>BONUS-L2-PAIR</t>
        </is>
      </c>
      <c r="B2338" s="39" t="inlineStr">
        <is>
          <t>2 уровень</t>
        </is>
      </c>
      <c r="C2338" s="34" t="inlineStr">
        <is>
          <t>Призы не на абонементы</t>
        </is>
      </c>
      <c r="D2338" s="34" t="inlineStr">
        <is>
          <t>Парный старт: закрытая цена на 2 абонемента</t>
        </is>
      </c>
      <c r="E2338" s="34" t="inlineStr">
        <is>
          <t>Покупка двух абонементов при совместном старте с подругой</t>
        </is>
      </c>
      <c r="F2338" s="147" t="inlineStr">
        <is>
          <t>FW-L2-8UC4Q-4CL5G</t>
        </is>
      </c>
      <c r="G2338" s="39" t="inlineStr">
        <is>
          <t>Не использован</t>
        </is>
      </c>
      <c r="H2338" s="148" t="n"/>
      <c r="I2338" s="34" t="str"/>
      <c r="J2338" s="34" t="str"/>
      <c r="K2338" s="130" t="n">
        <v>131</v>
      </c>
      <c r="L2338" s="43">
        <f>IF(COUNTIF($F$5:$F$2407,F2338)=1,"OK","Дубликат")</f>
        <v/>
      </c>
    </row>
    <row r="2339" ht="38" customHeight="1">
      <c r="A2339" s="146" t="inlineStr">
        <is>
          <t>BONUS-L2-PAIR</t>
        </is>
      </c>
      <c r="B2339" s="39" t="inlineStr">
        <is>
          <t>2 уровень</t>
        </is>
      </c>
      <c r="C2339" s="34" t="inlineStr">
        <is>
          <t>Призы не на абонементы</t>
        </is>
      </c>
      <c r="D2339" s="34" t="inlineStr">
        <is>
          <t>Парный старт: закрытая цена на 2 абонемента</t>
        </is>
      </c>
      <c r="E2339" s="34" t="inlineStr">
        <is>
          <t>Покупка двух абонементов при совместном старте с подругой</t>
        </is>
      </c>
      <c r="F2339" s="147" t="inlineStr">
        <is>
          <t>FW-L2-7GY6Z-BV852</t>
        </is>
      </c>
      <c r="G2339" s="39" t="inlineStr">
        <is>
          <t>Не использован</t>
        </is>
      </c>
      <c r="H2339" s="148" t="n"/>
      <c r="I2339" s="34" t="str"/>
      <c r="J2339" s="34" t="str"/>
      <c r="K2339" s="130" t="n">
        <v>132</v>
      </c>
      <c r="L2339" s="43">
        <f>IF(COUNTIF($F$5:$F$2407,F2339)=1,"OK","Дубликат")</f>
        <v/>
      </c>
    </row>
    <row r="2340" ht="38" customHeight="1">
      <c r="A2340" s="146" t="inlineStr">
        <is>
          <t>BONUS-L2-PAIR</t>
        </is>
      </c>
      <c r="B2340" s="39" t="inlineStr">
        <is>
          <t>2 уровень</t>
        </is>
      </c>
      <c r="C2340" s="34" t="inlineStr">
        <is>
          <t>Призы не на абонементы</t>
        </is>
      </c>
      <c r="D2340" s="34" t="inlineStr">
        <is>
          <t>Парный старт: закрытая цена на 2 абонемента</t>
        </is>
      </c>
      <c r="E2340" s="34" t="inlineStr">
        <is>
          <t>Покупка двух абонементов при совместном старте с подругой</t>
        </is>
      </c>
      <c r="F2340" s="147" t="inlineStr">
        <is>
          <t>FW-L2-PWNEE-XTZZR</t>
        </is>
      </c>
      <c r="G2340" s="39" t="inlineStr">
        <is>
          <t>Не использован</t>
        </is>
      </c>
      <c r="H2340" s="148" t="n"/>
      <c r="I2340" s="34" t="str"/>
      <c r="J2340" s="34" t="str"/>
      <c r="K2340" s="130" t="n">
        <v>133</v>
      </c>
      <c r="L2340" s="43">
        <f>IF(COUNTIF($F$5:$F$2407,F2340)=1,"OK","Дубликат")</f>
        <v/>
      </c>
    </row>
    <row r="2341" ht="38" customHeight="1">
      <c r="A2341" s="146" t="inlineStr">
        <is>
          <t>BONUS-L2-PAIR</t>
        </is>
      </c>
      <c r="B2341" s="39" t="inlineStr">
        <is>
          <t>2 уровень</t>
        </is>
      </c>
      <c r="C2341" s="34" t="inlineStr">
        <is>
          <t>Призы не на абонементы</t>
        </is>
      </c>
      <c r="D2341" s="34" t="inlineStr">
        <is>
          <t>Парный старт: закрытая цена на 2 абонемента</t>
        </is>
      </c>
      <c r="E2341" s="34" t="inlineStr">
        <is>
          <t>Покупка двух абонементов при совместном старте с подругой</t>
        </is>
      </c>
      <c r="F2341" s="147" t="inlineStr">
        <is>
          <t>FW-L2-PB8EW-DPW3S</t>
        </is>
      </c>
      <c r="G2341" s="39" t="inlineStr">
        <is>
          <t>Не использован</t>
        </is>
      </c>
      <c r="H2341" s="148" t="n"/>
      <c r="I2341" s="34" t="str"/>
      <c r="J2341" s="34" t="str"/>
      <c r="K2341" s="130" t="n">
        <v>134</v>
      </c>
      <c r="L2341" s="43">
        <f>IF(COUNTIF($F$5:$F$2407,F2341)=1,"OK","Дубликат")</f>
        <v/>
      </c>
    </row>
    <row r="2342" ht="38" customHeight="1">
      <c r="A2342" s="146" t="inlineStr">
        <is>
          <t>BONUS-L2-PAIR</t>
        </is>
      </c>
      <c r="B2342" s="39" t="inlineStr">
        <is>
          <t>2 уровень</t>
        </is>
      </c>
      <c r="C2342" s="34" t="inlineStr">
        <is>
          <t>Призы не на абонементы</t>
        </is>
      </c>
      <c r="D2342" s="34" t="inlineStr">
        <is>
          <t>Парный старт: закрытая цена на 2 абонемента</t>
        </is>
      </c>
      <c r="E2342" s="34" t="inlineStr">
        <is>
          <t>Покупка двух абонементов при совместном старте с подругой</t>
        </is>
      </c>
      <c r="F2342" s="147" t="inlineStr">
        <is>
          <t>FW-L2-YGEGL-LJSWQ</t>
        </is>
      </c>
      <c r="G2342" s="39" t="inlineStr">
        <is>
          <t>Не использован</t>
        </is>
      </c>
      <c r="H2342" s="148" t="n"/>
      <c r="I2342" s="34" t="str"/>
      <c r="J2342" s="34" t="str"/>
      <c r="K2342" s="130" t="n">
        <v>135</v>
      </c>
      <c r="L2342" s="43">
        <f>IF(COUNTIF($F$5:$F$2407,F2342)=1,"OK","Дубликат")</f>
        <v/>
      </c>
    </row>
    <row r="2343" ht="38" customHeight="1">
      <c r="A2343" s="146" t="inlineStr">
        <is>
          <t>BONUS-L2-PAIR</t>
        </is>
      </c>
      <c r="B2343" s="39" t="inlineStr">
        <is>
          <t>2 уровень</t>
        </is>
      </c>
      <c r="C2343" s="34" t="inlineStr">
        <is>
          <t>Призы не на абонементы</t>
        </is>
      </c>
      <c r="D2343" s="34" t="inlineStr">
        <is>
          <t>Парный старт: закрытая цена на 2 абонемента</t>
        </is>
      </c>
      <c r="E2343" s="34" t="inlineStr">
        <is>
          <t>Покупка двух абонементов при совместном старте с подругой</t>
        </is>
      </c>
      <c r="F2343" s="147" t="inlineStr">
        <is>
          <t>FW-L2-YMMTD-8ARZW</t>
        </is>
      </c>
      <c r="G2343" s="39" t="inlineStr">
        <is>
          <t>Не использован</t>
        </is>
      </c>
      <c r="H2343" s="148" t="n"/>
      <c r="I2343" s="34" t="str"/>
      <c r="J2343" s="34" t="str"/>
      <c r="K2343" s="130" t="n">
        <v>136</v>
      </c>
      <c r="L2343" s="43">
        <f>IF(COUNTIF($F$5:$F$2407,F2343)=1,"OK","Дубликат")</f>
        <v/>
      </c>
    </row>
    <row r="2344" ht="38" customHeight="1">
      <c r="A2344" s="146" t="inlineStr">
        <is>
          <t>BONUS-L2-PAIR</t>
        </is>
      </c>
      <c r="B2344" s="39" t="inlineStr">
        <is>
          <t>2 уровень</t>
        </is>
      </c>
      <c r="C2344" s="34" t="inlineStr">
        <is>
          <t>Призы не на абонементы</t>
        </is>
      </c>
      <c r="D2344" s="34" t="inlineStr">
        <is>
          <t>Парный старт: закрытая цена на 2 абонемента</t>
        </is>
      </c>
      <c r="E2344" s="34" t="inlineStr">
        <is>
          <t>Покупка двух абонементов при совместном старте с подругой</t>
        </is>
      </c>
      <c r="F2344" s="147" t="inlineStr">
        <is>
          <t>FW-L2-N8HJ4-UQFAK</t>
        </is>
      </c>
      <c r="G2344" s="39" t="inlineStr">
        <is>
          <t>Не использован</t>
        </is>
      </c>
      <c r="H2344" s="148" t="n"/>
      <c r="I2344" s="34" t="str"/>
      <c r="J2344" s="34" t="str"/>
      <c r="K2344" s="130" t="n">
        <v>137</v>
      </c>
      <c r="L2344" s="43">
        <f>IF(COUNTIF($F$5:$F$2407,F2344)=1,"OK","Дубликат")</f>
        <v/>
      </c>
    </row>
    <row r="2345" ht="38" customHeight="1">
      <c r="A2345" s="146" t="inlineStr">
        <is>
          <t>BONUS-L2-PAIR</t>
        </is>
      </c>
      <c r="B2345" s="39" t="inlineStr">
        <is>
          <t>2 уровень</t>
        </is>
      </c>
      <c r="C2345" s="34" t="inlineStr">
        <is>
          <t>Призы не на абонементы</t>
        </is>
      </c>
      <c r="D2345" s="34" t="inlineStr">
        <is>
          <t>Парный старт: закрытая цена на 2 абонемента</t>
        </is>
      </c>
      <c r="E2345" s="34" t="inlineStr">
        <is>
          <t>Покупка двух абонементов при совместном старте с подругой</t>
        </is>
      </c>
      <c r="F2345" s="147" t="inlineStr">
        <is>
          <t>FW-L2-KUTVA-N9RNG</t>
        </is>
      </c>
      <c r="G2345" s="39" t="inlineStr">
        <is>
          <t>Не использован</t>
        </is>
      </c>
      <c r="H2345" s="148" t="n"/>
      <c r="I2345" s="34" t="str"/>
      <c r="J2345" s="34" t="str"/>
      <c r="K2345" s="130" t="n">
        <v>138</v>
      </c>
      <c r="L2345" s="43">
        <f>IF(COUNTIF($F$5:$F$2407,F2345)=1,"OK","Дубликат")</f>
        <v/>
      </c>
    </row>
    <row r="2346" ht="38" customHeight="1">
      <c r="A2346" s="146" t="inlineStr">
        <is>
          <t>BONUS-L2-PAIR</t>
        </is>
      </c>
      <c r="B2346" s="39" t="inlineStr">
        <is>
          <t>2 уровень</t>
        </is>
      </c>
      <c r="C2346" s="34" t="inlineStr">
        <is>
          <t>Призы не на абонементы</t>
        </is>
      </c>
      <c r="D2346" s="34" t="inlineStr">
        <is>
          <t>Парный старт: закрытая цена на 2 абонемента</t>
        </is>
      </c>
      <c r="E2346" s="34" t="inlineStr">
        <is>
          <t>Покупка двух абонементов при совместном старте с подругой</t>
        </is>
      </c>
      <c r="F2346" s="147" t="inlineStr">
        <is>
          <t>FW-L2-VC35W-EMLT6</t>
        </is>
      </c>
      <c r="G2346" s="39" t="inlineStr">
        <is>
          <t>Не использован</t>
        </is>
      </c>
      <c r="H2346" s="148" t="n"/>
      <c r="I2346" s="34" t="str"/>
      <c r="J2346" s="34" t="str"/>
      <c r="K2346" s="130" t="n">
        <v>139</v>
      </c>
      <c r="L2346" s="43">
        <f>IF(COUNTIF($F$5:$F$2407,F2346)=1,"OK","Дубликат")</f>
        <v/>
      </c>
    </row>
    <row r="2347" ht="38" customHeight="1">
      <c r="A2347" s="146" t="inlineStr">
        <is>
          <t>BONUS-L2-PAIR</t>
        </is>
      </c>
      <c r="B2347" s="39" t="inlineStr">
        <is>
          <t>2 уровень</t>
        </is>
      </c>
      <c r="C2347" s="34" t="inlineStr">
        <is>
          <t>Призы не на абонементы</t>
        </is>
      </c>
      <c r="D2347" s="34" t="inlineStr">
        <is>
          <t>Парный старт: закрытая цена на 2 абонемента</t>
        </is>
      </c>
      <c r="E2347" s="34" t="inlineStr">
        <is>
          <t>Покупка двух абонементов при совместном старте с подругой</t>
        </is>
      </c>
      <c r="F2347" s="147" t="inlineStr">
        <is>
          <t>FW-L2-LZ28M-W8JWY</t>
        </is>
      </c>
      <c r="G2347" s="39" t="inlineStr">
        <is>
          <t>Не использован</t>
        </is>
      </c>
      <c r="H2347" s="148" t="n"/>
      <c r="I2347" s="34" t="str"/>
      <c r="J2347" s="34" t="str"/>
      <c r="K2347" s="130" t="n">
        <v>140</v>
      </c>
      <c r="L2347" s="43">
        <f>IF(COUNTIF($F$5:$F$2407,F2347)=1,"OK","Дубликат")</f>
        <v/>
      </c>
    </row>
    <row r="2348" ht="38" customHeight="1">
      <c r="A2348" s="146" t="inlineStr">
        <is>
          <t>BONUS-L2-PAIR</t>
        </is>
      </c>
      <c r="B2348" s="39" t="inlineStr">
        <is>
          <t>2 уровень</t>
        </is>
      </c>
      <c r="C2348" s="34" t="inlineStr">
        <is>
          <t>Призы не на абонементы</t>
        </is>
      </c>
      <c r="D2348" s="34" t="inlineStr">
        <is>
          <t>Парный старт: закрытая цена на 2 абонемента</t>
        </is>
      </c>
      <c r="E2348" s="34" t="inlineStr">
        <is>
          <t>Покупка двух абонементов при совместном старте с подругой</t>
        </is>
      </c>
      <c r="F2348" s="147" t="inlineStr">
        <is>
          <t>FW-L2-V5FF7-B7HZZ</t>
        </is>
      </c>
      <c r="G2348" s="39" t="inlineStr">
        <is>
          <t>Не использован</t>
        </is>
      </c>
      <c r="H2348" s="148" t="n"/>
      <c r="I2348" s="34" t="str"/>
      <c r="J2348" s="34" t="str"/>
      <c r="K2348" s="130" t="n">
        <v>141</v>
      </c>
      <c r="L2348" s="43">
        <f>IF(COUNTIF($F$5:$F$2407,F2348)=1,"OK","Дубликат")</f>
        <v/>
      </c>
    </row>
    <row r="2349" ht="38" customHeight="1">
      <c r="A2349" s="146" t="inlineStr">
        <is>
          <t>BONUS-L2-PAIR</t>
        </is>
      </c>
      <c r="B2349" s="39" t="inlineStr">
        <is>
          <t>2 уровень</t>
        </is>
      </c>
      <c r="C2349" s="34" t="inlineStr">
        <is>
          <t>Призы не на абонементы</t>
        </is>
      </c>
      <c r="D2349" s="34" t="inlineStr">
        <is>
          <t>Парный старт: закрытая цена на 2 абонемента</t>
        </is>
      </c>
      <c r="E2349" s="34" t="inlineStr">
        <is>
          <t>Покупка двух абонементов при совместном старте с подругой</t>
        </is>
      </c>
      <c r="F2349" s="147" t="inlineStr">
        <is>
          <t>FW-L2-ACUSY-RQDHL</t>
        </is>
      </c>
      <c r="G2349" s="39" t="inlineStr">
        <is>
          <t>Не использован</t>
        </is>
      </c>
      <c r="H2349" s="148" t="n"/>
      <c r="I2349" s="34" t="str"/>
      <c r="J2349" s="34" t="str"/>
      <c r="K2349" s="130" t="n">
        <v>142</v>
      </c>
      <c r="L2349" s="43">
        <f>IF(COUNTIF($F$5:$F$2407,F2349)=1,"OK","Дубликат")</f>
        <v/>
      </c>
    </row>
    <row r="2350" ht="38" customHeight="1">
      <c r="A2350" s="146" t="inlineStr">
        <is>
          <t>BONUS-L2-PAIR</t>
        </is>
      </c>
      <c r="B2350" s="39" t="inlineStr">
        <is>
          <t>2 уровень</t>
        </is>
      </c>
      <c r="C2350" s="34" t="inlineStr">
        <is>
          <t>Призы не на абонементы</t>
        </is>
      </c>
      <c r="D2350" s="34" t="inlineStr">
        <is>
          <t>Парный старт: закрытая цена на 2 абонемента</t>
        </is>
      </c>
      <c r="E2350" s="34" t="inlineStr">
        <is>
          <t>Покупка двух абонементов при совместном старте с подругой</t>
        </is>
      </c>
      <c r="F2350" s="147" t="inlineStr">
        <is>
          <t>FW-L2-98FSR-8SZDV</t>
        </is>
      </c>
      <c r="G2350" s="39" t="inlineStr">
        <is>
          <t>Не использован</t>
        </is>
      </c>
      <c r="H2350" s="148" t="n"/>
      <c r="I2350" s="34" t="str"/>
      <c r="J2350" s="34" t="str"/>
      <c r="K2350" s="130" t="n">
        <v>143</v>
      </c>
      <c r="L2350" s="43">
        <f>IF(COUNTIF($F$5:$F$2407,F2350)=1,"OK","Дубликат")</f>
        <v/>
      </c>
    </row>
    <row r="2351" ht="38" customHeight="1">
      <c r="A2351" s="146" t="inlineStr">
        <is>
          <t>BONUS-L2-PAIR</t>
        </is>
      </c>
      <c r="B2351" s="39" t="inlineStr">
        <is>
          <t>2 уровень</t>
        </is>
      </c>
      <c r="C2351" s="34" t="inlineStr">
        <is>
          <t>Призы не на абонементы</t>
        </is>
      </c>
      <c r="D2351" s="34" t="inlineStr">
        <is>
          <t>Парный старт: закрытая цена на 2 абонемента</t>
        </is>
      </c>
      <c r="E2351" s="34" t="inlineStr">
        <is>
          <t>Покупка двух абонементов при совместном старте с подругой</t>
        </is>
      </c>
      <c r="F2351" s="147" t="inlineStr">
        <is>
          <t>FW-L2-HTNQM-9ZMQM</t>
        </is>
      </c>
      <c r="G2351" s="39" t="inlineStr">
        <is>
          <t>Не использован</t>
        </is>
      </c>
      <c r="H2351" s="148" t="n"/>
      <c r="I2351" s="34" t="str"/>
      <c r="J2351" s="34" t="str"/>
      <c r="K2351" s="130" t="n">
        <v>144</v>
      </c>
      <c r="L2351" s="43">
        <f>IF(COUNTIF($F$5:$F$2407,F2351)=1,"OK","Дубликат")</f>
        <v/>
      </c>
    </row>
    <row r="2352" ht="38" customHeight="1">
      <c r="A2352" s="146" t="inlineStr">
        <is>
          <t>BONUS-L2-PAIR</t>
        </is>
      </c>
      <c r="B2352" s="39" t="inlineStr">
        <is>
          <t>2 уровень</t>
        </is>
      </c>
      <c r="C2352" s="34" t="inlineStr">
        <is>
          <t>Призы не на абонементы</t>
        </is>
      </c>
      <c r="D2352" s="34" t="inlineStr">
        <is>
          <t>Парный старт: закрытая цена на 2 абонемента</t>
        </is>
      </c>
      <c r="E2352" s="34" t="inlineStr">
        <is>
          <t>Покупка двух абонементов при совместном старте с подругой</t>
        </is>
      </c>
      <c r="F2352" s="147" t="inlineStr">
        <is>
          <t>FW-L2-A3ZGG-HZGY3</t>
        </is>
      </c>
      <c r="G2352" s="39" t="inlineStr">
        <is>
          <t>Не использован</t>
        </is>
      </c>
      <c r="H2352" s="148" t="n"/>
      <c r="I2352" s="34" t="str"/>
      <c r="J2352" s="34" t="str"/>
      <c r="K2352" s="130" t="n">
        <v>145</v>
      </c>
      <c r="L2352" s="43">
        <f>IF(COUNTIF($F$5:$F$2407,F2352)=1,"OK","Дубликат")</f>
        <v/>
      </c>
    </row>
    <row r="2353" ht="38" customHeight="1">
      <c r="A2353" s="146" t="inlineStr">
        <is>
          <t>BONUS-L2-PAIR</t>
        </is>
      </c>
      <c r="B2353" s="39" t="inlineStr">
        <is>
          <t>2 уровень</t>
        </is>
      </c>
      <c r="C2353" s="34" t="inlineStr">
        <is>
          <t>Призы не на абонементы</t>
        </is>
      </c>
      <c r="D2353" s="34" t="inlineStr">
        <is>
          <t>Парный старт: закрытая цена на 2 абонемента</t>
        </is>
      </c>
      <c r="E2353" s="34" t="inlineStr">
        <is>
          <t>Покупка двух абонементов при совместном старте с подругой</t>
        </is>
      </c>
      <c r="F2353" s="147" t="inlineStr">
        <is>
          <t>FW-L2-X5FKV-VAQBU</t>
        </is>
      </c>
      <c r="G2353" s="39" t="inlineStr">
        <is>
          <t>Не использован</t>
        </is>
      </c>
      <c r="H2353" s="148" t="n"/>
      <c r="I2353" s="34" t="str"/>
      <c r="J2353" s="34" t="str"/>
      <c r="K2353" s="130" t="n">
        <v>146</v>
      </c>
      <c r="L2353" s="43">
        <f>IF(COUNTIF($F$5:$F$2407,F2353)=1,"OK","Дубликат")</f>
        <v/>
      </c>
    </row>
    <row r="2354" ht="38" customHeight="1">
      <c r="A2354" s="146" t="inlineStr">
        <is>
          <t>BONUS-L2-PAIR</t>
        </is>
      </c>
      <c r="B2354" s="39" t="inlineStr">
        <is>
          <t>2 уровень</t>
        </is>
      </c>
      <c r="C2354" s="34" t="inlineStr">
        <is>
          <t>Призы не на абонементы</t>
        </is>
      </c>
      <c r="D2354" s="34" t="inlineStr">
        <is>
          <t>Парный старт: закрытая цена на 2 абонемента</t>
        </is>
      </c>
      <c r="E2354" s="34" t="inlineStr">
        <is>
          <t>Покупка двух абонементов при совместном старте с подругой</t>
        </is>
      </c>
      <c r="F2354" s="147" t="inlineStr">
        <is>
          <t>FW-L2-WLNTF-AU3W4</t>
        </is>
      </c>
      <c r="G2354" s="39" t="inlineStr">
        <is>
          <t>Не использован</t>
        </is>
      </c>
      <c r="H2354" s="148" t="n"/>
      <c r="I2354" s="34" t="str"/>
      <c r="J2354" s="34" t="str"/>
      <c r="K2354" s="130" t="n">
        <v>147</v>
      </c>
      <c r="L2354" s="43">
        <f>IF(COUNTIF($F$5:$F$2407,F2354)=1,"OK","Дубликат")</f>
        <v/>
      </c>
    </row>
    <row r="2355" ht="38" customHeight="1">
      <c r="A2355" s="146" t="inlineStr">
        <is>
          <t>BONUS-L2-PAIR</t>
        </is>
      </c>
      <c r="B2355" s="39" t="inlineStr">
        <is>
          <t>2 уровень</t>
        </is>
      </c>
      <c r="C2355" s="34" t="inlineStr">
        <is>
          <t>Призы не на абонементы</t>
        </is>
      </c>
      <c r="D2355" s="34" t="inlineStr">
        <is>
          <t>Парный старт: закрытая цена на 2 абонемента</t>
        </is>
      </c>
      <c r="E2355" s="34" t="inlineStr">
        <is>
          <t>Покупка двух абонементов при совместном старте с подругой</t>
        </is>
      </c>
      <c r="F2355" s="147" t="inlineStr">
        <is>
          <t>FW-L2-PXBKP-JCR9U</t>
        </is>
      </c>
      <c r="G2355" s="39" t="inlineStr">
        <is>
          <t>Не использован</t>
        </is>
      </c>
      <c r="H2355" s="148" t="n"/>
      <c r="I2355" s="34" t="str"/>
      <c r="J2355" s="34" t="str"/>
      <c r="K2355" s="130" t="n">
        <v>148</v>
      </c>
      <c r="L2355" s="43">
        <f>IF(COUNTIF($F$5:$F$2407,F2355)=1,"OK","Дубликат")</f>
        <v/>
      </c>
    </row>
    <row r="2356" ht="38" customHeight="1">
      <c r="A2356" s="146" t="inlineStr">
        <is>
          <t>BONUS-L2-PAIR</t>
        </is>
      </c>
      <c r="B2356" s="39" t="inlineStr">
        <is>
          <t>2 уровень</t>
        </is>
      </c>
      <c r="C2356" s="34" t="inlineStr">
        <is>
          <t>Призы не на абонементы</t>
        </is>
      </c>
      <c r="D2356" s="34" t="inlineStr">
        <is>
          <t>Парный старт: закрытая цена на 2 абонемента</t>
        </is>
      </c>
      <c r="E2356" s="34" t="inlineStr">
        <is>
          <t>Покупка двух абонементов при совместном старте с подругой</t>
        </is>
      </c>
      <c r="F2356" s="147" t="inlineStr">
        <is>
          <t>FW-L2-MPNMP-3D9MY</t>
        </is>
      </c>
      <c r="G2356" s="39" t="inlineStr">
        <is>
          <t>Не использован</t>
        </is>
      </c>
      <c r="H2356" s="148" t="n"/>
      <c r="I2356" s="34" t="str"/>
      <c r="J2356" s="34" t="str"/>
      <c r="K2356" s="130" t="n">
        <v>149</v>
      </c>
      <c r="L2356" s="43">
        <f>IF(COUNTIF($F$5:$F$2407,F2356)=1,"OK","Дубликат")</f>
        <v/>
      </c>
    </row>
    <row r="2357" ht="38" customHeight="1">
      <c r="A2357" s="146" t="inlineStr">
        <is>
          <t>BONUS-L2-PAIR</t>
        </is>
      </c>
      <c r="B2357" s="39" t="inlineStr">
        <is>
          <t>2 уровень</t>
        </is>
      </c>
      <c r="C2357" s="34" t="inlineStr">
        <is>
          <t>Призы не на абонементы</t>
        </is>
      </c>
      <c r="D2357" s="34" t="inlineStr">
        <is>
          <t>Парный старт: закрытая цена на 2 абонемента</t>
        </is>
      </c>
      <c r="E2357" s="34" t="inlineStr">
        <is>
          <t>Покупка двух абонементов при совместном старте с подругой</t>
        </is>
      </c>
      <c r="F2357" s="147" t="inlineStr">
        <is>
          <t>FW-L2-8SP8B-P2EQ7</t>
        </is>
      </c>
      <c r="G2357" s="39" t="inlineStr">
        <is>
          <t>Не использован</t>
        </is>
      </c>
      <c r="H2357" s="148" t="n"/>
      <c r="I2357" s="34" t="str"/>
      <c r="J2357" s="34" t="str"/>
      <c r="K2357" s="130" t="n">
        <v>150</v>
      </c>
      <c r="L2357" s="43">
        <f>IF(COUNTIF($F$5:$F$2407,F2357)=1,"OK","Дубликат")</f>
        <v/>
      </c>
    </row>
    <row r="2358" ht="38" customHeight="1">
      <c r="A2358" s="146" t="inlineStr">
        <is>
          <t>BONUS-L2-PAIR</t>
        </is>
      </c>
      <c r="B2358" s="39" t="inlineStr">
        <is>
          <t>2 уровень</t>
        </is>
      </c>
      <c r="C2358" s="34" t="inlineStr">
        <is>
          <t>Призы не на абонементы</t>
        </is>
      </c>
      <c r="D2358" s="34" t="inlineStr">
        <is>
          <t>Парный старт: закрытая цена на 2 абонемента</t>
        </is>
      </c>
      <c r="E2358" s="34" t="inlineStr">
        <is>
          <t>Покупка двух абонементов при совместном старте с подругой</t>
        </is>
      </c>
      <c r="F2358" s="147" t="inlineStr">
        <is>
          <t>FW-L2-ZAU4B-TREM2</t>
        </is>
      </c>
      <c r="G2358" s="39" t="inlineStr">
        <is>
          <t>Не использован</t>
        </is>
      </c>
      <c r="H2358" s="148" t="n"/>
      <c r="I2358" s="34" t="str"/>
      <c r="J2358" s="34" t="str"/>
      <c r="K2358" s="130" t="n">
        <v>151</v>
      </c>
      <c r="L2358" s="43">
        <f>IF(COUNTIF($F$5:$F$2407,F2358)=1,"OK","Дубликат")</f>
        <v/>
      </c>
    </row>
    <row r="2359" ht="38" customHeight="1">
      <c r="A2359" s="146" t="inlineStr">
        <is>
          <t>BONUS-L2-PAIR</t>
        </is>
      </c>
      <c r="B2359" s="39" t="inlineStr">
        <is>
          <t>2 уровень</t>
        </is>
      </c>
      <c r="C2359" s="34" t="inlineStr">
        <is>
          <t>Призы не на абонементы</t>
        </is>
      </c>
      <c r="D2359" s="34" t="inlineStr">
        <is>
          <t>Парный старт: закрытая цена на 2 абонемента</t>
        </is>
      </c>
      <c r="E2359" s="34" t="inlineStr">
        <is>
          <t>Покупка двух абонементов при совместном старте с подругой</t>
        </is>
      </c>
      <c r="F2359" s="147" t="inlineStr">
        <is>
          <t>FW-L2-JCPF5-JMRUG</t>
        </is>
      </c>
      <c r="G2359" s="39" t="inlineStr">
        <is>
          <t>Не использован</t>
        </is>
      </c>
      <c r="H2359" s="148" t="n"/>
      <c r="I2359" s="34" t="str"/>
      <c r="J2359" s="34" t="str"/>
      <c r="K2359" s="130" t="n">
        <v>152</v>
      </c>
      <c r="L2359" s="43">
        <f>IF(COUNTIF($F$5:$F$2407,F2359)=1,"OK","Дубликат")</f>
        <v/>
      </c>
    </row>
    <row r="2360" ht="38" customHeight="1">
      <c r="A2360" s="146" t="inlineStr">
        <is>
          <t>BONUS-L2-PAIR</t>
        </is>
      </c>
      <c r="B2360" s="39" t="inlineStr">
        <is>
          <t>2 уровень</t>
        </is>
      </c>
      <c r="C2360" s="34" t="inlineStr">
        <is>
          <t>Призы не на абонементы</t>
        </is>
      </c>
      <c r="D2360" s="34" t="inlineStr">
        <is>
          <t>Парный старт: закрытая цена на 2 абонемента</t>
        </is>
      </c>
      <c r="E2360" s="34" t="inlineStr">
        <is>
          <t>Покупка двух абонементов при совместном старте с подругой</t>
        </is>
      </c>
      <c r="F2360" s="147" t="inlineStr">
        <is>
          <t>FW-L2-7E5EM-PNFVG</t>
        </is>
      </c>
      <c r="G2360" s="39" t="inlineStr">
        <is>
          <t>Не использован</t>
        </is>
      </c>
      <c r="H2360" s="148" t="n"/>
      <c r="I2360" s="34" t="str"/>
      <c r="J2360" s="34" t="str"/>
      <c r="K2360" s="130" t="n">
        <v>153</v>
      </c>
      <c r="L2360" s="43">
        <f>IF(COUNTIF($F$5:$F$2407,F2360)=1,"OK","Дубликат")</f>
        <v/>
      </c>
    </row>
    <row r="2361" ht="38" customHeight="1">
      <c r="A2361" s="146" t="inlineStr">
        <is>
          <t>BONUS-L2-PAIR</t>
        </is>
      </c>
      <c r="B2361" s="39" t="inlineStr">
        <is>
          <t>2 уровень</t>
        </is>
      </c>
      <c r="C2361" s="34" t="inlineStr">
        <is>
          <t>Призы не на абонементы</t>
        </is>
      </c>
      <c r="D2361" s="34" t="inlineStr">
        <is>
          <t>Парный старт: закрытая цена на 2 абонемента</t>
        </is>
      </c>
      <c r="E2361" s="34" t="inlineStr">
        <is>
          <t>Покупка двух абонементов при совместном старте с подругой</t>
        </is>
      </c>
      <c r="F2361" s="147" t="inlineStr">
        <is>
          <t>FW-L2-W9TC8-4XDZH</t>
        </is>
      </c>
      <c r="G2361" s="39" t="inlineStr">
        <is>
          <t>Не использован</t>
        </is>
      </c>
      <c r="H2361" s="148" t="n"/>
      <c r="I2361" s="34" t="str"/>
      <c r="J2361" s="34" t="str"/>
      <c r="K2361" s="130" t="n">
        <v>154</v>
      </c>
      <c r="L2361" s="43">
        <f>IF(COUNTIF($F$5:$F$2407,F2361)=1,"OK","Дубликат")</f>
        <v/>
      </c>
    </row>
    <row r="2362" ht="38" customHeight="1">
      <c r="A2362" s="146" t="inlineStr">
        <is>
          <t>BONUS-L2-PAIR</t>
        </is>
      </c>
      <c r="B2362" s="39" t="inlineStr">
        <is>
          <t>2 уровень</t>
        </is>
      </c>
      <c r="C2362" s="34" t="inlineStr">
        <is>
          <t>Призы не на абонементы</t>
        </is>
      </c>
      <c r="D2362" s="34" t="inlineStr">
        <is>
          <t>Парный старт: закрытая цена на 2 абонемента</t>
        </is>
      </c>
      <c r="E2362" s="34" t="inlineStr">
        <is>
          <t>Покупка двух абонементов при совместном старте с подругой</t>
        </is>
      </c>
      <c r="F2362" s="147" t="inlineStr">
        <is>
          <t>FW-L2-HTDTE-LFFQW</t>
        </is>
      </c>
      <c r="G2362" s="39" t="inlineStr">
        <is>
          <t>Не использован</t>
        </is>
      </c>
      <c r="H2362" s="148" t="n"/>
      <c r="I2362" s="34" t="str"/>
      <c r="J2362" s="34" t="str"/>
      <c r="K2362" s="130" t="n">
        <v>155</v>
      </c>
      <c r="L2362" s="43">
        <f>IF(COUNTIF($F$5:$F$2407,F2362)=1,"OK","Дубликат")</f>
        <v/>
      </c>
    </row>
    <row r="2363" ht="38" customHeight="1">
      <c r="A2363" s="146" t="inlineStr">
        <is>
          <t>BONUS-L2-PAIR</t>
        </is>
      </c>
      <c r="B2363" s="39" t="inlineStr">
        <is>
          <t>2 уровень</t>
        </is>
      </c>
      <c r="C2363" s="34" t="inlineStr">
        <is>
          <t>Призы не на абонементы</t>
        </is>
      </c>
      <c r="D2363" s="34" t="inlineStr">
        <is>
          <t>Парный старт: закрытая цена на 2 абонемента</t>
        </is>
      </c>
      <c r="E2363" s="34" t="inlineStr">
        <is>
          <t>Покупка двух абонементов при совместном старте с подругой</t>
        </is>
      </c>
      <c r="F2363" s="147" t="inlineStr">
        <is>
          <t>FW-L2-4JWRU-99Q9L</t>
        </is>
      </c>
      <c r="G2363" s="39" t="inlineStr">
        <is>
          <t>Не использован</t>
        </is>
      </c>
      <c r="H2363" s="148" t="n"/>
      <c r="I2363" s="34" t="str"/>
      <c r="J2363" s="34" t="str"/>
      <c r="K2363" s="130" t="n">
        <v>156</v>
      </c>
      <c r="L2363" s="43">
        <f>IF(COUNTIF($F$5:$F$2407,F2363)=1,"OK","Дубликат")</f>
        <v/>
      </c>
    </row>
    <row r="2364" ht="38" customHeight="1">
      <c r="A2364" s="146" t="inlineStr">
        <is>
          <t>BONUS-L2-PAIR</t>
        </is>
      </c>
      <c r="B2364" s="39" t="inlineStr">
        <is>
          <t>2 уровень</t>
        </is>
      </c>
      <c r="C2364" s="34" t="inlineStr">
        <is>
          <t>Призы не на абонементы</t>
        </is>
      </c>
      <c r="D2364" s="34" t="inlineStr">
        <is>
          <t>Парный старт: закрытая цена на 2 абонемента</t>
        </is>
      </c>
      <c r="E2364" s="34" t="inlineStr">
        <is>
          <t>Покупка двух абонементов при совместном старте с подругой</t>
        </is>
      </c>
      <c r="F2364" s="147" t="inlineStr">
        <is>
          <t>FW-L2-SWQH3-WG2B8</t>
        </is>
      </c>
      <c r="G2364" s="39" t="inlineStr">
        <is>
          <t>Не использован</t>
        </is>
      </c>
      <c r="H2364" s="148" t="n"/>
      <c r="I2364" s="34" t="str"/>
      <c r="J2364" s="34" t="str"/>
      <c r="K2364" s="130" t="n">
        <v>157</v>
      </c>
      <c r="L2364" s="43">
        <f>IF(COUNTIF($F$5:$F$2407,F2364)=1,"OK","Дубликат")</f>
        <v/>
      </c>
    </row>
    <row r="2365" ht="38" customHeight="1">
      <c r="A2365" s="146" t="inlineStr">
        <is>
          <t>BONUS-L2-PAIR</t>
        </is>
      </c>
      <c r="B2365" s="39" t="inlineStr">
        <is>
          <t>2 уровень</t>
        </is>
      </c>
      <c r="C2365" s="34" t="inlineStr">
        <is>
          <t>Призы не на абонементы</t>
        </is>
      </c>
      <c r="D2365" s="34" t="inlineStr">
        <is>
          <t>Парный старт: закрытая цена на 2 абонемента</t>
        </is>
      </c>
      <c r="E2365" s="34" t="inlineStr">
        <is>
          <t>Покупка двух абонементов при совместном старте с подругой</t>
        </is>
      </c>
      <c r="F2365" s="147" t="inlineStr">
        <is>
          <t>FW-L2-RWLXZ-Q4QWV</t>
        </is>
      </c>
      <c r="G2365" s="39" t="inlineStr">
        <is>
          <t>Не использован</t>
        </is>
      </c>
      <c r="H2365" s="148" t="n"/>
      <c r="I2365" s="34" t="str"/>
      <c r="J2365" s="34" t="str"/>
      <c r="K2365" s="130" t="n">
        <v>158</v>
      </c>
      <c r="L2365" s="43">
        <f>IF(COUNTIF($F$5:$F$2407,F2365)=1,"OK","Дубликат")</f>
        <v/>
      </c>
    </row>
    <row r="2366" ht="38" customHeight="1">
      <c r="A2366" s="146" t="inlineStr">
        <is>
          <t>BONUS-L2-PAIR</t>
        </is>
      </c>
      <c r="B2366" s="39" t="inlineStr">
        <is>
          <t>2 уровень</t>
        </is>
      </c>
      <c r="C2366" s="34" t="inlineStr">
        <is>
          <t>Призы не на абонементы</t>
        </is>
      </c>
      <c r="D2366" s="34" t="inlineStr">
        <is>
          <t>Парный старт: закрытая цена на 2 абонемента</t>
        </is>
      </c>
      <c r="E2366" s="34" t="inlineStr">
        <is>
          <t>Покупка двух абонементов при совместном старте с подругой</t>
        </is>
      </c>
      <c r="F2366" s="147" t="inlineStr">
        <is>
          <t>FW-L2-7TPY7-R5BXH</t>
        </is>
      </c>
      <c r="G2366" s="39" t="inlineStr">
        <is>
          <t>Не использован</t>
        </is>
      </c>
      <c r="H2366" s="148" t="n"/>
      <c r="I2366" s="34" t="str"/>
      <c r="J2366" s="34" t="str"/>
      <c r="K2366" s="130" t="n">
        <v>159</v>
      </c>
      <c r="L2366" s="43">
        <f>IF(COUNTIF($F$5:$F$2407,F2366)=1,"OK","Дубликат")</f>
        <v/>
      </c>
    </row>
    <row r="2367" ht="38" customHeight="1">
      <c r="A2367" s="146" t="inlineStr">
        <is>
          <t>BONUS-L2-PAIR</t>
        </is>
      </c>
      <c r="B2367" s="39" t="inlineStr">
        <is>
          <t>2 уровень</t>
        </is>
      </c>
      <c r="C2367" s="34" t="inlineStr">
        <is>
          <t>Призы не на абонементы</t>
        </is>
      </c>
      <c r="D2367" s="34" t="inlineStr">
        <is>
          <t>Парный старт: закрытая цена на 2 абонемента</t>
        </is>
      </c>
      <c r="E2367" s="34" t="inlineStr">
        <is>
          <t>Покупка двух абонементов при совместном старте с подругой</t>
        </is>
      </c>
      <c r="F2367" s="147" t="inlineStr">
        <is>
          <t>FW-L2-2R2E5-967NK</t>
        </is>
      </c>
      <c r="G2367" s="39" t="inlineStr">
        <is>
          <t>Не использован</t>
        </is>
      </c>
      <c r="H2367" s="148" t="n"/>
      <c r="I2367" s="34" t="str"/>
      <c r="J2367" s="34" t="str"/>
      <c r="K2367" s="130" t="n">
        <v>160</v>
      </c>
      <c r="L2367" s="43">
        <f>IF(COUNTIF($F$5:$F$2407,F2367)=1,"OK","Дубликат")</f>
        <v/>
      </c>
    </row>
    <row r="2368" ht="38" customHeight="1">
      <c r="A2368" s="146" t="inlineStr">
        <is>
          <t>BONUS-L2-PAIR</t>
        </is>
      </c>
      <c r="B2368" s="39" t="inlineStr">
        <is>
          <t>2 уровень</t>
        </is>
      </c>
      <c r="C2368" s="34" t="inlineStr">
        <is>
          <t>Призы не на абонементы</t>
        </is>
      </c>
      <c r="D2368" s="34" t="inlineStr">
        <is>
          <t>Парный старт: закрытая цена на 2 абонемента</t>
        </is>
      </c>
      <c r="E2368" s="34" t="inlineStr">
        <is>
          <t>Покупка двух абонементов при совместном старте с подругой</t>
        </is>
      </c>
      <c r="F2368" s="147" t="inlineStr">
        <is>
          <t>FW-L2-UY3V9-SCSVD</t>
        </is>
      </c>
      <c r="G2368" s="39" t="inlineStr">
        <is>
          <t>Не использован</t>
        </is>
      </c>
      <c r="H2368" s="148" t="n"/>
      <c r="I2368" s="34" t="str"/>
      <c r="J2368" s="34" t="str"/>
      <c r="K2368" s="130" t="n">
        <v>161</v>
      </c>
      <c r="L2368" s="43">
        <f>IF(COUNTIF($F$5:$F$2407,F2368)=1,"OK","Дубликат")</f>
        <v/>
      </c>
    </row>
    <row r="2369" ht="38" customHeight="1">
      <c r="A2369" s="146" t="inlineStr">
        <is>
          <t>BONUS-L2-PAIR</t>
        </is>
      </c>
      <c r="B2369" s="39" t="inlineStr">
        <is>
          <t>2 уровень</t>
        </is>
      </c>
      <c r="C2369" s="34" t="inlineStr">
        <is>
          <t>Призы не на абонементы</t>
        </is>
      </c>
      <c r="D2369" s="34" t="inlineStr">
        <is>
          <t>Парный старт: закрытая цена на 2 абонемента</t>
        </is>
      </c>
      <c r="E2369" s="34" t="inlineStr">
        <is>
          <t>Покупка двух абонементов при совместном старте с подругой</t>
        </is>
      </c>
      <c r="F2369" s="147" t="inlineStr">
        <is>
          <t>FW-L2-NHXVS-E7GBP</t>
        </is>
      </c>
      <c r="G2369" s="39" t="inlineStr">
        <is>
          <t>Не использован</t>
        </is>
      </c>
      <c r="H2369" s="148" t="n"/>
      <c r="I2369" s="34" t="str"/>
      <c r="J2369" s="34" t="str"/>
      <c r="K2369" s="130" t="n">
        <v>162</v>
      </c>
      <c r="L2369" s="43">
        <f>IF(COUNTIF($F$5:$F$2407,F2369)=1,"OK","Дубликат")</f>
        <v/>
      </c>
    </row>
    <row r="2370" ht="38" customHeight="1">
      <c r="A2370" s="146" t="inlineStr">
        <is>
          <t>BONUS-L2-PAIR</t>
        </is>
      </c>
      <c r="B2370" s="39" t="inlineStr">
        <is>
          <t>2 уровень</t>
        </is>
      </c>
      <c r="C2370" s="34" t="inlineStr">
        <is>
          <t>Призы не на абонементы</t>
        </is>
      </c>
      <c r="D2370" s="34" t="inlineStr">
        <is>
          <t>Парный старт: закрытая цена на 2 абонемента</t>
        </is>
      </c>
      <c r="E2370" s="34" t="inlineStr">
        <is>
          <t>Покупка двух абонементов при совместном старте с подругой</t>
        </is>
      </c>
      <c r="F2370" s="147" t="inlineStr">
        <is>
          <t>FW-L2-7JG5A-EEG3P</t>
        </is>
      </c>
      <c r="G2370" s="39" t="inlineStr">
        <is>
          <t>Не использован</t>
        </is>
      </c>
      <c r="H2370" s="148" t="n"/>
      <c r="I2370" s="34" t="str"/>
      <c r="J2370" s="34" t="str"/>
      <c r="K2370" s="130" t="n">
        <v>163</v>
      </c>
      <c r="L2370" s="43">
        <f>IF(COUNTIF($F$5:$F$2407,F2370)=1,"OK","Дубликат")</f>
        <v/>
      </c>
    </row>
    <row r="2371" ht="38" customHeight="1">
      <c r="A2371" s="146" t="inlineStr">
        <is>
          <t>BONUS-L2-PAIR</t>
        </is>
      </c>
      <c r="B2371" s="39" t="inlineStr">
        <is>
          <t>2 уровень</t>
        </is>
      </c>
      <c r="C2371" s="34" t="inlineStr">
        <is>
          <t>Призы не на абонементы</t>
        </is>
      </c>
      <c r="D2371" s="34" t="inlineStr">
        <is>
          <t>Парный старт: закрытая цена на 2 абонемента</t>
        </is>
      </c>
      <c r="E2371" s="34" t="inlineStr">
        <is>
          <t>Покупка двух абонементов при совместном старте с подругой</t>
        </is>
      </c>
      <c r="F2371" s="147" t="inlineStr">
        <is>
          <t>FW-L2-DMH8U-TZU2L</t>
        </is>
      </c>
      <c r="G2371" s="39" t="inlineStr">
        <is>
          <t>Не использован</t>
        </is>
      </c>
      <c r="H2371" s="148" t="n"/>
      <c r="I2371" s="34" t="str"/>
      <c r="J2371" s="34" t="str"/>
      <c r="K2371" s="130" t="n">
        <v>164</v>
      </c>
      <c r="L2371" s="43">
        <f>IF(COUNTIF($F$5:$F$2407,F2371)=1,"OK","Дубликат")</f>
        <v/>
      </c>
    </row>
    <row r="2372" ht="38" customHeight="1">
      <c r="A2372" s="146" t="inlineStr">
        <is>
          <t>BONUS-L2-PAIR</t>
        </is>
      </c>
      <c r="B2372" s="39" t="inlineStr">
        <is>
          <t>2 уровень</t>
        </is>
      </c>
      <c r="C2372" s="34" t="inlineStr">
        <is>
          <t>Призы не на абонементы</t>
        </is>
      </c>
      <c r="D2372" s="34" t="inlineStr">
        <is>
          <t>Парный старт: закрытая цена на 2 абонемента</t>
        </is>
      </c>
      <c r="E2372" s="34" t="inlineStr">
        <is>
          <t>Покупка двух абонементов при совместном старте с подругой</t>
        </is>
      </c>
      <c r="F2372" s="147" t="inlineStr">
        <is>
          <t>FW-L2-XHBUL-PJ8ER</t>
        </is>
      </c>
      <c r="G2372" s="39" t="inlineStr">
        <is>
          <t>Не использован</t>
        </is>
      </c>
      <c r="H2372" s="148" t="n"/>
      <c r="I2372" s="34" t="str"/>
      <c r="J2372" s="34" t="str"/>
      <c r="K2372" s="130" t="n">
        <v>165</v>
      </c>
      <c r="L2372" s="43">
        <f>IF(COUNTIF($F$5:$F$2407,F2372)=1,"OK","Дубликат")</f>
        <v/>
      </c>
    </row>
    <row r="2373" ht="38" customHeight="1">
      <c r="A2373" s="146" t="inlineStr">
        <is>
          <t>BONUS-L2-PAIR</t>
        </is>
      </c>
      <c r="B2373" s="39" t="inlineStr">
        <is>
          <t>2 уровень</t>
        </is>
      </c>
      <c r="C2373" s="34" t="inlineStr">
        <is>
          <t>Призы не на абонементы</t>
        </is>
      </c>
      <c r="D2373" s="34" t="inlineStr">
        <is>
          <t>Парный старт: закрытая цена на 2 абонемента</t>
        </is>
      </c>
      <c r="E2373" s="34" t="inlineStr">
        <is>
          <t>Покупка двух абонементов при совместном старте с подругой</t>
        </is>
      </c>
      <c r="F2373" s="147" t="inlineStr">
        <is>
          <t>FW-L2-M7CZW-NRMM9</t>
        </is>
      </c>
      <c r="G2373" s="39" t="inlineStr">
        <is>
          <t>Не использован</t>
        </is>
      </c>
      <c r="H2373" s="148" t="n"/>
      <c r="I2373" s="34" t="str"/>
      <c r="J2373" s="34" t="str"/>
      <c r="K2373" s="130" t="n">
        <v>166</v>
      </c>
      <c r="L2373" s="43">
        <f>IF(COUNTIF($F$5:$F$2407,F2373)=1,"OK","Дубликат")</f>
        <v/>
      </c>
    </row>
    <row r="2374" ht="38" customHeight="1">
      <c r="A2374" s="146" t="inlineStr">
        <is>
          <t>BONUS-L2-PAIR</t>
        </is>
      </c>
      <c r="B2374" s="39" t="inlineStr">
        <is>
          <t>2 уровень</t>
        </is>
      </c>
      <c r="C2374" s="34" t="inlineStr">
        <is>
          <t>Призы не на абонементы</t>
        </is>
      </c>
      <c r="D2374" s="34" t="inlineStr">
        <is>
          <t>Парный старт: закрытая цена на 2 абонемента</t>
        </is>
      </c>
      <c r="E2374" s="34" t="inlineStr">
        <is>
          <t>Покупка двух абонементов при совместном старте с подругой</t>
        </is>
      </c>
      <c r="F2374" s="147" t="inlineStr">
        <is>
          <t>FW-L2-9FJK7-WDFZH</t>
        </is>
      </c>
      <c r="G2374" s="39" t="inlineStr">
        <is>
          <t>Не использован</t>
        </is>
      </c>
      <c r="H2374" s="148" t="n"/>
      <c r="I2374" s="34" t="str"/>
      <c r="J2374" s="34" t="str"/>
      <c r="K2374" s="130" t="n">
        <v>167</v>
      </c>
      <c r="L2374" s="43">
        <f>IF(COUNTIF($F$5:$F$2407,F2374)=1,"OK","Дубликат")</f>
        <v/>
      </c>
    </row>
    <row r="2375" ht="38" customHeight="1">
      <c r="A2375" s="146" t="inlineStr">
        <is>
          <t>BONUS-L2-PAIR</t>
        </is>
      </c>
      <c r="B2375" s="39" t="inlineStr">
        <is>
          <t>2 уровень</t>
        </is>
      </c>
      <c r="C2375" s="34" t="inlineStr">
        <is>
          <t>Призы не на абонементы</t>
        </is>
      </c>
      <c r="D2375" s="34" t="inlineStr">
        <is>
          <t>Парный старт: закрытая цена на 2 абонемента</t>
        </is>
      </c>
      <c r="E2375" s="34" t="inlineStr">
        <is>
          <t>Покупка двух абонементов при совместном старте с подругой</t>
        </is>
      </c>
      <c r="F2375" s="147" t="inlineStr">
        <is>
          <t>FW-L2-PQBKJ-KMJY7</t>
        </is>
      </c>
      <c r="G2375" s="39" t="inlineStr">
        <is>
          <t>Не использован</t>
        </is>
      </c>
      <c r="H2375" s="148" t="n"/>
      <c r="I2375" s="34" t="str"/>
      <c r="J2375" s="34" t="str"/>
      <c r="K2375" s="130" t="n">
        <v>168</v>
      </c>
      <c r="L2375" s="43">
        <f>IF(COUNTIF($F$5:$F$2407,F2375)=1,"OK","Дубликат")</f>
        <v/>
      </c>
    </row>
    <row r="2376" ht="38" customHeight="1">
      <c r="A2376" s="146" t="inlineStr">
        <is>
          <t>BONUS-L2-PAIR</t>
        </is>
      </c>
      <c r="B2376" s="39" t="inlineStr">
        <is>
          <t>2 уровень</t>
        </is>
      </c>
      <c r="C2376" s="34" t="inlineStr">
        <is>
          <t>Призы не на абонементы</t>
        </is>
      </c>
      <c r="D2376" s="34" t="inlineStr">
        <is>
          <t>Парный старт: закрытая цена на 2 абонемента</t>
        </is>
      </c>
      <c r="E2376" s="34" t="inlineStr">
        <is>
          <t>Покупка двух абонементов при совместном старте с подругой</t>
        </is>
      </c>
      <c r="F2376" s="147" t="inlineStr">
        <is>
          <t>FW-L2-DWP39-XMXZA</t>
        </is>
      </c>
      <c r="G2376" s="39" t="inlineStr">
        <is>
          <t>Не использован</t>
        </is>
      </c>
      <c r="H2376" s="148" t="n"/>
      <c r="I2376" s="34" t="str"/>
      <c r="J2376" s="34" t="str"/>
      <c r="K2376" s="130" t="n">
        <v>169</v>
      </c>
      <c r="L2376" s="43">
        <f>IF(COUNTIF($F$5:$F$2407,F2376)=1,"OK","Дубликат")</f>
        <v/>
      </c>
    </row>
    <row r="2377" ht="38" customHeight="1">
      <c r="A2377" s="146" t="inlineStr">
        <is>
          <t>BONUS-L2-PAIR</t>
        </is>
      </c>
      <c r="B2377" s="39" t="inlineStr">
        <is>
          <t>2 уровень</t>
        </is>
      </c>
      <c r="C2377" s="34" t="inlineStr">
        <is>
          <t>Призы не на абонементы</t>
        </is>
      </c>
      <c r="D2377" s="34" t="inlineStr">
        <is>
          <t>Парный старт: закрытая цена на 2 абонемента</t>
        </is>
      </c>
      <c r="E2377" s="34" t="inlineStr">
        <is>
          <t>Покупка двух абонементов при совместном старте с подругой</t>
        </is>
      </c>
      <c r="F2377" s="147" t="inlineStr">
        <is>
          <t>FW-L2-MG8W8-9BHQC</t>
        </is>
      </c>
      <c r="G2377" s="39" t="inlineStr">
        <is>
          <t>Не использован</t>
        </is>
      </c>
      <c r="H2377" s="148" t="n"/>
      <c r="I2377" s="34" t="str"/>
      <c r="J2377" s="34" t="str"/>
      <c r="K2377" s="130" t="n">
        <v>170</v>
      </c>
      <c r="L2377" s="43">
        <f>IF(COUNTIF($F$5:$F$2407,F2377)=1,"OK","Дубликат")</f>
        <v/>
      </c>
    </row>
    <row r="2378" ht="38" customHeight="1">
      <c r="A2378" s="146" t="inlineStr">
        <is>
          <t>BONUS-L2-PAIR</t>
        </is>
      </c>
      <c r="B2378" s="39" t="inlineStr">
        <is>
          <t>2 уровень</t>
        </is>
      </c>
      <c r="C2378" s="34" t="inlineStr">
        <is>
          <t>Призы не на абонементы</t>
        </is>
      </c>
      <c r="D2378" s="34" t="inlineStr">
        <is>
          <t>Парный старт: закрытая цена на 2 абонемента</t>
        </is>
      </c>
      <c r="E2378" s="34" t="inlineStr">
        <is>
          <t>Покупка двух абонементов при совместном старте с подругой</t>
        </is>
      </c>
      <c r="F2378" s="147" t="inlineStr">
        <is>
          <t>FW-L2-GLGZS-9ZKZ5</t>
        </is>
      </c>
      <c r="G2378" s="39" t="inlineStr">
        <is>
          <t>Не использован</t>
        </is>
      </c>
      <c r="H2378" s="148" t="n"/>
      <c r="I2378" s="34" t="str"/>
      <c r="J2378" s="34" t="str"/>
      <c r="K2378" s="130" t="n">
        <v>171</v>
      </c>
      <c r="L2378" s="43">
        <f>IF(COUNTIF($F$5:$F$2407,F2378)=1,"OK","Дубликат")</f>
        <v/>
      </c>
    </row>
    <row r="2379" ht="38" customHeight="1">
      <c r="A2379" s="146" t="inlineStr">
        <is>
          <t>BONUS-L2-PAIR</t>
        </is>
      </c>
      <c r="B2379" s="39" t="inlineStr">
        <is>
          <t>2 уровень</t>
        </is>
      </c>
      <c r="C2379" s="34" t="inlineStr">
        <is>
          <t>Призы не на абонементы</t>
        </is>
      </c>
      <c r="D2379" s="34" t="inlineStr">
        <is>
          <t>Парный старт: закрытая цена на 2 абонемента</t>
        </is>
      </c>
      <c r="E2379" s="34" t="inlineStr">
        <is>
          <t>Покупка двух абонементов при совместном старте с подругой</t>
        </is>
      </c>
      <c r="F2379" s="147" t="inlineStr">
        <is>
          <t>FW-L2-FNY9A-BZ4CY</t>
        </is>
      </c>
      <c r="G2379" s="39" t="inlineStr">
        <is>
          <t>Не использован</t>
        </is>
      </c>
      <c r="H2379" s="148" t="n"/>
      <c r="I2379" s="34" t="str"/>
      <c r="J2379" s="34" t="str"/>
      <c r="K2379" s="130" t="n">
        <v>172</v>
      </c>
      <c r="L2379" s="43">
        <f>IF(COUNTIF($F$5:$F$2407,F2379)=1,"OK","Дубликат")</f>
        <v/>
      </c>
    </row>
    <row r="2380" ht="38" customHeight="1">
      <c r="A2380" s="146" t="inlineStr">
        <is>
          <t>BONUS-L2-PAIR</t>
        </is>
      </c>
      <c r="B2380" s="39" t="inlineStr">
        <is>
          <t>2 уровень</t>
        </is>
      </c>
      <c r="C2380" s="34" t="inlineStr">
        <is>
          <t>Призы не на абонементы</t>
        </is>
      </c>
      <c r="D2380" s="34" t="inlineStr">
        <is>
          <t>Парный старт: закрытая цена на 2 абонемента</t>
        </is>
      </c>
      <c r="E2380" s="34" t="inlineStr">
        <is>
          <t>Покупка двух абонементов при совместном старте с подругой</t>
        </is>
      </c>
      <c r="F2380" s="147" t="inlineStr">
        <is>
          <t>FW-L2-4XEUK-N53VW</t>
        </is>
      </c>
      <c r="G2380" s="39" t="inlineStr">
        <is>
          <t>Не использован</t>
        </is>
      </c>
      <c r="H2380" s="148" t="n"/>
      <c r="I2380" s="34" t="str"/>
      <c r="J2380" s="34" t="str"/>
      <c r="K2380" s="130" t="n">
        <v>173</v>
      </c>
      <c r="L2380" s="43">
        <f>IF(COUNTIF($F$5:$F$2407,F2380)=1,"OK","Дубликат")</f>
        <v/>
      </c>
    </row>
    <row r="2381" ht="38" customHeight="1">
      <c r="A2381" s="146" t="inlineStr">
        <is>
          <t>BONUS-L2-PAIR</t>
        </is>
      </c>
      <c r="B2381" s="39" t="inlineStr">
        <is>
          <t>2 уровень</t>
        </is>
      </c>
      <c r="C2381" s="34" t="inlineStr">
        <is>
          <t>Призы не на абонементы</t>
        </is>
      </c>
      <c r="D2381" s="34" t="inlineStr">
        <is>
          <t>Парный старт: закрытая цена на 2 абонемента</t>
        </is>
      </c>
      <c r="E2381" s="34" t="inlineStr">
        <is>
          <t>Покупка двух абонементов при совместном старте с подругой</t>
        </is>
      </c>
      <c r="F2381" s="147" t="inlineStr">
        <is>
          <t>FW-L2-C8R5M-NCV5H</t>
        </is>
      </c>
      <c r="G2381" s="39" t="inlineStr">
        <is>
          <t>Не использован</t>
        </is>
      </c>
      <c r="H2381" s="148" t="n"/>
      <c r="I2381" s="34" t="str"/>
      <c r="J2381" s="34" t="str"/>
      <c r="K2381" s="130" t="n">
        <v>174</v>
      </c>
      <c r="L2381" s="43">
        <f>IF(COUNTIF($F$5:$F$2407,F2381)=1,"OK","Дубликат")</f>
        <v/>
      </c>
    </row>
    <row r="2382" ht="38" customHeight="1">
      <c r="A2382" s="146" t="inlineStr">
        <is>
          <t>BONUS-L2-PAIR</t>
        </is>
      </c>
      <c r="B2382" s="39" t="inlineStr">
        <is>
          <t>2 уровень</t>
        </is>
      </c>
      <c r="C2382" s="34" t="inlineStr">
        <is>
          <t>Призы не на абонементы</t>
        </is>
      </c>
      <c r="D2382" s="34" t="inlineStr">
        <is>
          <t>Парный старт: закрытая цена на 2 абонемента</t>
        </is>
      </c>
      <c r="E2382" s="34" t="inlineStr">
        <is>
          <t>Покупка двух абонементов при совместном старте с подругой</t>
        </is>
      </c>
      <c r="F2382" s="147" t="inlineStr">
        <is>
          <t>FW-L2-SWM7N-Q3TVL</t>
        </is>
      </c>
      <c r="G2382" s="39" t="inlineStr">
        <is>
          <t>Не использован</t>
        </is>
      </c>
      <c r="H2382" s="148" t="n"/>
      <c r="I2382" s="34" t="str"/>
      <c r="J2382" s="34" t="str"/>
      <c r="K2382" s="130" t="n">
        <v>175</v>
      </c>
      <c r="L2382" s="43">
        <f>IF(COUNTIF($F$5:$F$2407,F2382)=1,"OK","Дубликат")</f>
        <v/>
      </c>
    </row>
    <row r="2383" ht="38" customHeight="1">
      <c r="A2383" s="146" t="inlineStr">
        <is>
          <t>BONUS-L2-PAIR</t>
        </is>
      </c>
      <c r="B2383" s="39" t="inlineStr">
        <is>
          <t>2 уровень</t>
        </is>
      </c>
      <c r="C2383" s="34" t="inlineStr">
        <is>
          <t>Призы не на абонементы</t>
        </is>
      </c>
      <c r="D2383" s="34" t="inlineStr">
        <is>
          <t>Парный старт: закрытая цена на 2 абонемента</t>
        </is>
      </c>
      <c r="E2383" s="34" t="inlineStr">
        <is>
          <t>Покупка двух абонементов при совместном старте с подругой</t>
        </is>
      </c>
      <c r="F2383" s="147" t="inlineStr">
        <is>
          <t>FW-L2-7DRCB-L4UCW</t>
        </is>
      </c>
      <c r="G2383" s="39" t="inlineStr">
        <is>
          <t>Не использован</t>
        </is>
      </c>
      <c r="H2383" s="148" t="n"/>
      <c r="I2383" s="34" t="str"/>
      <c r="J2383" s="34" t="str"/>
      <c r="K2383" s="130" t="n">
        <v>176</v>
      </c>
      <c r="L2383" s="43">
        <f>IF(COUNTIF($F$5:$F$2407,F2383)=1,"OK","Дубликат")</f>
        <v/>
      </c>
    </row>
    <row r="2384" ht="38" customHeight="1">
      <c r="A2384" s="146" t="inlineStr">
        <is>
          <t>BONUS-L2-PAIR</t>
        </is>
      </c>
      <c r="B2384" s="39" t="inlineStr">
        <is>
          <t>2 уровень</t>
        </is>
      </c>
      <c r="C2384" s="34" t="inlineStr">
        <is>
          <t>Призы не на абонементы</t>
        </is>
      </c>
      <c r="D2384" s="34" t="inlineStr">
        <is>
          <t>Парный старт: закрытая цена на 2 абонемента</t>
        </is>
      </c>
      <c r="E2384" s="34" t="inlineStr">
        <is>
          <t>Покупка двух абонементов при совместном старте с подругой</t>
        </is>
      </c>
      <c r="F2384" s="147" t="inlineStr">
        <is>
          <t>FW-L2-RLMAR-57U5V</t>
        </is>
      </c>
      <c r="G2384" s="39" t="inlineStr">
        <is>
          <t>Не использован</t>
        </is>
      </c>
      <c r="H2384" s="148" t="n"/>
      <c r="I2384" s="34" t="str"/>
      <c r="J2384" s="34" t="str"/>
      <c r="K2384" s="130" t="n">
        <v>177</v>
      </c>
      <c r="L2384" s="43">
        <f>IF(COUNTIF($F$5:$F$2407,F2384)=1,"OK","Дубликат")</f>
        <v/>
      </c>
    </row>
    <row r="2385" ht="38" customHeight="1">
      <c r="A2385" s="146" t="inlineStr">
        <is>
          <t>BONUS-L2-PAIR</t>
        </is>
      </c>
      <c r="B2385" s="39" t="inlineStr">
        <is>
          <t>2 уровень</t>
        </is>
      </c>
      <c r="C2385" s="34" t="inlineStr">
        <is>
          <t>Призы не на абонементы</t>
        </is>
      </c>
      <c r="D2385" s="34" t="inlineStr">
        <is>
          <t>Парный старт: закрытая цена на 2 абонемента</t>
        </is>
      </c>
      <c r="E2385" s="34" t="inlineStr">
        <is>
          <t>Покупка двух абонементов при совместном старте с подругой</t>
        </is>
      </c>
      <c r="F2385" s="147" t="inlineStr">
        <is>
          <t>FW-L2-RVKLQ-ZYUAH</t>
        </is>
      </c>
      <c r="G2385" s="39" t="inlineStr">
        <is>
          <t>Не использован</t>
        </is>
      </c>
      <c r="H2385" s="148" t="n"/>
      <c r="I2385" s="34" t="str"/>
      <c r="J2385" s="34" t="str"/>
      <c r="K2385" s="130" t="n">
        <v>178</v>
      </c>
      <c r="L2385" s="43">
        <f>IF(COUNTIF($F$5:$F$2407,F2385)=1,"OK","Дубликат")</f>
        <v/>
      </c>
    </row>
    <row r="2386" ht="38" customHeight="1">
      <c r="A2386" s="146" t="inlineStr">
        <is>
          <t>BONUS-L2-PAIR</t>
        </is>
      </c>
      <c r="B2386" s="39" t="inlineStr">
        <is>
          <t>2 уровень</t>
        </is>
      </c>
      <c r="C2386" s="34" t="inlineStr">
        <is>
          <t>Призы не на абонементы</t>
        </is>
      </c>
      <c r="D2386" s="34" t="inlineStr">
        <is>
          <t>Парный старт: закрытая цена на 2 абонемента</t>
        </is>
      </c>
      <c r="E2386" s="34" t="inlineStr">
        <is>
          <t>Покупка двух абонементов при совместном старте с подругой</t>
        </is>
      </c>
      <c r="F2386" s="147" t="inlineStr">
        <is>
          <t>FW-L2-9FQ2Q-UNSSQ</t>
        </is>
      </c>
      <c r="G2386" s="39" t="inlineStr">
        <is>
          <t>Не использован</t>
        </is>
      </c>
      <c r="H2386" s="148" t="n"/>
      <c r="I2386" s="34" t="str"/>
      <c r="J2386" s="34" t="str"/>
      <c r="K2386" s="130" t="n">
        <v>179</v>
      </c>
      <c r="L2386" s="43">
        <f>IF(COUNTIF($F$5:$F$2407,F2386)=1,"OK","Дубликат")</f>
        <v/>
      </c>
    </row>
    <row r="2387" ht="38" customHeight="1">
      <c r="A2387" s="146" t="inlineStr">
        <is>
          <t>BONUS-L2-PAIR</t>
        </is>
      </c>
      <c r="B2387" s="39" t="inlineStr">
        <is>
          <t>2 уровень</t>
        </is>
      </c>
      <c r="C2387" s="34" t="inlineStr">
        <is>
          <t>Призы не на абонементы</t>
        </is>
      </c>
      <c r="D2387" s="34" t="inlineStr">
        <is>
          <t>Парный старт: закрытая цена на 2 абонемента</t>
        </is>
      </c>
      <c r="E2387" s="34" t="inlineStr">
        <is>
          <t>Покупка двух абонементов при совместном старте с подругой</t>
        </is>
      </c>
      <c r="F2387" s="147" t="inlineStr">
        <is>
          <t>FW-L2-C7RTL-AV8D4</t>
        </is>
      </c>
      <c r="G2387" s="39" t="inlineStr">
        <is>
          <t>Не использован</t>
        </is>
      </c>
      <c r="H2387" s="148" t="n"/>
      <c r="I2387" s="34" t="str"/>
      <c r="J2387" s="34" t="str"/>
      <c r="K2387" s="130" t="n">
        <v>180</v>
      </c>
      <c r="L2387" s="43">
        <f>IF(COUNTIF($F$5:$F$2407,F2387)=1,"OK","Дубликат")</f>
        <v/>
      </c>
    </row>
    <row r="2388" ht="38" customHeight="1">
      <c r="A2388" s="146" t="inlineStr">
        <is>
          <t>BONUS-L2-PAIR</t>
        </is>
      </c>
      <c r="B2388" s="39" t="inlineStr">
        <is>
          <t>2 уровень</t>
        </is>
      </c>
      <c r="C2388" s="34" t="inlineStr">
        <is>
          <t>Призы не на абонементы</t>
        </is>
      </c>
      <c r="D2388" s="34" t="inlineStr">
        <is>
          <t>Парный старт: закрытая цена на 2 абонемента</t>
        </is>
      </c>
      <c r="E2388" s="34" t="inlineStr">
        <is>
          <t>Покупка двух абонементов при совместном старте с подругой</t>
        </is>
      </c>
      <c r="F2388" s="147" t="inlineStr">
        <is>
          <t>FW-L2-KUAWN-4ZBPR</t>
        </is>
      </c>
      <c r="G2388" s="39" t="inlineStr">
        <is>
          <t>Не использован</t>
        </is>
      </c>
      <c r="H2388" s="148" t="n"/>
      <c r="I2388" s="34" t="str"/>
      <c r="J2388" s="34" t="str"/>
      <c r="K2388" s="130" t="n">
        <v>181</v>
      </c>
      <c r="L2388" s="43">
        <f>IF(COUNTIF($F$5:$F$2407,F2388)=1,"OK","Дубликат")</f>
        <v/>
      </c>
    </row>
    <row r="2389" ht="38" customHeight="1">
      <c r="A2389" s="146" t="inlineStr">
        <is>
          <t>BONUS-L2-PAIR</t>
        </is>
      </c>
      <c r="B2389" s="39" t="inlineStr">
        <is>
          <t>2 уровень</t>
        </is>
      </c>
      <c r="C2389" s="34" t="inlineStr">
        <is>
          <t>Призы не на абонементы</t>
        </is>
      </c>
      <c r="D2389" s="34" t="inlineStr">
        <is>
          <t>Парный старт: закрытая цена на 2 абонемента</t>
        </is>
      </c>
      <c r="E2389" s="34" t="inlineStr">
        <is>
          <t>Покупка двух абонементов при совместном старте с подругой</t>
        </is>
      </c>
      <c r="F2389" s="147" t="inlineStr">
        <is>
          <t>FW-L2-KU23Y-7HDEU</t>
        </is>
      </c>
      <c r="G2389" s="39" t="inlineStr">
        <is>
          <t>Не использован</t>
        </is>
      </c>
      <c r="H2389" s="148" t="n"/>
      <c r="I2389" s="34" t="str"/>
      <c r="J2389" s="34" t="str"/>
      <c r="K2389" s="130" t="n">
        <v>182</v>
      </c>
      <c r="L2389" s="43">
        <f>IF(COUNTIF($F$5:$F$2407,F2389)=1,"OK","Дубликат")</f>
        <v/>
      </c>
    </row>
    <row r="2390" ht="38" customHeight="1">
      <c r="A2390" s="146" t="inlineStr">
        <is>
          <t>BONUS-L2-PAIR</t>
        </is>
      </c>
      <c r="B2390" s="39" t="inlineStr">
        <is>
          <t>2 уровень</t>
        </is>
      </c>
      <c r="C2390" s="34" t="inlineStr">
        <is>
          <t>Призы не на абонементы</t>
        </is>
      </c>
      <c r="D2390" s="34" t="inlineStr">
        <is>
          <t>Парный старт: закрытая цена на 2 абонемента</t>
        </is>
      </c>
      <c r="E2390" s="34" t="inlineStr">
        <is>
          <t>Покупка двух абонементов при совместном старте с подругой</t>
        </is>
      </c>
      <c r="F2390" s="147" t="inlineStr">
        <is>
          <t>FW-L2-EUDB2-P72P4</t>
        </is>
      </c>
      <c r="G2390" s="39" t="inlineStr">
        <is>
          <t>Не использован</t>
        </is>
      </c>
      <c r="H2390" s="148" t="n"/>
      <c r="I2390" s="34" t="str"/>
      <c r="J2390" s="34" t="str"/>
      <c r="K2390" s="130" t="n">
        <v>183</v>
      </c>
      <c r="L2390" s="43">
        <f>IF(COUNTIF($F$5:$F$2407,F2390)=1,"OK","Дубликат")</f>
        <v/>
      </c>
    </row>
    <row r="2391" ht="38" customHeight="1">
      <c r="A2391" s="146" t="inlineStr">
        <is>
          <t>BONUS-L2-PAIR</t>
        </is>
      </c>
      <c r="B2391" s="39" t="inlineStr">
        <is>
          <t>2 уровень</t>
        </is>
      </c>
      <c r="C2391" s="34" t="inlineStr">
        <is>
          <t>Призы не на абонементы</t>
        </is>
      </c>
      <c r="D2391" s="34" t="inlineStr">
        <is>
          <t>Парный старт: закрытая цена на 2 абонемента</t>
        </is>
      </c>
      <c r="E2391" s="34" t="inlineStr">
        <is>
          <t>Покупка двух абонементов при совместном старте с подругой</t>
        </is>
      </c>
      <c r="F2391" s="147" t="inlineStr">
        <is>
          <t>FW-L2-KQS2J-DXJZS</t>
        </is>
      </c>
      <c r="G2391" s="39" t="inlineStr">
        <is>
          <t>Не использован</t>
        </is>
      </c>
      <c r="H2391" s="148" t="n"/>
      <c r="I2391" s="34" t="str"/>
      <c r="J2391" s="34" t="str"/>
      <c r="K2391" s="130" t="n">
        <v>184</v>
      </c>
      <c r="L2391" s="43">
        <f>IF(COUNTIF($F$5:$F$2407,F2391)=1,"OK","Дубликат")</f>
        <v/>
      </c>
    </row>
    <row r="2392" ht="38" customHeight="1">
      <c r="A2392" s="146" t="inlineStr">
        <is>
          <t>BONUS-L2-PAIR</t>
        </is>
      </c>
      <c r="B2392" s="39" t="inlineStr">
        <is>
          <t>2 уровень</t>
        </is>
      </c>
      <c r="C2392" s="34" t="inlineStr">
        <is>
          <t>Призы не на абонементы</t>
        </is>
      </c>
      <c r="D2392" s="34" t="inlineStr">
        <is>
          <t>Парный старт: закрытая цена на 2 абонемента</t>
        </is>
      </c>
      <c r="E2392" s="34" t="inlineStr">
        <is>
          <t>Покупка двух абонементов при совместном старте с подругой</t>
        </is>
      </c>
      <c r="F2392" s="147" t="inlineStr">
        <is>
          <t>FW-L2-K7AM3-67BN5</t>
        </is>
      </c>
      <c r="G2392" s="39" t="inlineStr">
        <is>
          <t>Не использован</t>
        </is>
      </c>
      <c r="H2392" s="148" t="n"/>
      <c r="I2392" s="34" t="str"/>
      <c r="J2392" s="34" t="str"/>
      <c r="K2392" s="130" t="n">
        <v>185</v>
      </c>
      <c r="L2392" s="43">
        <f>IF(COUNTIF($F$5:$F$2407,F2392)=1,"OK","Дубликат")</f>
        <v/>
      </c>
    </row>
    <row r="2393" ht="38" customHeight="1">
      <c r="A2393" s="146" t="inlineStr">
        <is>
          <t>BONUS-L2-PAIR</t>
        </is>
      </c>
      <c r="B2393" s="39" t="inlineStr">
        <is>
          <t>2 уровень</t>
        </is>
      </c>
      <c r="C2393" s="34" t="inlineStr">
        <is>
          <t>Призы не на абонементы</t>
        </is>
      </c>
      <c r="D2393" s="34" t="inlineStr">
        <is>
          <t>Парный старт: закрытая цена на 2 абонемента</t>
        </is>
      </c>
      <c r="E2393" s="34" t="inlineStr">
        <is>
          <t>Покупка двух абонементов при совместном старте с подругой</t>
        </is>
      </c>
      <c r="F2393" s="147" t="inlineStr">
        <is>
          <t>FW-L2-DZGCV-XSSSW</t>
        </is>
      </c>
      <c r="G2393" s="39" t="inlineStr">
        <is>
          <t>Не использован</t>
        </is>
      </c>
      <c r="H2393" s="148" t="n"/>
      <c r="I2393" s="34" t="str"/>
      <c r="J2393" s="34" t="str"/>
      <c r="K2393" s="130" t="n">
        <v>186</v>
      </c>
      <c r="L2393" s="43">
        <f>IF(COUNTIF($F$5:$F$2407,F2393)=1,"OK","Дубликат")</f>
        <v/>
      </c>
    </row>
    <row r="2394" ht="38" customHeight="1">
      <c r="A2394" s="146" t="inlineStr">
        <is>
          <t>BONUS-L2-PAIR</t>
        </is>
      </c>
      <c r="B2394" s="39" t="inlineStr">
        <is>
          <t>2 уровень</t>
        </is>
      </c>
      <c r="C2394" s="34" t="inlineStr">
        <is>
          <t>Призы не на абонементы</t>
        </is>
      </c>
      <c r="D2394" s="34" t="inlineStr">
        <is>
          <t>Парный старт: закрытая цена на 2 абонемента</t>
        </is>
      </c>
      <c r="E2394" s="34" t="inlineStr">
        <is>
          <t>Покупка двух абонементов при совместном старте с подругой</t>
        </is>
      </c>
      <c r="F2394" s="147" t="inlineStr">
        <is>
          <t>FW-L2-6Q3MT-QVNUZ</t>
        </is>
      </c>
      <c r="G2394" s="39" t="inlineStr">
        <is>
          <t>Не использован</t>
        </is>
      </c>
      <c r="H2394" s="148" t="n"/>
      <c r="I2394" s="34" t="str"/>
      <c r="J2394" s="34" t="str"/>
      <c r="K2394" s="130" t="n">
        <v>187</v>
      </c>
      <c r="L2394" s="43">
        <f>IF(COUNTIF($F$5:$F$2407,F2394)=1,"OK","Дубликат")</f>
        <v/>
      </c>
    </row>
    <row r="2395" ht="38" customHeight="1">
      <c r="A2395" s="146" t="inlineStr">
        <is>
          <t>BONUS-L2-PAIR</t>
        </is>
      </c>
      <c r="B2395" s="39" t="inlineStr">
        <is>
          <t>2 уровень</t>
        </is>
      </c>
      <c r="C2395" s="34" t="inlineStr">
        <is>
          <t>Призы не на абонементы</t>
        </is>
      </c>
      <c r="D2395" s="34" t="inlineStr">
        <is>
          <t>Парный старт: закрытая цена на 2 абонемента</t>
        </is>
      </c>
      <c r="E2395" s="34" t="inlineStr">
        <is>
          <t>Покупка двух абонементов при совместном старте с подругой</t>
        </is>
      </c>
      <c r="F2395" s="147" t="inlineStr">
        <is>
          <t>FW-L2-G79UL-FLVEG</t>
        </is>
      </c>
      <c r="G2395" s="39" t="inlineStr">
        <is>
          <t>Не использован</t>
        </is>
      </c>
      <c r="H2395" s="148" t="n"/>
      <c r="I2395" s="34" t="str"/>
      <c r="J2395" s="34" t="str"/>
      <c r="K2395" s="130" t="n">
        <v>188</v>
      </c>
      <c r="L2395" s="43">
        <f>IF(COUNTIF($F$5:$F$2407,F2395)=1,"OK","Дубликат")</f>
        <v/>
      </c>
    </row>
    <row r="2396" ht="38" customHeight="1">
      <c r="A2396" s="146" t="inlineStr">
        <is>
          <t>BONUS-L2-PAIR</t>
        </is>
      </c>
      <c r="B2396" s="39" t="inlineStr">
        <is>
          <t>2 уровень</t>
        </is>
      </c>
      <c r="C2396" s="34" t="inlineStr">
        <is>
          <t>Призы не на абонементы</t>
        </is>
      </c>
      <c r="D2396" s="34" t="inlineStr">
        <is>
          <t>Парный старт: закрытая цена на 2 абонемента</t>
        </is>
      </c>
      <c r="E2396" s="34" t="inlineStr">
        <is>
          <t>Покупка двух абонементов при совместном старте с подругой</t>
        </is>
      </c>
      <c r="F2396" s="147" t="inlineStr">
        <is>
          <t>FW-L2-EGYD5-P4HAL</t>
        </is>
      </c>
      <c r="G2396" s="39" t="inlineStr">
        <is>
          <t>Не использован</t>
        </is>
      </c>
      <c r="H2396" s="148" t="n"/>
      <c r="I2396" s="34" t="str"/>
      <c r="J2396" s="34" t="str"/>
      <c r="K2396" s="130" t="n">
        <v>189</v>
      </c>
      <c r="L2396" s="43">
        <f>IF(COUNTIF($F$5:$F$2407,F2396)=1,"OK","Дубликат")</f>
        <v/>
      </c>
    </row>
    <row r="2397" ht="38" customHeight="1">
      <c r="A2397" s="146" t="inlineStr">
        <is>
          <t>BONUS-L2-PAIR</t>
        </is>
      </c>
      <c r="B2397" s="39" t="inlineStr">
        <is>
          <t>2 уровень</t>
        </is>
      </c>
      <c r="C2397" s="34" t="inlineStr">
        <is>
          <t>Призы не на абонементы</t>
        </is>
      </c>
      <c r="D2397" s="34" t="inlineStr">
        <is>
          <t>Парный старт: закрытая цена на 2 абонемента</t>
        </is>
      </c>
      <c r="E2397" s="34" t="inlineStr">
        <is>
          <t>Покупка двух абонементов при совместном старте с подругой</t>
        </is>
      </c>
      <c r="F2397" s="147" t="inlineStr">
        <is>
          <t>FW-L2-DYLWL-GNL47</t>
        </is>
      </c>
      <c r="G2397" s="39" t="inlineStr">
        <is>
          <t>Не использован</t>
        </is>
      </c>
      <c r="H2397" s="148" t="n"/>
      <c r="I2397" s="34" t="str"/>
      <c r="J2397" s="34" t="str"/>
      <c r="K2397" s="130" t="n">
        <v>190</v>
      </c>
      <c r="L2397" s="43">
        <f>IF(COUNTIF($F$5:$F$2407,F2397)=1,"OK","Дубликат")</f>
        <v/>
      </c>
    </row>
    <row r="2398" ht="38" customHeight="1">
      <c r="A2398" s="146" t="inlineStr">
        <is>
          <t>BONUS-L2-PAIR</t>
        </is>
      </c>
      <c r="B2398" s="39" t="inlineStr">
        <is>
          <t>2 уровень</t>
        </is>
      </c>
      <c r="C2398" s="34" t="inlineStr">
        <is>
          <t>Призы не на абонементы</t>
        </is>
      </c>
      <c r="D2398" s="34" t="inlineStr">
        <is>
          <t>Парный старт: закрытая цена на 2 абонемента</t>
        </is>
      </c>
      <c r="E2398" s="34" t="inlineStr">
        <is>
          <t>Покупка двух абонементов при совместном старте с подругой</t>
        </is>
      </c>
      <c r="F2398" s="147" t="inlineStr">
        <is>
          <t>FW-L2-NV8KN-S32UR</t>
        </is>
      </c>
      <c r="G2398" s="39" t="inlineStr">
        <is>
          <t>Не использован</t>
        </is>
      </c>
      <c r="H2398" s="148" t="n"/>
      <c r="I2398" s="34" t="str"/>
      <c r="J2398" s="34" t="str"/>
      <c r="K2398" s="130" t="n">
        <v>191</v>
      </c>
      <c r="L2398" s="43">
        <f>IF(COUNTIF($F$5:$F$2407,F2398)=1,"OK","Дубликат")</f>
        <v/>
      </c>
    </row>
    <row r="2399" ht="38" customHeight="1">
      <c r="A2399" s="146" t="inlineStr">
        <is>
          <t>BONUS-L2-PAIR</t>
        </is>
      </c>
      <c r="B2399" s="39" t="inlineStr">
        <is>
          <t>2 уровень</t>
        </is>
      </c>
      <c r="C2399" s="34" t="inlineStr">
        <is>
          <t>Призы не на абонементы</t>
        </is>
      </c>
      <c r="D2399" s="34" t="inlineStr">
        <is>
          <t>Парный старт: закрытая цена на 2 абонемента</t>
        </is>
      </c>
      <c r="E2399" s="34" t="inlineStr">
        <is>
          <t>Покупка двух абонементов при совместном старте с подругой</t>
        </is>
      </c>
      <c r="F2399" s="147" t="inlineStr">
        <is>
          <t>FW-L2-WENER-WV7E3</t>
        </is>
      </c>
      <c r="G2399" s="39" t="inlineStr">
        <is>
          <t>Не использован</t>
        </is>
      </c>
      <c r="H2399" s="148" t="n"/>
      <c r="I2399" s="34" t="str"/>
      <c r="J2399" s="34" t="str"/>
      <c r="K2399" s="130" t="n">
        <v>192</v>
      </c>
      <c r="L2399" s="43">
        <f>IF(COUNTIF($F$5:$F$2407,F2399)=1,"OK","Дубликат")</f>
        <v/>
      </c>
    </row>
    <row r="2400" ht="38" customHeight="1">
      <c r="A2400" s="146" t="inlineStr">
        <is>
          <t>BONUS-L2-PAIR</t>
        </is>
      </c>
      <c r="B2400" s="39" t="inlineStr">
        <is>
          <t>2 уровень</t>
        </is>
      </c>
      <c r="C2400" s="34" t="inlineStr">
        <is>
          <t>Призы не на абонементы</t>
        </is>
      </c>
      <c r="D2400" s="34" t="inlineStr">
        <is>
          <t>Парный старт: закрытая цена на 2 абонемента</t>
        </is>
      </c>
      <c r="E2400" s="34" t="inlineStr">
        <is>
          <t>Покупка двух абонементов при совместном старте с подругой</t>
        </is>
      </c>
      <c r="F2400" s="147" t="inlineStr">
        <is>
          <t>FW-L2-NWJVZ-YPWZF</t>
        </is>
      </c>
      <c r="G2400" s="39" t="inlineStr">
        <is>
          <t>Не использован</t>
        </is>
      </c>
      <c r="H2400" s="148" t="n"/>
      <c r="I2400" s="34" t="str"/>
      <c r="J2400" s="34" t="str"/>
      <c r="K2400" s="130" t="n">
        <v>193</v>
      </c>
      <c r="L2400" s="43">
        <f>IF(COUNTIF($F$5:$F$2407,F2400)=1,"OK","Дубликат")</f>
        <v/>
      </c>
    </row>
    <row r="2401" ht="38" customHeight="1">
      <c r="A2401" s="146" t="inlineStr">
        <is>
          <t>BONUS-L2-PAIR</t>
        </is>
      </c>
      <c r="B2401" s="39" t="inlineStr">
        <is>
          <t>2 уровень</t>
        </is>
      </c>
      <c r="C2401" s="34" t="inlineStr">
        <is>
          <t>Призы не на абонементы</t>
        </is>
      </c>
      <c r="D2401" s="34" t="inlineStr">
        <is>
          <t>Парный старт: закрытая цена на 2 абонемента</t>
        </is>
      </c>
      <c r="E2401" s="34" t="inlineStr">
        <is>
          <t>Покупка двух абонементов при совместном старте с подругой</t>
        </is>
      </c>
      <c r="F2401" s="147" t="inlineStr">
        <is>
          <t>FW-L2-K4WRF-QTRCW</t>
        </is>
      </c>
      <c r="G2401" s="39" t="inlineStr">
        <is>
          <t>Не использован</t>
        </is>
      </c>
      <c r="H2401" s="148" t="n"/>
      <c r="I2401" s="34" t="str"/>
      <c r="J2401" s="34" t="str"/>
      <c r="K2401" s="130" t="n">
        <v>194</v>
      </c>
      <c r="L2401" s="43">
        <f>IF(COUNTIF($F$5:$F$2407,F2401)=1,"OK","Дубликат")</f>
        <v/>
      </c>
    </row>
    <row r="2402" ht="38" customHeight="1">
      <c r="A2402" s="146" t="inlineStr">
        <is>
          <t>BONUS-L2-PAIR</t>
        </is>
      </c>
      <c r="B2402" s="39" t="inlineStr">
        <is>
          <t>2 уровень</t>
        </is>
      </c>
      <c r="C2402" s="34" t="inlineStr">
        <is>
          <t>Призы не на абонементы</t>
        </is>
      </c>
      <c r="D2402" s="34" t="inlineStr">
        <is>
          <t>Парный старт: закрытая цена на 2 абонемента</t>
        </is>
      </c>
      <c r="E2402" s="34" t="inlineStr">
        <is>
          <t>Покупка двух абонементов при совместном старте с подругой</t>
        </is>
      </c>
      <c r="F2402" s="147" t="inlineStr">
        <is>
          <t>FW-L2-PP892-ZD6T2</t>
        </is>
      </c>
      <c r="G2402" s="39" t="inlineStr">
        <is>
          <t>Не использован</t>
        </is>
      </c>
      <c r="H2402" s="148" t="n"/>
      <c r="I2402" s="34" t="str"/>
      <c r="J2402" s="34" t="str"/>
      <c r="K2402" s="130" t="n">
        <v>195</v>
      </c>
      <c r="L2402" s="43">
        <f>IF(COUNTIF($F$5:$F$2407,F2402)=1,"OK","Дубликат")</f>
        <v/>
      </c>
    </row>
    <row r="2403" ht="38" customHeight="1">
      <c r="A2403" s="146" t="inlineStr">
        <is>
          <t>BONUS-L2-PAIR</t>
        </is>
      </c>
      <c r="B2403" s="39" t="inlineStr">
        <is>
          <t>2 уровень</t>
        </is>
      </c>
      <c r="C2403" s="34" t="inlineStr">
        <is>
          <t>Призы не на абонементы</t>
        </is>
      </c>
      <c r="D2403" s="34" t="inlineStr">
        <is>
          <t>Парный старт: закрытая цена на 2 абонемента</t>
        </is>
      </c>
      <c r="E2403" s="34" t="inlineStr">
        <is>
          <t>Покупка двух абонементов при совместном старте с подругой</t>
        </is>
      </c>
      <c r="F2403" s="147" t="inlineStr">
        <is>
          <t>FW-L2-CG6MK-YD8QA</t>
        </is>
      </c>
      <c r="G2403" s="39" t="inlineStr">
        <is>
          <t>Не использован</t>
        </is>
      </c>
      <c r="H2403" s="148" t="n"/>
      <c r="I2403" s="34" t="str"/>
      <c r="J2403" s="34" t="str"/>
      <c r="K2403" s="130" t="n">
        <v>196</v>
      </c>
      <c r="L2403" s="43">
        <f>IF(COUNTIF($F$5:$F$2407,F2403)=1,"OK","Дубликат")</f>
        <v/>
      </c>
    </row>
    <row r="2404" ht="38" customHeight="1">
      <c r="A2404" s="146" t="inlineStr">
        <is>
          <t>BONUS-L2-PAIR</t>
        </is>
      </c>
      <c r="B2404" s="39" t="inlineStr">
        <is>
          <t>2 уровень</t>
        </is>
      </c>
      <c r="C2404" s="34" t="inlineStr">
        <is>
          <t>Призы не на абонементы</t>
        </is>
      </c>
      <c r="D2404" s="34" t="inlineStr">
        <is>
          <t>Парный старт: закрытая цена на 2 абонемента</t>
        </is>
      </c>
      <c r="E2404" s="34" t="inlineStr">
        <is>
          <t>Покупка двух абонементов при совместном старте с подругой</t>
        </is>
      </c>
      <c r="F2404" s="147" t="inlineStr">
        <is>
          <t>FW-L2-BENKN-VCA3B</t>
        </is>
      </c>
      <c r="G2404" s="39" t="inlineStr">
        <is>
          <t>Не использован</t>
        </is>
      </c>
      <c r="H2404" s="148" t="n"/>
      <c r="I2404" s="34" t="str"/>
      <c r="J2404" s="34" t="str"/>
      <c r="K2404" s="130" t="n">
        <v>197</v>
      </c>
      <c r="L2404" s="43">
        <f>IF(COUNTIF($F$5:$F$2407,F2404)=1,"OK","Дубликат")</f>
        <v/>
      </c>
    </row>
    <row r="2405" ht="38" customHeight="1">
      <c r="A2405" s="146" t="inlineStr">
        <is>
          <t>BONUS-L2-PAIR</t>
        </is>
      </c>
      <c r="B2405" s="39" t="inlineStr">
        <is>
          <t>2 уровень</t>
        </is>
      </c>
      <c r="C2405" s="34" t="inlineStr">
        <is>
          <t>Призы не на абонементы</t>
        </is>
      </c>
      <c r="D2405" s="34" t="inlineStr">
        <is>
          <t>Парный старт: закрытая цена на 2 абонемента</t>
        </is>
      </c>
      <c r="E2405" s="34" t="inlineStr">
        <is>
          <t>Покупка двух абонементов при совместном старте с подругой</t>
        </is>
      </c>
      <c r="F2405" s="147" t="inlineStr">
        <is>
          <t>FW-L2-ZXTNZ-4JQ4M</t>
        </is>
      </c>
      <c r="G2405" s="39" t="inlineStr">
        <is>
          <t>Не использован</t>
        </is>
      </c>
      <c r="H2405" s="148" t="n"/>
      <c r="I2405" s="34" t="str"/>
      <c r="J2405" s="34" t="str"/>
      <c r="K2405" s="130" t="n">
        <v>198</v>
      </c>
      <c r="L2405" s="43">
        <f>IF(COUNTIF($F$5:$F$2407,F2405)=1,"OK","Дубликат")</f>
        <v/>
      </c>
    </row>
    <row r="2406" ht="38" customHeight="1">
      <c r="A2406" s="146" t="inlineStr">
        <is>
          <t>BONUS-L2-PAIR</t>
        </is>
      </c>
      <c r="B2406" s="39" t="inlineStr">
        <is>
          <t>2 уровень</t>
        </is>
      </c>
      <c r="C2406" s="34" t="inlineStr">
        <is>
          <t>Призы не на абонементы</t>
        </is>
      </c>
      <c r="D2406" s="34" t="inlineStr">
        <is>
          <t>Парный старт: закрытая цена на 2 абонемента</t>
        </is>
      </c>
      <c r="E2406" s="34" t="inlineStr">
        <is>
          <t>Покупка двух абонементов при совместном старте с подругой</t>
        </is>
      </c>
      <c r="F2406" s="147" t="inlineStr">
        <is>
          <t>FW-L2-HD5MW-QS6RT</t>
        </is>
      </c>
      <c r="G2406" s="39" t="inlineStr">
        <is>
          <t>Не использован</t>
        </is>
      </c>
      <c r="H2406" s="148" t="n"/>
      <c r="I2406" s="34" t="str"/>
      <c r="J2406" s="34" t="str"/>
      <c r="K2406" s="130" t="n">
        <v>199</v>
      </c>
      <c r="L2406" s="43">
        <f>IF(COUNTIF($F$5:$F$2407,F2406)=1,"OK","Дубликат")</f>
        <v/>
      </c>
    </row>
    <row r="2407" ht="38" customHeight="1">
      <c r="A2407" s="150" t="inlineStr">
        <is>
          <t>BONUS-L2-PAIR</t>
        </is>
      </c>
      <c r="B2407" s="41" t="inlineStr">
        <is>
          <t>2 уровень</t>
        </is>
      </c>
      <c r="C2407" s="35" t="inlineStr">
        <is>
          <t>Призы не на абонементы</t>
        </is>
      </c>
      <c r="D2407" s="35" t="inlineStr">
        <is>
          <t>Парный старт: закрытая цена на 2 абонемента</t>
        </is>
      </c>
      <c r="E2407" s="35" t="inlineStr">
        <is>
          <t>Покупка двух абонементов при совместном старте с подругой</t>
        </is>
      </c>
      <c r="F2407" s="151" t="inlineStr">
        <is>
          <t>FW-L2-GNVT4-8NG2D</t>
        </is>
      </c>
      <c r="G2407" s="41" t="inlineStr">
        <is>
          <t>Не использован</t>
        </is>
      </c>
      <c r="H2407" s="152" t="n"/>
      <c r="I2407" s="35" t="str"/>
      <c r="J2407" s="35" t="str"/>
      <c r="K2407" s="142" t="n">
        <v>200</v>
      </c>
      <c r="L2407" s="44">
        <f>IF(COUNTIF($F$5:$F$2407,F2407)=1,"OK","Дубликат")</f>
        <v/>
      </c>
    </row>
  </sheetData>
  <mergeCells count="2">
    <mergeCell ref="A2:L2"/>
    <mergeCell ref="A1:L1"/>
  </mergeCells>
  <conditionalFormatting sqref="G5:G2407">
    <cfRule type="containsText" priority="1" operator="containsText" dxfId="0" text="Использован"/>
    <cfRule type="containsText" priority="2" operator="containsText" dxfId="1" text="Аннулирован"/>
  </conditionalFormatting>
  <conditionalFormatting sqref="L5:L2407">
    <cfRule type="containsText" priority="3" operator="containsText" dxfId="2" text="Дубликат"/>
  </conditionalFormatting>
  <dataValidations count="1">
    <dataValidation sqref="G5:G2407" showDropDown="0" showInputMessage="0" showErrorMessage="0" allowBlank="0" type="list">
      <formula1>"Не использован,Использован,Аннулирован"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8.1299991607666" customWidth="1" min="1" max="1"/>
    <col width="13.75" customWidth="1" min="2" max="2"/>
    <col width="15.63000011444092" customWidth="1" min="3" max="3"/>
    <col width="15" customWidth="1" min="4" max="4"/>
    <col width="14.38000011444092" customWidth="1" min="5" max="5"/>
    <col width="14.38000011444092" customWidth="1" min="6" max="6"/>
    <col width="18.75" customWidth="1" min="7" max="7"/>
    <col width="33.75" customWidth="1" min="8" max="8"/>
    <col width="19.3799991607666" customWidth="1" min="9" max="9"/>
    <col width="27.5" customWidth="1" min="10" max="10"/>
    <col width="19.3799991607666" customWidth="1" min="11" max="11"/>
    <col width="18.1299991607666" customWidth="1" min="12" max="12"/>
    <col width="32.5" customWidth="1" min="13" max="13"/>
  </cols>
  <sheetData>
    <row r="1" ht="34" customHeight="1">
      <c r="A1" s="3" t="inlineStr">
        <is>
          <t>Лиды и выдачи через Telegram-бота</t>
        </is>
      </c>
    </row>
    <row r="2" ht="30" customHeight="1">
      <c r="A2" s="7" t="inlineStr">
        <is>
          <t>Контакты победителей (имя, фамилия, username, телефон) записываются для прямой связи менеджера и выдачи призов.</t>
        </is>
      </c>
    </row>
    <row r="4" ht="30" customHeight="1">
      <c r="A4" s="13" t="inlineStr">
        <is>
          <t>Дата и время</t>
        </is>
      </c>
      <c r="B4" s="13" t="inlineStr">
        <is>
          <t>Telegram ref</t>
        </is>
      </c>
      <c r="C4" s="13" t="inlineStr">
        <is>
          <t>Телефон</t>
        </is>
      </c>
      <c r="D4" s="13" t="inlineStr">
        <is>
          <t>Username</t>
        </is>
      </c>
      <c r="E4" s="13" t="inlineStr">
        <is>
          <t>Имя</t>
        </is>
      </c>
      <c r="F4" s="13" t="inlineStr">
        <is>
          <t>Фамилия</t>
        </is>
      </c>
      <c r="G4" s="13" t="inlineStr">
        <is>
          <t>Код приза</t>
        </is>
      </c>
      <c r="H4" s="13" t="inlineStr">
        <is>
          <t>Приз</t>
        </is>
      </c>
      <c r="I4" s="13" t="inlineStr">
        <is>
          <t>Промокод</t>
        </is>
      </c>
      <c r="J4" s="13" t="inlineStr">
        <is>
          <t>Токен ref</t>
        </is>
      </c>
      <c r="K4" s="13" t="inlineStr">
        <is>
          <t>Сессия ref</t>
        </is>
      </c>
      <c r="L4" s="13" t="inlineStr">
        <is>
          <t>Статус</t>
        </is>
      </c>
      <c r="M4" s="13" t="inlineStr">
        <is>
          <t>Примечание</t>
        </is>
      </c>
    </row>
    <row r="5">
      <c r="A5" s="153" t="n">
        <v>46249.24641203704</v>
      </c>
      <c r="B5" s="154" t="n">
        <v>6110655759</v>
      </c>
      <c r="C5" s="154" t="inlineStr">
        <is>
          <t>'+79035782777</t>
        </is>
      </c>
      <c r="D5" s="25" t="inlineStr">
        <is>
          <t>'@RRedactor</t>
        </is>
      </c>
      <c r="E5" s="25" t="inlineStr">
        <is>
          <t>Роман</t>
        </is>
      </c>
      <c r="F5" s="25" t="inlineStr">
        <is>
          <t>Михайлов</t>
        </is>
      </c>
      <c r="G5" s="154" t="inlineStr">
        <is>
          <t>BONUS-L1-PLUS7</t>
        </is>
      </c>
      <c r="H5" s="155" t="inlineStr">
        <is>
          <t>'+7 дней к сроку действия абонемента</t>
        </is>
      </c>
      <c r="I5" s="154" t="inlineStr">
        <is>
          <t>FW-L1-72C38-M8J6W</t>
        </is>
      </c>
      <c r="J5" s="154" t="inlineStr">
        <is>
          <t>token_d846ca1c15d1</t>
        </is>
      </c>
      <c r="K5" s="154" t="inlineStr">
        <is>
          <t>session_bfb6c5df5f6a</t>
        </is>
      </c>
      <c r="L5" s="156" t="inlineStr">
        <is>
          <t>Выдан</t>
        </is>
      </c>
      <c r="M5" s="66" t="inlineStr">
        <is>
          <t>Подписка подтверждена в Telegram</t>
        </is>
      </c>
    </row>
    <row r="6">
      <c r="A6" s="153" t="n">
        <v>46249.24844907408</v>
      </c>
      <c r="B6" s="154" t="n">
        <v>6110655759</v>
      </c>
      <c r="C6" s="154" t="inlineStr">
        <is>
          <t>'+79035782777</t>
        </is>
      </c>
      <c r="D6" s="25" t="inlineStr">
        <is>
          <t>'@RRedactor</t>
        </is>
      </c>
      <c r="E6" s="25" t="inlineStr">
        <is>
          <t>Роман</t>
        </is>
      </c>
      <c r="F6" s="25" t="inlineStr">
        <is>
          <t>Михайлов</t>
        </is>
      </c>
      <c r="G6" s="154" t="inlineStr">
        <is>
          <t>BONUS-L2-PAIR</t>
        </is>
      </c>
      <c r="H6" s="155" t="inlineStr">
        <is>
          <t>Парный старт: закрытая цена на 2 абонемента</t>
        </is>
      </c>
      <c r="I6" s="154" t="inlineStr">
        <is>
          <t>FW-L2-YTZS8-S2VN9</t>
        </is>
      </c>
      <c r="J6" s="154" t="inlineStr">
        <is>
          <t>token_1497d27fbac9</t>
        </is>
      </c>
      <c r="K6" s="154" t="inlineStr">
        <is>
          <t>session_a3d6310423b3</t>
        </is>
      </c>
      <c r="L6" s="156" t="inlineStr">
        <is>
          <t>Выдан</t>
        </is>
      </c>
      <c r="M6" s="66" t="inlineStr">
        <is>
          <t>Подписка подтверждена в Telegram</t>
        </is>
      </c>
    </row>
    <row r="7">
      <c r="A7" s="153" t="n">
        <v>46249.25784722222</v>
      </c>
      <c r="B7" s="154" t="n">
        <v>6110655759</v>
      </c>
      <c r="C7" s="154" t="inlineStr">
        <is>
          <t>'+79035782777</t>
        </is>
      </c>
      <c r="D7" s="25" t="inlineStr">
        <is>
          <t>'@RRedactor</t>
        </is>
      </c>
      <c r="E7" s="25" t="inlineStr">
        <is>
          <t>Роман</t>
        </is>
      </c>
      <c r="F7" s="25" t="inlineStr">
        <is>
          <t>Михайлов</t>
        </is>
      </c>
      <c r="G7" s="154" t="inlineStr">
        <is>
          <t>SUB-L1-04-10</t>
        </is>
      </c>
      <c r="H7" s="155" t="inlineStr">
        <is>
          <t>Скидка 10% на абонемент 4 занятия</t>
        </is>
      </c>
      <c r="I7" s="154" t="inlineStr">
        <is>
          <t>FW-L1-8LLQL-ZMXLC</t>
        </is>
      </c>
      <c r="J7" s="154" t="inlineStr">
        <is>
          <t>token_45709d48d270</t>
        </is>
      </c>
      <c r="K7" s="154" t="inlineStr">
        <is>
          <t>session_461c9dbf1567</t>
        </is>
      </c>
      <c r="L7" s="156" t="inlineStr">
        <is>
          <t>Выдан</t>
        </is>
      </c>
      <c r="M7" s="66" t="inlineStr">
        <is>
          <t>Подписка подтверждена в Telegram</t>
        </is>
      </c>
    </row>
    <row r="8">
      <c r="A8" s="153" t="n">
        <v>46249.27737268519</v>
      </c>
      <c r="B8" s="154" t="n">
        <v>6110655759</v>
      </c>
      <c r="C8" s="154" t="inlineStr">
        <is>
          <t>'+79035782777</t>
        </is>
      </c>
      <c r="D8" s="25" t="inlineStr">
        <is>
          <t>'@RRedactor</t>
        </is>
      </c>
      <c r="E8" s="25" t="inlineStr">
        <is>
          <t>Роман</t>
        </is>
      </c>
      <c r="F8" s="25" t="inlineStr">
        <is>
          <t>Михайлов</t>
        </is>
      </c>
      <c r="G8" s="154" t="inlineStr">
        <is>
          <t>SUB-L1-04-10</t>
        </is>
      </c>
      <c r="H8" s="155" t="inlineStr">
        <is>
          <t>Скидка 10% на абонемент 4 занятия</t>
        </is>
      </c>
      <c r="I8" s="154" t="inlineStr">
        <is>
          <t>FW-L1-TQ8VB-FWRDX</t>
        </is>
      </c>
      <c r="J8" s="154" t="inlineStr">
        <is>
          <t>token_aaa35ed98beb</t>
        </is>
      </c>
      <c r="K8" s="154" t="inlineStr">
        <is>
          <t>session_9d377af4d448</t>
        </is>
      </c>
      <c r="L8" s="156" t="inlineStr">
        <is>
          <t>Выдан</t>
        </is>
      </c>
      <c r="M8" s="66" t="inlineStr">
        <is>
          <t>Подписка подтверждена в Telegram</t>
        </is>
      </c>
    </row>
    <row r="9">
      <c r="A9" s="153" t="n">
        <v>46249.30319444444</v>
      </c>
      <c r="B9" s="154" t="n">
        <v>6110655759</v>
      </c>
      <c r="C9" s="154" t="inlineStr">
        <is>
          <t>'+79035782777</t>
        </is>
      </c>
      <c r="D9" s="25" t="inlineStr">
        <is>
          <t>'@RRedactor</t>
        </is>
      </c>
      <c r="E9" s="25" t="inlineStr">
        <is>
          <t>Роман</t>
        </is>
      </c>
      <c r="F9" s="25" t="inlineStr">
        <is>
          <t>Михайлов</t>
        </is>
      </c>
      <c r="G9" s="154" t="inlineStr">
        <is>
          <t>BONUS-L2-PAIR</t>
        </is>
      </c>
      <c r="H9" s="155" t="inlineStr">
        <is>
          <t>Парный старт: закрытая цена на 2 абонемента</t>
        </is>
      </c>
      <c r="I9" s="154" t="inlineStr">
        <is>
          <t>FW-L2-8AFXF-S4GFK</t>
        </is>
      </c>
      <c r="J9" s="154" t="inlineStr">
        <is>
          <t>token_4b38387c0df4</t>
        </is>
      </c>
      <c r="K9" s="154" t="inlineStr">
        <is>
          <t>session_cb9958d00971</t>
        </is>
      </c>
      <c r="L9" s="156" t="inlineStr">
        <is>
          <t>Выдан</t>
        </is>
      </c>
      <c r="M9" s="66" t="inlineStr">
        <is>
          <t>Подписка подтверждена в Telegram</t>
        </is>
      </c>
    </row>
    <row r="10">
      <c r="A10" s="153" t="n">
        <v>46249.3087962963</v>
      </c>
      <c r="B10" s="154" t="n">
        <v>6110655759</v>
      </c>
      <c r="C10" s="154" t="inlineStr">
        <is>
          <t>'+79035782777</t>
        </is>
      </c>
      <c r="D10" s="25" t="inlineStr">
        <is>
          <t>'@RRedactor</t>
        </is>
      </c>
      <c r="E10" s="25" t="inlineStr">
        <is>
          <t>Роман</t>
        </is>
      </c>
      <c r="F10" s="25" t="inlineStr">
        <is>
          <t>Михайлов</t>
        </is>
      </c>
      <c r="G10" s="154" t="inlineStr">
        <is>
          <t>BONUS-L2-PAIR</t>
        </is>
      </c>
      <c r="H10" s="155" t="inlineStr">
        <is>
          <t>Парный старт: закрытая цена на 2 абонемента</t>
        </is>
      </c>
      <c r="I10" s="154" t="inlineStr">
        <is>
          <t>FW-L2-ZH2NL-W68CE</t>
        </is>
      </c>
      <c r="J10" s="154" t="inlineStr">
        <is>
          <t>token_4b4c07f71db4</t>
        </is>
      </c>
      <c r="K10" s="154" t="inlineStr">
        <is>
          <t>session_ebb7049ff715</t>
        </is>
      </c>
      <c r="L10" s="156" t="inlineStr">
        <is>
          <t>Выдан</t>
        </is>
      </c>
      <c r="M10" s="66" t="inlineStr">
        <is>
          <t>Подписка подтверждена в Telegram</t>
        </is>
      </c>
    </row>
    <row r="11">
      <c r="A11" s="157" t="n"/>
      <c r="B11" s="158" t="n"/>
      <c r="C11" s="158" t="n"/>
      <c r="D11" s="28" t="n"/>
      <c r="E11" s="28" t="n"/>
      <c r="F11" s="28" t="n"/>
      <c r="G11" s="158" t="n"/>
      <c r="H11" s="159" t="n"/>
      <c r="I11" s="158" t="n"/>
      <c r="J11" s="158" t="n"/>
      <c r="K11" s="158" t="n"/>
      <c r="L11" s="28" t="n"/>
      <c r="M11" s="67" t="n"/>
    </row>
    <row r="12">
      <c r="A12" s="160" t="n"/>
      <c r="B12" s="161" t="n"/>
      <c r="C12" s="161" t="n"/>
      <c r="D12" s="31" t="n"/>
      <c r="E12" s="31" t="n"/>
      <c r="F12" s="31" t="n"/>
      <c r="G12" s="161" t="n"/>
      <c r="H12" s="162" t="n"/>
      <c r="I12" s="161" t="n"/>
      <c r="J12" s="161" t="n"/>
      <c r="K12" s="161" t="n"/>
      <c r="L12" s="31" t="n"/>
      <c r="M12" s="68" t="n"/>
    </row>
  </sheetData>
  <mergeCells count="2">
    <mergeCell ref="A2:M2"/>
    <mergeCell ref="A1:M1"/>
  </mergeCells>
  <conditionalFormatting sqref="L5:L12">
    <cfRule type="containsText" priority="1" operator="containsText" dxfId="0" text="Выдан"/>
    <cfRule type="containsText" priority="2" operator="containsText" dxfId="1" text="Аннулирован"/>
  </conditionalFormatting>
  <dataValidations count="1">
    <dataValidation sqref="L5:L12" showDropDown="0" showInputMessage="0" showErrorMessage="0" allowBlank="0" type="list">
      <formula1>"Выдан,Ошибка синхронизации,Аннулирован"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2026-08-15T02:54:50Z</dcterms:created>
  <dcterms:modified xsi:type="dcterms:W3CDTF">2026-08-15T04:33:30Z</dcterms:modified>
</cp:coreProperties>
</file>